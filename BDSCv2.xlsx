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pablo\OneDrive\Desktop\docwilian\"/>
    </mc:Choice>
  </mc:AlternateContent>
  <xr:revisionPtr revIDLastSave="0" documentId="13_ncr:1_{9FA72BF7-D873-4663-B809-8BC513AEC2FB}" xr6:coauthVersionLast="47" xr6:coauthVersionMax="47" xr10:uidLastSave="{00000000-0000-0000-0000-000000000000}"/>
  <bookViews>
    <workbookView xWindow="-108" yWindow="-108" windowWidth="23256" windowHeight="12456" activeTab="3" xr2:uid="{133046A2-233C-42E2-BC37-4B9B846B2686}"/>
  </bookViews>
  <sheets>
    <sheet name="Premissas" sheetId="1" r:id="rId1"/>
    <sheet name="fatores de conversão" sheetId="3" r:id="rId2"/>
    <sheet name="base de dados" sheetId="2" r:id="rId3"/>
    <sheet name="BD_Shape_SC" sheetId="5" r:id="rId4"/>
    <sheet name="Planilha1" sheetId="4"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U325" i="2" l="1"/>
  <c r="U324" i="2"/>
  <c r="U323" i="2"/>
  <c r="U322" i="2"/>
  <c r="U321" i="2"/>
  <c r="U320" i="2"/>
  <c r="U319" i="2"/>
  <c r="U318" i="2"/>
  <c r="U317" i="2"/>
  <c r="U316" i="2"/>
  <c r="U315" i="2"/>
  <c r="U314" i="2"/>
  <c r="U313" i="2"/>
  <c r="U312" i="2"/>
  <c r="U311" i="2"/>
  <c r="U310" i="2"/>
  <c r="U309" i="2"/>
  <c r="U308" i="2"/>
  <c r="U307" i="2"/>
  <c r="U306" i="2"/>
  <c r="U305" i="2"/>
  <c r="U304" i="2"/>
  <c r="U303" i="2"/>
  <c r="U302" i="2"/>
  <c r="U301" i="2"/>
  <c r="U300" i="2"/>
  <c r="U299" i="2"/>
  <c r="U298" i="2"/>
  <c r="U297" i="2"/>
  <c r="U296" i="2"/>
  <c r="U295" i="2"/>
  <c r="U294" i="2"/>
  <c r="U293" i="2"/>
  <c r="U292" i="2"/>
  <c r="U291" i="2"/>
  <c r="U290" i="2"/>
  <c r="U289" i="2"/>
  <c r="U288" i="2"/>
  <c r="U287" i="2"/>
  <c r="U286" i="2"/>
  <c r="U285" i="2"/>
  <c r="U284" i="2"/>
  <c r="U283" i="2"/>
  <c r="U282" i="2"/>
  <c r="U281" i="2"/>
  <c r="U280" i="2"/>
  <c r="U279" i="2"/>
  <c r="U278" i="2"/>
  <c r="U277" i="2"/>
  <c r="U276" i="2"/>
  <c r="U275" i="2"/>
  <c r="U274" i="2"/>
  <c r="U273" i="2"/>
  <c r="U272" i="2"/>
  <c r="U271" i="2"/>
  <c r="U270" i="2"/>
  <c r="U269" i="2"/>
  <c r="U268" i="2"/>
  <c r="U267" i="2"/>
  <c r="U266" i="2"/>
  <c r="U265" i="2"/>
  <c r="U264" i="2"/>
  <c r="U263" i="2"/>
  <c r="U262" i="2"/>
  <c r="U261" i="2"/>
  <c r="U260" i="2"/>
  <c r="U259" i="2"/>
  <c r="U258" i="2"/>
  <c r="U257" i="2"/>
  <c r="U256" i="2"/>
  <c r="U255" i="2"/>
  <c r="U254" i="2"/>
  <c r="U253" i="2"/>
  <c r="U252" i="2"/>
  <c r="U251" i="2"/>
  <c r="U250" i="2"/>
  <c r="U249" i="2"/>
  <c r="U248" i="2"/>
  <c r="U247" i="2"/>
  <c r="U246" i="2"/>
  <c r="U245" i="2"/>
  <c r="U244" i="2"/>
  <c r="U243" i="2"/>
  <c r="U242" i="2"/>
  <c r="U241" i="2"/>
  <c r="U240" i="2"/>
  <c r="U239" i="2"/>
  <c r="U238" i="2"/>
  <c r="U237" i="2"/>
  <c r="U236" i="2"/>
  <c r="U235" i="2"/>
  <c r="U234" i="2"/>
  <c r="U233" i="2"/>
  <c r="U232" i="2"/>
  <c r="U231" i="2"/>
  <c r="U230" i="2"/>
  <c r="U229" i="2"/>
  <c r="U228" i="2"/>
  <c r="U227" i="2"/>
  <c r="U226" i="2"/>
  <c r="U225" i="2"/>
  <c r="U224" i="2"/>
  <c r="U223" i="2"/>
  <c r="U222" i="2"/>
  <c r="U221" i="2"/>
  <c r="U220" i="2"/>
  <c r="U219" i="2"/>
  <c r="U218" i="2"/>
  <c r="U217" i="2"/>
  <c r="U216" i="2"/>
  <c r="U215" i="2"/>
  <c r="U214" i="2"/>
  <c r="U213" i="2"/>
  <c r="U212" i="2"/>
  <c r="U211" i="2"/>
  <c r="U210" i="2"/>
  <c r="U209" i="2"/>
  <c r="U208" i="2"/>
  <c r="U207" i="2"/>
  <c r="U206" i="2"/>
  <c r="U205" i="2"/>
  <c r="U204" i="2"/>
  <c r="U203" i="2"/>
  <c r="U202" i="2"/>
  <c r="U201" i="2"/>
  <c r="U200" i="2"/>
  <c r="U199" i="2"/>
  <c r="U198" i="2"/>
  <c r="U197" i="2"/>
  <c r="U196" i="2"/>
  <c r="U195" i="2"/>
  <c r="U194" i="2"/>
  <c r="U193" i="2"/>
  <c r="U192" i="2"/>
  <c r="U191" i="2"/>
  <c r="U190" i="2"/>
  <c r="U189" i="2"/>
  <c r="U188" i="2"/>
  <c r="U187" i="2"/>
  <c r="U186" i="2"/>
  <c r="U185" i="2"/>
  <c r="U184" i="2"/>
  <c r="U183" i="2"/>
  <c r="U182" i="2"/>
  <c r="U181" i="2"/>
  <c r="U180" i="2"/>
  <c r="U179" i="2"/>
  <c r="U178" i="2"/>
  <c r="U177" i="2"/>
  <c r="U176" i="2"/>
  <c r="U175" i="2"/>
  <c r="U174" i="2"/>
  <c r="U173" i="2"/>
  <c r="U172" i="2"/>
  <c r="U171" i="2"/>
  <c r="U170" i="2"/>
  <c r="U169" i="2"/>
  <c r="U168" i="2"/>
  <c r="U167" i="2"/>
  <c r="U166" i="2"/>
  <c r="U165" i="2"/>
  <c r="U164" i="2"/>
  <c r="U163" i="2"/>
  <c r="U162" i="2"/>
  <c r="U161" i="2"/>
  <c r="U160" i="2"/>
  <c r="U159" i="2"/>
  <c r="U158" i="2"/>
  <c r="U157" i="2"/>
  <c r="U156" i="2"/>
  <c r="U155" i="2"/>
  <c r="U154" i="2"/>
  <c r="U153" i="2"/>
  <c r="U152" i="2"/>
  <c r="U151" i="2"/>
  <c r="U150" i="2"/>
  <c r="U149" i="2"/>
  <c r="U148" i="2"/>
  <c r="U147" i="2"/>
  <c r="U146" i="2"/>
  <c r="U145" i="2"/>
  <c r="U144" i="2"/>
  <c r="U143" i="2"/>
  <c r="U142" i="2"/>
  <c r="U141" i="2"/>
  <c r="U140" i="2"/>
  <c r="U139" i="2"/>
  <c r="U138" i="2"/>
  <c r="U137" i="2"/>
  <c r="U136" i="2"/>
  <c r="U135" i="2"/>
  <c r="U134" i="2"/>
  <c r="U133" i="2"/>
  <c r="U132" i="2"/>
  <c r="U131" i="2"/>
  <c r="U130" i="2"/>
  <c r="U129" i="2"/>
  <c r="U128" i="2"/>
  <c r="U127" i="2"/>
  <c r="U126" i="2"/>
  <c r="U125" i="2"/>
  <c r="U124" i="2"/>
  <c r="U123" i="2"/>
  <c r="U122" i="2"/>
  <c r="U121" i="2"/>
  <c r="U120" i="2"/>
  <c r="U119" i="2"/>
  <c r="U118" i="2"/>
  <c r="U117" i="2"/>
  <c r="U116" i="2"/>
  <c r="U115" i="2"/>
  <c r="U114" i="2"/>
  <c r="U113" i="2"/>
  <c r="U112" i="2"/>
  <c r="U111" i="2"/>
  <c r="U110" i="2"/>
  <c r="U109" i="2"/>
  <c r="U108" i="2"/>
  <c r="U107" i="2"/>
  <c r="U106" i="2"/>
  <c r="U105" i="2"/>
  <c r="U104" i="2"/>
  <c r="U103" i="2"/>
  <c r="U102" i="2"/>
  <c r="U101" i="2"/>
  <c r="U100" i="2"/>
  <c r="U99" i="2"/>
  <c r="U98" i="2"/>
  <c r="U97" i="2"/>
  <c r="U96" i="2"/>
  <c r="U95" i="2"/>
  <c r="U94" i="2"/>
  <c r="U93" i="2"/>
  <c r="U92" i="2"/>
  <c r="U91" i="2"/>
  <c r="U90" i="2"/>
  <c r="U89" i="2"/>
  <c r="U88" i="2"/>
  <c r="U87" i="2"/>
  <c r="U86" i="2"/>
  <c r="U85" i="2"/>
  <c r="U84" i="2"/>
  <c r="U83" i="2"/>
  <c r="U82" i="2"/>
  <c r="U81" i="2"/>
  <c r="U80" i="2"/>
  <c r="U79" i="2"/>
  <c r="U78" i="2"/>
  <c r="U77" i="2"/>
  <c r="U76" i="2"/>
  <c r="U75" i="2"/>
  <c r="U74" i="2"/>
  <c r="U73" i="2"/>
  <c r="U72" i="2"/>
  <c r="U71" i="2"/>
  <c r="U70" i="2"/>
  <c r="U69" i="2"/>
  <c r="U68" i="2"/>
  <c r="U67" i="2"/>
  <c r="U66" i="2"/>
  <c r="U65" i="2"/>
  <c r="U64" i="2"/>
  <c r="U63" i="2"/>
  <c r="U62" i="2"/>
  <c r="U61" i="2"/>
  <c r="U60" i="2"/>
  <c r="U59" i="2"/>
  <c r="U58" i="2"/>
  <c r="U57" i="2"/>
  <c r="U56" i="2"/>
  <c r="U55" i="2"/>
  <c r="U54" i="2"/>
  <c r="U53" i="2"/>
  <c r="U52" i="2"/>
  <c r="U51" i="2"/>
  <c r="U50" i="2"/>
  <c r="U49" i="2"/>
  <c r="U48" i="2"/>
  <c r="U47" i="2"/>
  <c r="U46" i="2"/>
  <c r="U45" i="2"/>
  <c r="U44" i="2"/>
  <c r="U43" i="2"/>
  <c r="U42" i="2"/>
  <c r="U41" i="2"/>
  <c r="U40" i="2"/>
  <c r="U39" i="2"/>
  <c r="U38" i="2"/>
  <c r="U37" i="2"/>
  <c r="U36" i="2"/>
  <c r="U35" i="2"/>
  <c r="U34" i="2"/>
  <c r="U33" i="2"/>
  <c r="U32" i="2"/>
  <c r="U31" i="2"/>
  <c r="U30" i="2"/>
  <c r="U29" i="2"/>
  <c r="U28" i="2"/>
  <c r="U27" i="2"/>
  <c r="U26" i="2"/>
  <c r="U25" i="2"/>
  <c r="U24" i="2"/>
  <c r="U23" i="2"/>
  <c r="U22" i="2"/>
  <c r="U21" i="2"/>
  <c r="U20" i="2"/>
  <c r="U19" i="2"/>
  <c r="U18" i="2"/>
  <c r="U17" i="2"/>
  <c r="U16" i="2"/>
  <c r="U15" i="2"/>
  <c r="U14" i="2"/>
  <c r="U13" i="2"/>
  <c r="U12" i="2"/>
  <c r="U11" i="2"/>
  <c r="U10" i="2"/>
  <c r="U9" i="2"/>
  <c r="U8" i="2"/>
  <c r="U7" i="2"/>
  <c r="U6" i="2"/>
  <c r="U5" i="2"/>
  <c r="U4" i="2"/>
  <c r="W325" i="2"/>
  <c r="W324" i="2"/>
  <c r="W323" i="2"/>
  <c r="W322" i="2"/>
  <c r="W321" i="2"/>
  <c r="W320" i="2"/>
  <c r="W319" i="2"/>
  <c r="W318" i="2"/>
  <c r="W317" i="2"/>
  <c r="W316" i="2"/>
  <c r="W315" i="2"/>
  <c r="W314" i="2"/>
  <c r="W313" i="2"/>
  <c r="W312" i="2"/>
  <c r="W311" i="2"/>
  <c r="W310" i="2"/>
  <c r="W309" i="2"/>
  <c r="W308" i="2"/>
  <c r="W307" i="2"/>
  <c r="W306" i="2"/>
  <c r="W305" i="2"/>
  <c r="W304" i="2"/>
  <c r="W303" i="2"/>
  <c r="W302" i="2"/>
  <c r="W301" i="2"/>
  <c r="W300" i="2"/>
  <c r="W299" i="2"/>
  <c r="W298" i="2"/>
  <c r="W297" i="2"/>
  <c r="W296" i="2"/>
  <c r="W295" i="2"/>
  <c r="W294" i="2"/>
  <c r="W293" i="2"/>
  <c r="W292" i="2"/>
  <c r="W291" i="2"/>
  <c r="W290" i="2"/>
  <c r="W289" i="2"/>
  <c r="W288" i="2"/>
  <c r="W287" i="2"/>
  <c r="W286" i="2"/>
  <c r="W285" i="2"/>
  <c r="W284" i="2"/>
  <c r="W283" i="2"/>
  <c r="W282" i="2"/>
  <c r="W281" i="2"/>
  <c r="W280" i="2"/>
  <c r="W279" i="2"/>
  <c r="W278" i="2"/>
  <c r="W277" i="2"/>
  <c r="W276" i="2"/>
  <c r="W275" i="2"/>
  <c r="W274" i="2"/>
  <c r="W273" i="2"/>
  <c r="W272" i="2"/>
  <c r="W271" i="2"/>
  <c r="W270" i="2"/>
  <c r="W269" i="2"/>
  <c r="W268" i="2"/>
  <c r="W267" i="2"/>
  <c r="W266" i="2"/>
  <c r="W265" i="2"/>
  <c r="W264" i="2"/>
  <c r="W263" i="2"/>
  <c r="W262" i="2"/>
  <c r="W261" i="2"/>
  <c r="W260" i="2"/>
  <c r="W259" i="2"/>
  <c r="W258" i="2"/>
  <c r="W257" i="2"/>
  <c r="W256" i="2"/>
  <c r="W255" i="2"/>
  <c r="W254" i="2"/>
  <c r="W253" i="2"/>
  <c r="W252" i="2"/>
  <c r="W251" i="2"/>
  <c r="W250" i="2"/>
  <c r="W249" i="2"/>
  <c r="W248" i="2"/>
  <c r="W247" i="2"/>
  <c r="W246" i="2"/>
  <c r="W245" i="2"/>
  <c r="W244" i="2"/>
  <c r="W243" i="2"/>
  <c r="W242" i="2"/>
  <c r="W241" i="2"/>
  <c r="W240" i="2"/>
  <c r="W239" i="2"/>
  <c r="W238" i="2"/>
  <c r="W237" i="2"/>
  <c r="W236" i="2"/>
  <c r="W235" i="2"/>
  <c r="W234" i="2"/>
  <c r="W233" i="2"/>
  <c r="W232" i="2"/>
  <c r="W231" i="2"/>
  <c r="W230" i="2"/>
  <c r="W229" i="2"/>
  <c r="W228" i="2"/>
  <c r="W227" i="2"/>
  <c r="W226" i="2"/>
  <c r="W225" i="2"/>
  <c r="W224" i="2"/>
  <c r="W223" i="2"/>
  <c r="W222" i="2"/>
  <c r="W221" i="2"/>
  <c r="W220" i="2"/>
  <c r="W219" i="2"/>
  <c r="W218" i="2"/>
  <c r="W217" i="2"/>
  <c r="W216" i="2"/>
  <c r="W215" i="2"/>
  <c r="W214" i="2"/>
  <c r="W213" i="2"/>
  <c r="W212" i="2"/>
  <c r="W211" i="2"/>
  <c r="W210" i="2"/>
  <c r="W209" i="2"/>
  <c r="W208" i="2"/>
  <c r="W207" i="2"/>
  <c r="W206" i="2"/>
  <c r="W205" i="2"/>
  <c r="W204" i="2"/>
  <c r="W203" i="2"/>
  <c r="W202" i="2"/>
  <c r="W201" i="2"/>
  <c r="W200" i="2"/>
  <c r="W199" i="2"/>
  <c r="W198" i="2"/>
  <c r="W197" i="2"/>
  <c r="W196" i="2"/>
  <c r="W195" i="2"/>
  <c r="W194" i="2"/>
  <c r="W193" i="2"/>
  <c r="W192" i="2"/>
  <c r="W191" i="2"/>
  <c r="W190" i="2"/>
  <c r="W189" i="2"/>
  <c r="W188" i="2"/>
  <c r="W187" i="2"/>
  <c r="W186" i="2"/>
  <c r="W185" i="2"/>
  <c r="W184" i="2"/>
  <c r="W183" i="2"/>
  <c r="W182" i="2"/>
  <c r="W181" i="2"/>
  <c r="W180" i="2"/>
  <c r="W179" i="2"/>
  <c r="W178" i="2"/>
  <c r="W177" i="2"/>
  <c r="W176" i="2"/>
  <c r="W175" i="2"/>
  <c r="W174" i="2"/>
  <c r="W173" i="2"/>
  <c r="W172" i="2"/>
  <c r="W171" i="2"/>
  <c r="W170" i="2"/>
  <c r="W169" i="2"/>
  <c r="W168" i="2"/>
  <c r="W167" i="2"/>
  <c r="W166" i="2"/>
  <c r="W165" i="2"/>
  <c r="W164" i="2"/>
  <c r="W163" i="2"/>
  <c r="W162" i="2"/>
  <c r="W161" i="2"/>
  <c r="W160" i="2"/>
  <c r="W159" i="2"/>
  <c r="W158" i="2"/>
  <c r="W157" i="2"/>
  <c r="W156" i="2"/>
  <c r="W155" i="2"/>
  <c r="W154" i="2"/>
  <c r="W153" i="2"/>
  <c r="W152" i="2"/>
  <c r="W151" i="2"/>
  <c r="W150" i="2"/>
  <c r="W149" i="2"/>
  <c r="W148" i="2"/>
  <c r="W147" i="2"/>
  <c r="W146" i="2"/>
  <c r="W145" i="2"/>
  <c r="W144" i="2"/>
  <c r="W143" i="2"/>
  <c r="W142" i="2"/>
  <c r="W141" i="2"/>
  <c r="W140" i="2"/>
  <c r="W139" i="2"/>
  <c r="W138" i="2"/>
  <c r="W137" i="2"/>
  <c r="W136" i="2"/>
  <c r="W135" i="2"/>
  <c r="W134" i="2"/>
  <c r="W133" i="2"/>
  <c r="W132" i="2"/>
  <c r="W131" i="2"/>
  <c r="W130" i="2"/>
  <c r="W129" i="2"/>
  <c r="W128" i="2"/>
  <c r="W127" i="2"/>
  <c r="W126" i="2"/>
  <c r="W125" i="2"/>
  <c r="W124" i="2"/>
  <c r="W123" i="2"/>
  <c r="W122" i="2"/>
  <c r="W121" i="2"/>
  <c r="W120" i="2"/>
  <c r="W119" i="2"/>
  <c r="W118" i="2"/>
  <c r="W117" i="2"/>
  <c r="W116" i="2"/>
  <c r="W115" i="2"/>
  <c r="W114" i="2"/>
  <c r="W113" i="2"/>
  <c r="W112" i="2"/>
  <c r="W111" i="2"/>
  <c r="W110" i="2"/>
  <c r="W109" i="2"/>
  <c r="W108" i="2"/>
  <c r="W107" i="2"/>
  <c r="W106" i="2"/>
  <c r="W105" i="2"/>
  <c r="W104" i="2"/>
  <c r="W103" i="2"/>
  <c r="W102" i="2"/>
  <c r="W101" i="2"/>
  <c r="W100" i="2"/>
  <c r="W99" i="2"/>
  <c r="W98" i="2"/>
  <c r="W97" i="2"/>
  <c r="W96" i="2"/>
  <c r="W95" i="2"/>
  <c r="W94" i="2"/>
  <c r="W93" i="2"/>
  <c r="W92" i="2"/>
  <c r="W91" i="2"/>
  <c r="W90" i="2"/>
  <c r="W89" i="2"/>
  <c r="W88" i="2"/>
  <c r="W87" i="2"/>
  <c r="W86" i="2"/>
  <c r="W85" i="2"/>
  <c r="W84" i="2"/>
  <c r="W83" i="2"/>
  <c r="W82" i="2"/>
  <c r="W81" i="2"/>
  <c r="W80" i="2"/>
  <c r="W79" i="2"/>
  <c r="W78" i="2"/>
  <c r="W77" i="2"/>
  <c r="W76" i="2"/>
  <c r="W75" i="2"/>
  <c r="W74" i="2"/>
  <c r="W73" i="2"/>
  <c r="W72" i="2"/>
  <c r="W71" i="2"/>
  <c r="W70" i="2"/>
  <c r="W69" i="2"/>
  <c r="W68" i="2"/>
  <c r="W67" i="2"/>
  <c r="W66" i="2"/>
  <c r="W65" i="2"/>
  <c r="W64" i="2"/>
  <c r="W63" i="2"/>
  <c r="W62" i="2"/>
  <c r="W61" i="2"/>
  <c r="W60" i="2"/>
  <c r="W59" i="2"/>
  <c r="W58" i="2"/>
  <c r="W57" i="2"/>
  <c r="W56" i="2"/>
  <c r="W55" i="2"/>
  <c r="W54" i="2"/>
  <c r="W53" i="2"/>
  <c r="W52" i="2"/>
  <c r="W51" i="2"/>
  <c r="W50" i="2"/>
  <c r="W49" i="2"/>
  <c r="W48" i="2"/>
  <c r="W47" i="2"/>
  <c r="W46" i="2"/>
  <c r="W45" i="2"/>
  <c r="W44" i="2"/>
  <c r="W43" i="2"/>
  <c r="W42" i="2"/>
  <c r="W41" i="2"/>
  <c r="W40" i="2"/>
  <c r="W39" i="2"/>
  <c r="W38" i="2"/>
  <c r="W37" i="2"/>
  <c r="W36" i="2"/>
  <c r="W35" i="2"/>
  <c r="W34" i="2"/>
  <c r="W33" i="2"/>
  <c r="W32" i="2"/>
  <c r="W31" i="2"/>
  <c r="W30" i="2"/>
  <c r="W29" i="2"/>
  <c r="W28" i="2"/>
  <c r="W27" i="2"/>
  <c r="W26" i="2"/>
  <c r="W25" i="2"/>
  <c r="W24" i="2"/>
  <c r="W23" i="2"/>
  <c r="W22" i="2"/>
  <c r="W21" i="2"/>
  <c r="W20" i="2"/>
  <c r="W19" i="2"/>
  <c r="W18" i="2"/>
  <c r="W17" i="2"/>
  <c r="W16" i="2"/>
  <c r="W15" i="2"/>
  <c r="W14" i="2"/>
  <c r="W13" i="2"/>
  <c r="W12" i="2"/>
  <c r="W11" i="2"/>
  <c r="W10" i="2"/>
  <c r="W9" i="2"/>
  <c r="W8" i="2"/>
  <c r="W7" i="2"/>
  <c r="W6" i="2"/>
  <c r="W5" i="2"/>
  <c r="W4" i="2"/>
  <c r="BA325" i="2"/>
  <c r="BA324" i="2"/>
  <c r="BA323" i="2"/>
  <c r="BA322" i="2"/>
  <c r="BA321" i="2"/>
  <c r="BA320" i="2"/>
  <c r="BA319" i="2"/>
  <c r="BA318" i="2"/>
  <c r="BA317" i="2"/>
  <c r="BA316" i="2"/>
  <c r="BA315" i="2"/>
  <c r="BA314" i="2"/>
  <c r="BA313" i="2"/>
  <c r="BA312" i="2"/>
  <c r="BA311" i="2"/>
  <c r="BA310" i="2"/>
  <c r="BA309" i="2"/>
  <c r="BA308" i="2"/>
  <c r="BA307" i="2"/>
  <c r="BA306" i="2"/>
  <c r="BA305" i="2"/>
  <c r="BA304" i="2"/>
  <c r="BA303" i="2"/>
  <c r="BA302" i="2"/>
  <c r="BA301" i="2"/>
  <c r="BA300" i="2"/>
  <c r="BA299" i="2"/>
  <c r="BA298" i="2"/>
  <c r="BA297" i="2"/>
  <c r="BA296" i="2"/>
  <c r="BA295" i="2"/>
  <c r="BA294" i="2"/>
  <c r="BA293" i="2"/>
  <c r="BA292" i="2"/>
  <c r="BA291" i="2"/>
  <c r="BA290" i="2"/>
  <c r="BA289" i="2"/>
  <c r="BA288" i="2"/>
  <c r="BA287" i="2"/>
  <c r="BA286" i="2"/>
  <c r="BA285" i="2"/>
  <c r="BA284" i="2"/>
  <c r="BA283" i="2"/>
  <c r="BA282" i="2"/>
  <c r="BA281" i="2"/>
  <c r="BA280" i="2"/>
  <c r="BA279" i="2"/>
  <c r="BA278" i="2"/>
  <c r="BA277" i="2"/>
  <c r="BA276" i="2"/>
  <c r="BA275" i="2"/>
  <c r="BA274" i="2"/>
  <c r="BA273" i="2"/>
  <c r="BA272" i="2"/>
  <c r="BA271" i="2"/>
  <c r="BA270" i="2"/>
  <c r="BA269" i="2"/>
  <c r="BA268" i="2"/>
  <c r="BA267" i="2"/>
  <c r="BA266" i="2"/>
  <c r="BA265" i="2"/>
  <c r="BA264" i="2"/>
  <c r="BA263" i="2"/>
  <c r="BA262" i="2"/>
  <c r="BA261" i="2"/>
  <c r="BA260" i="2"/>
  <c r="BA259" i="2"/>
  <c r="BA258" i="2"/>
  <c r="BA257" i="2"/>
  <c r="BA256" i="2"/>
  <c r="BA255" i="2"/>
  <c r="BA254" i="2"/>
  <c r="BA253" i="2"/>
  <c r="BA252" i="2"/>
  <c r="BA251" i="2"/>
  <c r="BA250" i="2"/>
  <c r="BA249" i="2"/>
  <c r="BA248" i="2"/>
  <c r="BA247" i="2"/>
  <c r="BA246" i="2"/>
  <c r="BA245" i="2"/>
  <c r="BA244" i="2"/>
  <c r="BA243" i="2"/>
  <c r="BA242" i="2"/>
  <c r="BA241" i="2"/>
  <c r="BA240" i="2"/>
  <c r="BA239" i="2"/>
  <c r="BA238" i="2"/>
  <c r="BA237" i="2"/>
  <c r="BA236" i="2"/>
  <c r="BA235" i="2"/>
  <c r="BA234" i="2"/>
  <c r="BA233" i="2"/>
  <c r="BA232" i="2"/>
  <c r="BA231" i="2"/>
  <c r="BA230" i="2"/>
  <c r="BA229" i="2"/>
  <c r="BA228" i="2"/>
  <c r="BA227" i="2"/>
  <c r="BA226" i="2"/>
  <c r="BA225" i="2"/>
  <c r="BA224" i="2"/>
  <c r="BA223" i="2"/>
  <c r="BA222" i="2"/>
  <c r="BA221" i="2"/>
  <c r="BA220" i="2"/>
  <c r="BA219" i="2"/>
  <c r="BA218" i="2"/>
  <c r="BA217" i="2"/>
  <c r="BA216" i="2"/>
  <c r="BA215" i="2"/>
  <c r="BA214" i="2"/>
  <c r="BA213" i="2"/>
  <c r="BA212" i="2"/>
  <c r="BA211" i="2"/>
  <c r="BA210" i="2"/>
  <c r="BA209" i="2"/>
  <c r="BA208" i="2"/>
  <c r="BA207" i="2"/>
  <c r="BA206" i="2"/>
  <c r="BA205" i="2"/>
  <c r="BA204" i="2"/>
  <c r="BA203" i="2"/>
  <c r="BA202" i="2"/>
  <c r="BA201" i="2"/>
  <c r="BA200" i="2"/>
  <c r="BA199" i="2"/>
  <c r="BA198" i="2"/>
  <c r="BA197" i="2"/>
  <c r="BA196" i="2"/>
  <c r="BA195" i="2"/>
  <c r="BA194" i="2"/>
  <c r="BA193" i="2"/>
  <c r="BA192" i="2"/>
  <c r="BA191" i="2"/>
  <c r="BA190" i="2"/>
  <c r="BA189" i="2"/>
  <c r="BA188" i="2"/>
  <c r="BA187" i="2"/>
  <c r="BA186" i="2"/>
  <c r="BA185" i="2"/>
  <c r="BA184" i="2"/>
  <c r="BA183" i="2"/>
  <c r="BA182" i="2"/>
  <c r="BA181" i="2"/>
  <c r="BA180" i="2"/>
  <c r="BA179" i="2"/>
  <c r="BA178" i="2"/>
  <c r="BA177" i="2"/>
  <c r="BA176" i="2"/>
  <c r="BA175" i="2"/>
  <c r="BA174" i="2"/>
  <c r="BA173" i="2"/>
  <c r="BA172" i="2"/>
  <c r="BA171" i="2"/>
  <c r="BA170" i="2"/>
  <c r="BA169" i="2"/>
  <c r="BA168" i="2"/>
  <c r="BA167" i="2"/>
  <c r="BA166" i="2"/>
  <c r="BA165" i="2"/>
  <c r="BA164" i="2"/>
  <c r="BA163" i="2"/>
  <c r="BA162" i="2"/>
  <c r="BA161" i="2"/>
  <c r="BA160" i="2"/>
  <c r="BA159" i="2"/>
  <c r="BA158" i="2"/>
  <c r="BA157" i="2"/>
  <c r="BA156" i="2"/>
  <c r="BA155" i="2"/>
  <c r="BA154" i="2"/>
  <c r="BA153" i="2"/>
  <c r="BA152" i="2"/>
  <c r="BA151" i="2"/>
  <c r="BA150" i="2"/>
  <c r="BA149" i="2"/>
  <c r="BA148" i="2"/>
  <c r="BA147" i="2"/>
  <c r="BA146" i="2"/>
  <c r="BA145" i="2"/>
  <c r="BA144" i="2"/>
  <c r="BA143" i="2"/>
  <c r="BA142" i="2"/>
  <c r="BA141" i="2"/>
  <c r="BA140" i="2"/>
  <c r="BA139" i="2"/>
  <c r="BA138" i="2"/>
  <c r="BA137" i="2"/>
  <c r="BA136" i="2"/>
  <c r="BA135" i="2"/>
  <c r="BA134" i="2"/>
  <c r="BA133" i="2"/>
  <c r="BA132" i="2"/>
  <c r="BA131" i="2"/>
  <c r="BA130" i="2"/>
  <c r="BA129" i="2"/>
  <c r="BA128" i="2"/>
  <c r="BA127" i="2"/>
  <c r="BA126" i="2"/>
  <c r="BA125" i="2"/>
  <c r="BA124" i="2"/>
  <c r="BA123" i="2"/>
  <c r="BA122" i="2"/>
  <c r="BA121" i="2"/>
  <c r="BA120" i="2"/>
  <c r="BA119" i="2"/>
  <c r="BA118" i="2"/>
  <c r="BA117" i="2"/>
  <c r="BA116" i="2"/>
  <c r="BA115" i="2"/>
  <c r="BA114" i="2"/>
  <c r="BA113" i="2"/>
  <c r="BA112" i="2"/>
  <c r="BA111" i="2"/>
  <c r="BA110" i="2"/>
  <c r="BA109" i="2"/>
  <c r="BA108" i="2"/>
  <c r="BA107" i="2"/>
  <c r="BA106" i="2"/>
  <c r="BA105" i="2"/>
  <c r="BA104" i="2"/>
  <c r="BA103" i="2"/>
  <c r="BA102" i="2"/>
  <c r="BA101" i="2"/>
  <c r="BA100" i="2"/>
  <c r="BA99" i="2"/>
  <c r="BA98" i="2"/>
  <c r="BA97" i="2"/>
  <c r="BA96" i="2"/>
  <c r="BA95" i="2"/>
  <c r="BA94" i="2"/>
  <c r="BA93" i="2"/>
  <c r="BA92" i="2"/>
  <c r="BA91" i="2"/>
  <c r="BA90" i="2"/>
  <c r="BA89" i="2"/>
  <c r="BA88" i="2"/>
  <c r="BA87" i="2"/>
  <c r="BA86" i="2"/>
  <c r="BA85" i="2"/>
  <c r="BA84" i="2"/>
  <c r="BA83" i="2"/>
  <c r="BA82" i="2"/>
  <c r="BA81" i="2"/>
  <c r="BA80" i="2"/>
  <c r="BA79" i="2"/>
  <c r="BA78" i="2"/>
  <c r="BA77" i="2"/>
  <c r="BA76" i="2"/>
  <c r="BA75" i="2"/>
  <c r="BA74" i="2"/>
  <c r="BA73" i="2"/>
  <c r="BA72" i="2"/>
  <c r="BA71" i="2"/>
  <c r="BA70" i="2"/>
  <c r="BA69" i="2"/>
  <c r="BA68" i="2"/>
  <c r="BA67" i="2"/>
  <c r="BA66" i="2"/>
  <c r="BA65" i="2"/>
  <c r="BA64" i="2"/>
  <c r="BA63" i="2"/>
  <c r="BA62" i="2"/>
  <c r="BA61" i="2"/>
  <c r="BA60" i="2"/>
  <c r="BA59" i="2"/>
  <c r="BA58" i="2"/>
  <c r="BA57" i="2"/>
  <c r="BA56" i="2"/>
  <c r="BA55" i="2"/>
  <c r="BA54" i="2"/>
  <c r="BA53" i="2"/>
  <c r="BA52" i="2"/>
  <c r="BA51" i="2"/>
  <c r="BA50" i="2"/>
  <c r="BA49" i="2"/>
  <c r="BA48" i="2"/>
  <c r="BA47" i="2"/>
  <c r="BA46" i="2"/>
  <c r="BA45" i="2"/>
  <c r="BA44" i="2"/>
  <c r="BA43" i="2"/>
  <c r="BA42" i="2"/>
  <c r="BA41" i="2"/>
  <c r="BA40" i="2"/>
  <c r="BA39" i="2"/>
  <c r="BA38" i="2"/>
  <c r="BA37" i="2"/>
  <c r="BA36" i="2"/>
  <c r="BA35" i="2"/>
  <c r="BA34" i="2"/>
  <c r="BA33" i="2"/>
  <c r="BA32" i="2"/>
  <c r="BA31" i="2"/>
  <c r="BA30" i="2"/>
  <c r="BA29" i="2"/>
  <c r="BA28" i="2"/>
  <c r="BA27" i="2"/>
  <c r="BA26" i="2"/>
  <c r="BA25" i="2"/>
  <c r="BA24" i="2"/>
  <c r="BA23" i="2"/>
  <c r="BA22" i="2"/>
  <c r="BA21" i="2"/>
  <c r="BA20" i="2"/>
  <c r="BA19" i="2"/>
  <c r="BA18" i="2"/>
  <c r="BA17" i="2"/>
  <c r="BA16" i="2"/>
  <c r="BA15" i="2"/>
  <c r="BA14" i="2"/>
  <c r="BA13" i="2"/>
  <c r="BA12" i="2"/>
  <c r="BA11" i="2"/>
  <c r="BA10" i="2"/>
  <c r="BA9" i="2"/>
  <c r="BA8" i="2"/>
  <c r="BA7" i="2"/>
  <c r="BA6" i="2"/>
  <c r="BA5" i="2"/>
  <c r="BA4" i="2"/>
  <c r="AQ325" i="2"/>
  <c r="AQ324" i="2"/>
  <c r="AQ323" i="2"/>
  <c r="AQ322" i="2"/>
  <c r="AQ321" i="2"/>
  <c r="AQ320" i="2"/>
  <c r="AQ319" i="2"/>
  <c r="AQ318" i="2"/>
  <c r="AQ317" i="2"/>
  <c r="AQ316" i="2"/>
  <c r="AQ315" i="2"/>
  <c r="AQ314" i="2"/>
  <c r="AQ313" i="2"/>
  <c r="AQ312" i="2"/>
  <c r="AQ311" i="2"/>
  <c r="AQ310" i="2"/>
  <c r="AQ309" i="2"/>
  <c r="AQ308" i="2"/>
  <c r="AQ307" i="2"/>
  <c r="AQ306" i="2"/>
  <c r="AQ305" i="2"/>
  <c r="AQ304" i="2"/>
  <c r="AQ303" i="2"/>
  <c r="AQ302" i="2"/>
  <c r="AQ301" i="2"/>
  <c r="AQ300" i="2"/>
  <c r="AQ299" i="2"/>
  <c r="AQ298" i="2"/>
  <c r="AQ297" i="2"/>
  <c r="AQ296" i="2"/>
  <c r="AQ295" i="2"/>
  <c r="AQ294" i="2"/>
  <c r="AQ293" i="2"/>
  <c r="AQ292" i="2"/>
  <c r="AQ291" i="2"/>
  <c r="AQ290" i="2"/>
  <c r="AQ289" i="2"/>
  <c r="AQ288" i="2"/>
  <c r="AQ287" i="2"/>
  <c r="AQ286" i="2"/>
  <c r="AQ285" i="2"/>
  <c r="AQ284" i="2"/>
  <c r="AQ283" i="2"/>
  <c r="AQ282" i="2"/>
  <c r="AQ281" i="2"/>
  <c r="AQ280" i="2"/>
  <c r="AQ279" i="2"/>
  <c r="AQ278" i="2"/>
  <c r="AQ277" i="2"/>
  <c r="AQ276" i="2"/>
  <c r="AQ275" i="2"/>
  <c r="AQ274" i="2"/>
  <c r="AQ273" i="2"/>
  <c r="AQ272" i="2"/>
  <c r="AQ271" i="2"/>
  <c r="AQ270" i="2"/>
  <c r="AQ269" i="2"/>
  <c r="AQ268" i="2"/>
  <c r="AQ267" i="2"/>
  <c r="AQ266" i="2"/>
  <c r="AQ265" i="2"/>
  <c r="AQ264" i="2"/>
  <c r="AQ263" i="2"/>
  <c r="AQ262" i="2"/>
  <c r="AQ261" i="2"/>
  <c r="AQ260" i="2"/>
  <c r="AQ259" i="2"/>
  <c r="AQ258" i="2"/>
  <c r="AQ257" i="2"/>
  <c r="AQ256" i="2"/>
  <c r="AQ255" i="2"/>
  <c r="AQ254" i="2"/>
  <c r="AQ253" i="2"/>
  <c r="AQ252" i="2"/>
  <c r="AQ251" i="2"/>
  <c r="AQ250" i="2"/>
  <c r="AQ249" i="2"/>
  <c r="AQ248" i="2"/>
  <c r="AQ247" i="2"/>
  <c r="AQ246" i="2"/>
  <c r="AQ245" i="2"/>
  <c r="AQ244" i="2"/>
  <c r="AQ243" i="2"/>
  <c r="AQ242" i="2"/>
  <c r="AQ241" i="2"/>
  <c r="AQ240" i="2"/>
  <c r="AQ239" i="2"/>
  <c r="AQ238" i="2"/>
  <c r="AQ237" i="2"/>
  <c r="AQ236" i="2"/>
  <c r="AQ235" i="2"/>
  <c r="AQ234" i="2"/>
  <c r="AQ233" i="2"/>
  <c r="AQ232" i="2"/>
  <c r="AQ231" i="2"/>
  <c r="AQ230" i="2"/>
  <c r="AQ229" i="2"/>
  <c r="AQ228" i="2"/>
  <c r="AQ227" i="2"/>
  <c r="AQ226" i="2"/>
  <c r="AQ225" i="2"/>
  <c r="AQ224" i="2"/>
  <c r="AQ223" i="2"/>
  <c r="AQ222" i="2"/>
  <c r="AQ221" i="2"/>
  <c r="AQ220" i="2"/>
  <c r="AQ219" i="2"/>
  <c r="AQ218" i="2"/>
  <c r="AQ217" i="2"/>
  <c r="AQ216" i="2"/>
  <c r="AQ215" i="2"/>
  <c r="AQ214" i="2"/>
  <c r="AQ213" i="2"/>
  <c r="AQ212" i="2"/>
  <c r="AQ211" i="2"/>
  <c r="AQ210" i="2"/>
  <c r="AQ209" i="2"/>
  <c r="AQ208" i="2"/>
  <c r="AQ207" i="2"/>
  <c r="AQ206" i="2"/>
  <c r="AQ205" i="2"/>
  <c r="AQ204" i="2"/>
  <c r="AQ203" i="2"/>
  <c r="AQ202" i="2"/>
  <c r="AQ201" i="2"/>
  <c r="AQ200" i="2"/>
  <c r="AQ199" i="2"/>
  <c r="AQ198" i="2"/>
  <c r="AQ197" i="2"/>
  <c r="AQ196" i="2"/>
  <c r="AQ195" i="2"/>
  <c r="AQ194" i="2"/>
  <c r="AQ193" i="2"/>
  <c r="AQ192" i="2"/>
  <c r="AQ191" i="2"/>
  <c r="AQ190" i="2"/>
  <c r="AQ189" i="2"/>
  <c r="AQ188" i="2"/>
  <c r="AQ187" i="2"/>
  <c r="AQ186" i="2"/>
  <c r="AQ185" i="2"/>
  <c r="AQ184" i="2"/>
  <c r="AQ183" i="2"/>
  <c r="AQ182" i="2"/>
  <c r="AQ181" i="2"/>
  <c r="AQ180" i="2"/>
  <c r="AQ179" i="2"/>
  <c r="AQ178" i="2"/>
  <c r="AQ177" i="2"/>
  <c r="AQ176" i="2"/>
  <c r="AQ175" i="2"/>
  <c r="AQ174" i="2"/>
  <c r="AQ173" i="2"/>
  <c r="AQ172" i="2"/>
  <c r="AQ171" i="2"/>
  <c r="AQ170" i="2"/>
  <c r="AQ169" i="2"/>
  <c r="AQ168" i="2"/>
  <c r="AQ167" i="2"/>
  <c r="AQ166" i="2"/>
  <c r="AQ165" i="2"/>
  <c r="AQ164" i="2"/>
  <c r="AQ163" i="2"/>
  <c r="AQ162" i="2"/>
  <c r="AQ161" i="2"/>
  <c r="AQ160" i="2"/>
  <c r="AQ159" i="2"/>
  <c r="AQ158" i="2"/>
  <c r="AQ157" i="2"/>
  <c r="AQ156" i="2"/>
  <c r="AQ155" i="2"/>
  <c r="AQ154" i="2"/>
  <c r="AQ153" i="2"/>
  <c r="AQ152" i="2"/>
  <c r="AQ151" i="2"/>
  <c r="AQ150" i="2"/>
  <c r="AQ149" i="2"/>
  <c r="AQ148" i="2"/>
  <c r="AQ147" i="2"/>
  <c r="AQ146" i="2"/>
  <c r="AQ145" i="2"/>
  <c r="AQ144" i="2"/>
  <c r="AQ143" i="2"/>
  <c r="AQ142" i="2"/>
  <c r="AQ141" i="2"/>
  <c r="AQ140" i="2"/>
  <c r="AQ139" i="2"/>
  <c r="AQ138" i="2"/>
  <c r="AQ137" i="2"/>
  <c r="AQ136" i="2"/>
  <c r="AQ135" i="2"/>
  <c r="AQ134" i="2"/>
  <c r="AQ133" i="2"/>
  <c r="AQ132" i="2"/>
  <c r="AQ131" i="2"/>
  <c r="AQ130" i="2"/>
  <c r="AQ129" i="2"/>
  <c r="AQ128" i="2"/>
  <c r="AQ127" i="2"/>
  <c r="AQ126" i="2"/>
  <c r="AQ125" i="2"/>
  <c r="AQ124" i="2"/>
  <c r="AQ123" i="2"/>
  <c r="AQ122" i="2"/>
  <c r="AQ121" i="2"/>
  <c r="AQ120" i="2"/>
  <c r="AQ119" i="2"/>
  <c r="AQ118" i="2"/>
  <c r="AQ117" i="2"/>
  <c r="AQ116" i="2"/>
  <c r="AQ115" i="2"/>
  <c r="AQ114" i="2"/>
  <c r="AQ113" i="2"/>
  <c r="AQ112" i="2"/>
  <c r="AQ111" i="2"/>
  <c r="AQ110" i="2"/>
  <c r="AQ109" i="2"/>
  <c r="AQ108" i="2"/>
  <c r="AQ107" i="2"/>
  <c r="AQ106" i="2"/>
  <c r="AQ105" i="2"/>
  <c r="AQ104" i="2"/>
  <c r="AQ103" i="2"/>
  <c r="AQ102" i="2"/>
  <c r="AQ101" i="2"/>
  <c r="AQ100" i="2"/>
  <c r="AQ99" i="2"/>
  <c r="AQ98" i="2"/>
  <c r="AQ97" i="2"/>
  <c r="AQ96" i="2"/>
  <c r="AQ95" i="2"/>
  <c r="AQ94" i="2"/>
  <c r="AQ93" i="2"/>
  <c r="AQ92" i="2"/>
  <c r="AQ91" i="2"/>
  <c r="AQ90" i="2"/>
  <c r="AQ89" i="2"/>
  <c r="AQ88" i="2"/>
  <c r="AQ87" i="2"/>
  <c r="AQ86" i="2"/>
  <c r="AQ85" i="2"/>
  <c r="AQ84" i="2"/>
  <c r="AQ83" i="2"/>
  <c r="AQ82" i="2"/>
  <c r="AQ81" i="2"/>
  <c r="AQ80" i="2"/>
  <c r="AQ79" i="2"/>
  <c r="AQ78" i="2"/>
  <c r="AQ77" i="2"/>
  <c r="AQ76" i="2"/>
  <c r="AQ75" i="2"/>
  <c r="AQ74" i="2"/>
  <c r="AQ73" i="2"/>
  <c r="AQ72" i="2"/>
  <c r="AQ71" i="2"/>
  <c r="AQ70" i="2"/>
  <c r="AQ69" i="2"/>
  <c r="AQ68" i="2"/>
  <c r="AQ67" i="2"/>
  <c r="AQ66" i="2"/>
  <c r="AQ65" i="2"/>
  <c r="AQ64" i="2"/>
  <c r="AQ63" i="2"/>
  <c r="AQ62" i="2"/>
  <c r="AQ61" i="2"/>
  <c r="AQ60" i="2"/>
  <c r="AQ59" i="2"/>
  <c r="AQ58" i="2"/>
  <c r="AQ57" i="2"/>
  <c r="AQ56" i="2"/>
  <c r="AQ55" i="2"/>
  <c r="AQ54" i="2"/>
  <c r="AQ53" i="2"/>
  <c r="AQ52" i="2"/>
  <c r="AQ51" i="2"/>
  <c r="AQ50" i="2"/>
  <c r="AQ49" i="2"/>
  <c r="AQ48" i="2"/>
  <c r="AQ47" i="2"/>
  <c r="AQ46" i="2"/>
  <c r="AQ45" i="2"/>
  <c r="AQ44" i="2"/>
  <c r="AQ43" i="2"/>
  <c r="AQ42" i="2"/>
  <c r="AQ41" i="2"/>
  <c r="AQ40" i="2"/>
  <c r="AQ39" i="2"/>
  <c r="AQ38" i="2"/>
  <c r="AQ37" i="2"/>
  <c r="AQ36" i="2"/>
  <c r="AQ35" i="2"/>
  <c r="AQ34" i="2"/>
  <c r="AQ33" i="2"/>
  <c r="AQ32" i="2"/>
  <c r="AQ31" i="2"/>
  <c r="AQ30" i="2"/>
  <c r="AQ29" i="2"/>
  <c r="AQ28" i="2"/>
  <c r="AQ27" i="2"/>
  <c r="AQ26" i="2"/>
  <c r="AQ25" i="2"/>
  <c r="AQ24" i="2"/>
  <c r="AQ23" i="2"/>
  <c r="AQ22" i="2"/>
  <c r="AQ21" i="2"/>
  <c r="AQ20" i="2"/>
  <c r="AQ19" i="2"/>
  <c r="AQ18" i="2"/>
  <c r="AQ17" i="2"/>
  <c r="AQ16" i="2"/>
  <c r="AQ15" i="2"/>
  <c r="AQ14" i="2"/>
  <c r="AQ13" i="2"/>
  <c r="AQ12" i="2"/>
  <c r="AQ11" i="2"/>
  <c r="AQ10" i="2"/>
  <c r="AQ9" i="2"/>
  <c r="AQ8" i="2"/>
  <c r="AQ7" i="2"/>
  <c r="AQ6" i="2"/>
  <c r="AQ5" i="2"/>
  <c r="AQ4" i="2"/>
  <c r="AG325" i="2"/>
  <c r="AG324" i="2"/>
  <c r="AG323" i="2"/>
  <c r="AG322" i="2"/>
  <c r="AG321" i="2"/>
  <c r="AG320" i="2"/>
  <c r="AG319" i="2"/>
  <c r="AG318" i="2"/>
  <c r="AG317" i="2"/>
  <c r="AG316" i="2"/>
  <c r="AG315" i="2"/>
  <c r="AG314" i="2"/>
  <c r="AG313" i="2"/>
  <c r="AG312" i="2"/>
  <c r="AG311" i="2"/>
  <c r="AG310" i="2"/>
  <c r="AG309" i="2"/>
  <c r="AG308" i="2"/>
  <c r="AG307" i="2"/>
  <c r="AG306" i="2"/>
  <c r="AG305" i="2"/>
  <c r="AG304" i="2"/>
  <c r="AG303" i="2"/>
  <c r="AG302" i="2"/>
  <c r="AG301" i="2"/>
  <c r="AG300" i="2"/>
  <c r="AG299" i="2"/>
  <c r="AG298" i="2"/>
  <c r="AG297" i="2"/>
  <c r="AG296" i="2"/>
  <c r="AG295" i="2"/>
  <c r="AG294" i="2"/>
  <c r="AG293" i="2"/>
  <c r="AG292" i="2"/>
  <c r="AG291" i="2"/>
  <c r="AG290" i="2"/>
  <c r="AG289" i="2"/>
  <c r="AG288" i="2"/>
  <c r="AG287" i="2"/>
  <c r="AG286" i="2"/>
  <c r="AG285" i="2"/>
  <c r="AG284" i="2"/>
  <c r="AG283" i="2"/>
  <c r="AG282" i="2"/>
  <c r="AG281" i="2"/>
  <c r="AG280" i="2"/>
  <c r="AG279" i="2"/>
  <c r="AG278" i="2"/>
  <c r="AG277" i="2"/>
  <c r="AG276" i="2"/>
  <c r="AG275" i="2"/>
  <c r="AG274" i="2"/>
  <c r="AG273" i="2"/>
  <c r="AG272" i="2"/>
  <c r="AG271" i="2"/>
  <c r="AG270" i="2"/>
  <c r="AG269" i="2"/>
  <c r="AG268" i="2"/>
  <c r="AG267" i="2"/>
  <c r="AG266" i="2"/>
  <c r="AG265" i="2"/>
  <c r="AG264" i="2"/>
  <c r="AG263" i="2"/>
  <c r="AG262" i="2"/>
  <c r="AG261" i="2"/>
  <c r="AG260" i="2"/>
  <c r="AG259" i="2"/>
  <c r="AG258" i="2"/>
  <c r="AG257" i="2"/>
  <c r="AG256" i="2"/>
  <c r="AG255" i="2"/>
  <c r="AG254" i="2"/>
  <c r="AG253" i="2"/>
  <c r="AG252" i="2"/>
  <c r="AG251" i="2"/>
  <c r="AG250" i="2"/>
  <c r="AG249" i="2"/>
  <c r="AG248" i="2"/>
  <c r="AG247" i="2"/>
  <c r="AG246" i="2"/>
  <c r="AG245" i="2"/>
  <c r="AG244" i="2"/>
  <c r="AG243" i="2"/>
  <c r="AG242" i="2"/>
  <c r="AG241" i="2"/>
  <c r="AG240" i="2"/>
  <c r="AG239" i="2"/>
  <c r="AG238" i="2"/>
  <c r="AG237" i="2"/>
  <c r="AG236" i="2"/>
  <c r="AG235" i="2"/>
  <c r="AG234" i="2"/>
  <c r="AG233" i="2"/>
  <c r="AG232" i="2"/>
  <c r="AG231" i="2"/>
  <c r="AG230" i="2"/>
  <c r="AG229" i="2"/>
  <c r="AG228" i="2"/>
  <c r="AG227" i="2"/>
  <c r="AG226" i="2"/>
  <c r="AG225" i="2"/>
  <c r="AG224" i="2"/>
  <c r="AG223" i="2"/>
  <c r="AG222" i="2"/>
  <c r="AG221" i="2"/>
  <c r="AG220" i="2"/>
  <c r="AG219" i="2"/>
  <c r="AG218" i="2"/>
  <c r="AG217" i="2"/>
  <c r="AG216" i="2"/>
  <c r="AG215" i="2"/>
  <c r="AG214" i="2"/>
  <c r="AG213" i="2"/>
  <c r="AG212" i="2"/>
  <c r="AG211" i="2"/>
  <c r="AG210" i="2"/>
  <c r="AG209" i="2"/>
  <c r="AG208" i="2"/>
  <c r="AG207" i="2"/>
  <c r="AG206" i="2"/>
  <c r="AG205" i="2"/>
  <c r="AG204" i="2"/>
  <c r="AG203" i="2"/>
  <c r="AG202" i="2"/>
  <c r="AG201" i="2"/>
  <c r="AG200" i="2"/>
  <c r="AG199" i="2"/>
  <c r="AG198" i="2"/>
  <c r="AG197" i="2"/>
  <c r="AG196" i="2"/>
  <c r="AG195" i="2"/>
  <c r="AG194" i="2"/>
  <c r="AG193" i="2"/>
  <c r="AG192" i="2"/>
  <c r="AG191" i="2"/>
  <c r="AG190" i="2"/>
  <c r="AG189" i="2"/>
  <c r="AG188" i="2"/>
  <c r="AG187" i="2"/>
  <c r="AG186" i="2"/>
  <c r="AG185" i="2"/>
  <c r="AG184" i="2"/>
  <c r="AG183" i="2"/>
  <c r="AG182" i="2"/>
  <c r="AG181" i="2"/>
  <c r="AG180" i="2"/>
  <c r="AG179" i="2"/>
  <c r="AG178" i="2"/>
  <c r="AG177" i="2"/>
  <c r="AG176" i="2"/>
  <c r="AG175" i="2"/>
  <c r="AG174" i="2"/>
  <c r="AG173" i="2"/>
  <c r="AG172" i="2"/>
  <c r="AG171" i="2"/>
  <c r="AG170" i="2"/>
  <c r="AG169" i="2"/>
  <c r="AG168" i="2"/>
  <c r="AG167" i="2"/>
  <c r="AG166" i="2"/>
  <c r="AG165" i="2"/>
  <c r="AG164" i="2"/>
  <c r="AG163" i="2"/>
  <c r="AG162" i="2"/>
  <c r="AG161" i="2"/>
  <c r="AG160" i="2"/>
  <c r="AG159" i="2"/>
  <c r="AG158" i="2"/>
  <c r="AG157" i="2"/>
  <c r="AG156" i="2"/>
  <c r="AG155" i="2"/>
  <c r="AG154" i="2"/>
  <c r="AG153" i="2"/>
  <c r="AG152" i="2"/>
  <c r="AG151" i="2"/>
  <c r="AG150" i="2"/>
  <c r="AG149" i="2"/>
  <c r="AG148" i="2"/>
  <c r="AG147" i="2"/>
  <c r="AG146" i="2"/>
  <c r="AG145" i="2"/>
  <c r="AG144" i="2"/>
  <c r="AG143" i="2"/>
  <c r="AG142" i="2"/>
  <c r="AG141" i="2"/>
  <c r="AG140" i="2"/>
  <c r="AG139" i="2"/>
  <c r="AG138" i="2"/>
  <c r="AG137" i="2"/>
  <c r="AG136" i="2"/>
  <c r="AG135" i="2"/>
  <c r="AG134" i="2"/>
  <c r="AG133" i="2"/>
  <c r="AG132" i="2"/>
  <c r="AG131" i="2"/>
  <c r="AG130" i="2"/>
  <c r="AG129" i="2"/>
  <c r="AG128" i="2"/>
  <c r="AG127" i="2"/>
  <c r="AG126" i="2"/>
  <c r="AG125" i="2"/>
  <c r="AG124" i="2"/>
  <c r="AG123" i="2"/>
  <c r="AG122" i="2"/>
  <c r="AG121" i="2"/>
  <c r="AG120" i="2"/>
  <c r="AG119" i="2"/>
  <c r="AG118" i="2"/>
  <c r="AG117" i="2"/>
  <c r="AG116" i="2"/>
  <c r="AG115" i="2"/>
  <c r="AG114" i="2"/>
  <c r="AG113" i="2"/>
  <c r="AG112" i="2"/>
  <c r="AG111" i="2"/>
  <c r="AG110" i="2"/>
  <c r="AG109" i="2"/>
  <c r="AG108" i="2"/>
  <c r="AG107" i="2"/>
  <c r="AG106" i="2"/>
  <c r="AG105" i="2"/>
  <c r="AG104" i="2"/>
  <c r="AG103" i="2"/>
  <c r="AG102" i="2"/>
  <c r="AG101" i="2"/>
  <c r="AG100" i="2"/>
  <c r="AG99" i="2"/>
  <c r="AG98" i="2"/>
  <c r="AG97" i="2"/>
  <c r="AG96" i="2"/>
  <c r="AG95" i="2"/>
  <c r="AG94" i="2"/>
  <c r="AG93" i="2"/>
  <c r="AG92" i="2"/>
  <c r="AG91" i="2"/>
  <c r="AG90" i="2"/>
  <c r="AG89" i="2"/>
  <c r="AG88" i="2"/>
  <c r="AG87" i="2"/>
  <c r="AG86" i="2"/>
  <c r="AG85" i="2"/>
  <c r="AG84" i="2"/>
  <c r="AG83" i="2"/>
  <c r="AG82" i="2"/>
  <c r="AG81" i="2"/>
  <c r="AG80" i="2"/>
  <c r="AG79" i="2"/>
  <c r="AG78" i="2"/>
  <c r="AG77" i="2"/>
  <c r="AG76" i="2"/>
  <c r="AG75" i="2"/>
  <c r="AG74" i="2"/>
  <c r="AG73" i="2"/>
  <c r="AG72" i="2"/>
  <c r="AG71" i="2"/>
  <c r="AG70" i="2"/>
  <c r="AG69" i="2"/>
  <c r="AG68" i="2"/>
  <c r="AG67" i="2"/>
  <c r="AG66" i="2"/>
  <c r="AG65" i="2"/>
  <c r="AG64" i="2"/>
  <c r="AG63" i="2"/>
  <c r="AG62" i="2"/>
  <c r="AG61" i="2"/>
  <c r="AG60" i="2"/>
  <c r="AG59" i="2"/>
  <c r="AG58" i="2"/>
  <c r="AG57" i="2"/>
  <c r="AG56" i="2"/>
  <c r="AG55" i="2"/>
  <c r="AG54" i="2"/>
  <c r="AG53" i="2"/>
  <c r="AG52" i="2"/>
  <c r="AG51" i="2"/>
  <c r="AG50" i="2"/>
  <c r="AG49" i="2"/>
  <c r="AG48" i="2"/>
  <c r="AG47" i="2"/>
  <c r="AG46" i="2"/>
  <c r="AG45" i="2"/>
  <c r="AG44" i="2"/>
  <c r="AG43" i="2"/>
  <c r="AG42" i="2"/>
  <c r="AG41" i="2"/>
  <c r="AG40" i="2"/>
  <c r="AG39" i="2"/>
  <c r="AG38" i="2"/>
  <c r="AG37" i="2"/>
  <c r="AG36" i="2"/>
  <c r="AG35" i="2"/>
  <c r="AG34" i="2"/>
  <c r="AG33" i="2"/>
  <c r="AG32" i="2"/>
  <c r="AG31" i="2"/>
  <c r="AG30" i="2"/>
  <c r="AG29" i="2"/>
  <c r="AG28" i="2"/>
  <c r="AG27" i="2"/>
  <c r="AG26" i="2"/>
  <c r="AG25" i="2"/>
  <c r="AG24" i="2"/>
  <c r="AG23" i="2"/>
  <c r="AG22" i="2"/>
  <c r="AG21" i="2"/>
  <c r="AG20" i="2"/>
  <c r="AG19" i="2"/>
  <c r="AG18" i="2"/>
  <c r="AG17" i="2"/>
  <c r="AG16" i="2"/>
  <c r="AG15" i="2"/>
  <c r="AG14" i="2"/>
  <c r="AG13" i="2"/>
  <c r="AG12" i="2"/>
  <c r="AG11" i="2"/>
  <c r="AG10" i="2"/>
  <c r="AG9" i="2"/>
  <c r="AG8" i="2"/>
  <c r="AG7" i="2"/>
  <c r="AG6" i="2"/>
  <c r="AG5" i="2"/>
  <c r="AG4" i="2"/>
  <c r="AY325" i="2"/>
  <c r="AY324" i="2"/>
  <c r="AY323" i="2"/>
  <c r="AY322" i="2"/>
  <c r="AY321" i="2"/>
  <c r="AY320" i="2"/>
  <c r="AY319" i="2"/>
  <c r="AY318" i="2"/>
  <c r="AY317" i="2"/>
  <c r="AY316" i="2"/>
  <c r="AY315" i="2"/>
  <c r="AY314" i="2"/>
  <c r="AY313" i="2"/>
  <c r="AY312" i="2"/>
  <c r="AY311" i="2"/>
  <c r="AY310" i="2"/>
  <c r="AY309" i="2"/>
  <c r="AY308" i="2"/>
  <c r="AY307" i="2"/>
  <c r="AY306" i="2"/>
  <c r="AY305" i="2"/>
  <c r="AY304" i="2"/>
  <c r="AY303" i="2"/>
  <c r="AY302" i="2"/>
  <c r="AY301" i="2"/>
  <c r="AY300" i="2"/>
  <c r="AY299" i="2"/>
  <c r="AY298" i="2"/>
  <c r="AY297" i="2"/>
  <c r="AY296" i="2"/>
  <c r="AY295" i="2"/>
  <c r="AY294" i="2"/>
  <c r="AY293" i="2"/>
  <c r="AY292" i="2"/>
  <c r="AY291" i="2"/>
  <c r="AY290" i="2"/>
  <c r="AY289" i="2"/>
  <c r="AY288" i="2"/>
  <c r="AY287" i="2"/>
  <c r="AY286" i="2"/>
  <c r="AY285" i="2"/>
  <c r="AY284" i="2"/>
  <c r="AY283" i="2"/>
  <c r="AY282" i="2"/>
  <c r="AY281" i="2"/>
  <c r="AY280" i="2"/>
  <c r="AY279" i="2"/>
  <c r="AY278" i="2"/>
  <c r="AY277" i="2"/>
  <c r="AY276" i="2"/>
  <c r="AY275" i="2"/>
  <c r="AY274" i="2"/>
  <c r="AY273" i="2"/>
  <c r="AY272" i="2"/>
  <c r="AY271" i="2"/>
  <c r="AY270" i="2"/>
  <c r="AY269" i="2"/>
  <c r="AY268" i="2"/>
  <c r="AY267" i="2"/>
  <c r="AY266" i="2"/>
  <c r="AY265" i="2"/>
  <c r="AY264" i="2"/>
  <c r="AY263" i="2"/>
  <c r="AY262" i="2"/>
  <c r="AY261" i="2"/>
  <c r="AY260" i="2"/>
  <c r="AY259" i="2"/>
  <c r="AY258" i="2"/>
  <c r="AY257" i="2"/>
  <c r="AY256" i="2"/>
  <c r="AY255" i="2"/>
  <c r="AY254" i="2"/>
  <c r="AY253" i="2"/>
  <c r="AY252" i="2"/>
  <c r="AY251" i="2"/>
  <c r="AY250" i="2"/>
  <c r="AY249" i="2"/>
  <c r="AY248" i="2"/>
  <c r="AY247" i="2"/>
  <c r="AY246" i="2"/>
  <c r="AY245" i="2"/>
  <c r="AY244" i="2"/>
  <c r="AY243" i="2"/>
  <c r="AY242" i="2"/>
  <c r="AY241" i="2"/>
  <c r="AY240" i="2"/>
  <c r="AY239" i="2"/>
  <c r="AY238" i="2"/>
  <c r="AY237" i="2"/>
  <c r="AY236" i="2"/>
  <c r="AY235" i="2"/>
  <c r="AY234" i="2"/>
  <c r="AY233" i="2"/>
  <c r="AY232" i="2"/>
  <c r="AY231" i="2"/>
  <c r="AY230" i="2"/>
  <c r="AY229" i="2"/>
  <c r="AY228" i="2"/>
  <c r="AY227" i="2"/>
  <c r="AY226" i="2"/>
  <c r="AY225" i="2"/>
  <c r="AY224" i="2"/>
  <c r="AY223" i="2"/>
  <c r="AY222" i="2"/>
  <c r="AY221" i="2"/>
  <c r="AY220" i="2"/>
  <c r="AY219" i="2"/>
  <c r="AY218" i="2"/>
  <c r="AY217" i="2"/>
  <c r="AY216" i="2"/>
  <c r="AY215" i="2"/>
  <c r="AY214" i="2"/>
  <c r="AY213" i="2"/>
  <c r="AY212" i="2"/>
  <c r="AY211" i="2"/>
  <c r="AY210" i="2"/>
  <c r="AY209" i="2"/>
  <c r="AY208" i="2"/>
  <c r="AY207" i="2"/>
  <c r="AY206" i="2"/>
  <c r="AY205" i="2"/>
  <c r="AY204" i="2"/>
  <c r="AY203" i="2"/>
  <c r="AY202" i="2"/>
  <c r="AY201" i="2"/>
  <c r="AY200" i="2"/>
  <c r="AY199" i="2"/>
  <c r="AY198" i="2"/>
  <c r="AY197" i="2"/>
  <c r="AY196" i="2"/>
  <c r="AY195" i="2"/>
  <c r="AY194" i="2"/>
  <c r="AY193" i="2"/>
  <c r="AY192" i="2"/>
  <c r="AY191" i="2"/>
  <c r="AY190" i="2"/>
  <c r="AY189" i="2"/>
  <c r="AY188" i="2"/>
  <c r="AY187" i="2"/>
  <c r="AY186" i="2"/>
  <c r="AY185" i="2"/>
  <c r="AY184" i="2"/>
  <c r="AY183" i="2"/>
  <c r="AY182" i="2"/>
  <c r="AY181" i="2"/>
  <c r="AY180" i="2"/>
  <c r="AY179" i="2"/>
  <c r="AY178" i="2"/>
  <c r="AY177" i="2"/>
  <c r="AY176" i="2"/>
  <c r="AY175" i="2"/>
  <c r="AY174" i="2"/>
  <c r="AY173" i="2"/>
  <c r="AY172" i="2"/>
  <c r="AY171" i="2"/>
  <c r="AY170" i="2"/>
  <c r="AY169" i="2"/>
  <c r="AY168" i="2"/>
  <c r="AY167" i="2"/>
  <c r="AY166" i="2"/>
  <c r="AY165" i="2"/>
  <c r="AY164" i="2"/>
  <c r="AY163" i="2"/>
  <c r="AY162" i="2"/>
  <c r="AY161" i="2"/>
  <c r="AY160" i="2"/>
  <c r="AY159" i="2"/>
  <c r="AY158" i="2"/>
  <c r="AY157" i="2"/>
  <c r="AY156" i="2"/>
  <c r="AY155" i="2"/>
  <c r="AY154" i="2"/>
  <c r="AY153" i="2"/>
  <c r="AY152" i="2"/>
  <c r="AY151" i="2"/>
  <c r="AY150" i="2"/>
  <c r="AY149" i="2"/>
  <c r="AY148" i="2"/>
  <c r="AY147" i="2"/>
  <c r="AY146" i="2"/>
  <c r="AY145" i="2"/>
  <c r="AY144" i="2"/>
  <c r="AY143" i="2"/>
  <c r="AY142" i="2"/>
  <c r="AY141" i="2"/>
  <c r="AY140" i="2"/>
  <c r="AY139" i="2"/>
  <c r="AY138" i="2"/>
  <c r="AY137" i="2"/>
  <c r="AY136" i="2"/>
  <c r="AY135" i="2"/>
  <c r="AY134" i="2"/>
  <c r="AY133" i="2"/>
  <c r="AY132" i="2"/>
  <c r="AY131" i="2"/>
  <c r="AY130" i="2"/>
  <c r="AY129" i="2"/>
  <c r="AY128" i="2"/>
  <c r="AY127" i="2"/>
  <c r="AY126" i="2"/>
  <c r="AY125" i="2"/>
  <c r="AY124" i="2"/>
  <c r="AY123" i="2"/>
  <c r="AY122" i="2"/>
  <c r="AY121" i="2"/>
  <c r="AY120" i="2"/>
  <c r="AY119" i="2"/>
  <c r="AY118" i="2"/>
  <c r="AY117" i="2"/>
  <c r="AY116" i="2"/>
  <c r="AY115" i="2"/>
  <c r="AY114" i="2"/>
  <c r="AY113" i="2"/>
  <c r="AY112" i="2"/>
  <c r="AY111" i="2"/>
  <c r="AY110" i="2"/>
  <c r="AY109" i="2"/>
  <c r="AY108" i="2"/>
  <c r="AY107" i="2"/>
  <c r="AY106" i="2"/>
  <c r="AY105" i="2"/>
  <c r="AY104" i="2"/>
  <c r="AY103" i="2"/>
  <c r="AY102" i="2"/>
  <c r="AY101" i="2"/>
  <c r="AY100" i="2"/>
  <c r="AY99" i="2"/>
  <c r="AY98" i="2"/>
  <c r="AY97" i="2"/>
  <c r="AY96" i="2"/>
  <c r="AY95" i="2"/>
  <c r="AY94" i="2"/>
  <c r="AY93" i="2"/>
  <c r="AY92" i="2"/>
  <c r="AY91" i="2"/>
  <c r="AY90" i="2"/>
  <c r="AY89" i="2"/>
  <c r="AY88" i="2"/>
  <c r="AY87" i="2"/>
  <c r="AY86" i="2"/>
  <c r="AY85" i="2"/>
  <c r="AY84" i="2"/>
  <c r="AY83" i="2"/>
  <c r="AY82" i="2"/>
  <c r="AY81" i="2"/>
  <c r="AY80" i="2"/>
  <c r="AY79" i="2"/>
  <c r="AY78" i="2"/>
  <c r="AY77" i="2"/>
  <c r="AY76" i="2"/>
  <c r="AY75" i="2"/>
  <c r="AY74" i="2"/>
  <c r="AY73" i="2"/>
  <c r="AY72" i="2"/>
  <c r="AY71" i="2"/>
  <c r="AY70" i="2"/>
  <c r="AY69" i="2"/>
  <c r="AY68" i="2"/>
  <c r="AY67" i="2"/>
  <c r="AY66" i="2"/>
  <c r="AY65" i="2"/>
  <c r="AY64" i="2"/>
  <c r="AY63" i="2"/>
  <c r="AY62" i="2"/>
  <c r="AY61" i="2"/>
  <c r="AY60" i="2"/>
  <c r="AY59" i="2"/>
  <c r="AY58" i="2"/>
  <c r="AY57" i="2"/>
  <c r="AY56" i="2"/>
  <c r="AY55" i="2"/>
  <c r="AY54" i="2"/>
  <c r="AY53" i="2"/>
  <c r="AY52" i="2"/>
  <c r="AY51" i="2"/>
  <c r="AY50" i="2"/>
  <c r="AY49" i="2"/>
  <c r="AY48" i="2"/>
  <c r="AY47" i="2"/>
  <c r="AY46" i="2"/>
  <c r="AY45" i="2"/>
  <c r="AY44" i="2"/>
  <c r="AY43" i="2"/>
  <c r="AY42" i="2"/>
  <c r="AY41" i="2"/>
  <c r="AY40" i="2"/>
  <c r="AY39" i="2"/>
  <c r="AY38" i="2"/>
  <c r="AY37" i="2"/>
  <c r="AY36" i="2"/>
  <c r="AY35" i="2"/>
  <c r="AY34" i="2"/>
  <c r="AY33" i="2"/>
  <c r="AY32" i="2"/>
  <c r="AY31" i="2"/>
  <c r="AY30" i="2"/>
  <c r="AY29" i="2"/>
  <c r="AY28" i="2"/>
  <c r="AY27" i="2"/>
  <c r="AY26" i="2"/>
  <c r="AY25" i="2"/>
  <c r="AY24" i="2"/>
  <c r="AY23" i="2"/>
  <c r="AY22" i="2"/>
  <c r="AY21" i="2"/>
  <c r="AY20" i="2"/>
  <c r="AY19" i="2"/>
  <c r="AY18" i="2"/>
  <c r="AY17" i="2"/>
  <c r="AY16" i="2"/>
  <c r="AY15" i="2"/>
  <c r="AY14" i="2"/>
  <c r="AY13" i="2"/>
  <c r="AY12" i="2"/>
  <c r="AY11" i="2"/>
  <c r="AY10" i="2"/>
  <c r="AY9" i="2"/>
  <c r="AY8" i="2"/>
  <c r="AY7" i="2"/>
  <c r="AY6" i="2"/>
  <c r="AY5" i="2"/>
  <c r="AY4" i="2"/>
  <c r="AO325" i="2"/>
  <c r="AO324" i="2"/>
  <c r="AO323" i="2"/>
  <c r="AO322" i="2"/>
  <c r="AO321" i="2"/>
  <c r="AO320" i="2"/>
  <c r="AO319" i="2"/>
  <c r="AO318" i="2"/>
  <c r="AO317" i="2"/>
  <c r="AO316" i="2"/>
  <c r="AO315" i="2"/>
  <c r="AO314" i="2"/>
  <c r="AO313" i="2"/>
  <c r="AO312" i="2"/>
  <c r="AO311" i="2"/>
  <c r="AO310" i="2"/>
  <c r="AO309" i="2"/>
  <c r="AO308" i="2"/>
  <c r="AO307" i="2"/>
  <c r="AO306" i="2"/>
  <c r="AO305" i="2"/>
  <c r="AO304" i="2"/>
  <c r="AO303" i="2"/>
  <c r="AO302" i="2"/>
  <c r="AO301" i="2"/>
  <c r="AO300" i="2"/>
  <c r="AO299" i="2"/>
  <c r="AO298" i="2"/>
  <c r="AO297" i="2"/>
  <c r="AO296" i="2"/>
  <c r="AO295" i="2"/>
  <c r="AO294" i="2"/>
  <c r="AO293" i="2"/>
  <c r="AO292" i="2"/>
  <c r="AO291" i="2"/>
  <c r="AO290" i="2"/>
  <c r="AO289" i="2"/>
  <c r="AO288" i="2"/>
  <c r="AO287" i="2"/>
  <c r="AO286" i="2"/>
  <c r="AO285" i="2"/>
  <c r="AO284" i="2"/>
  <c r="AO283" i="2"/>
  <c r="AO282" i="2"/>
  <c r="AO281" i="2"/>
  <c r="AO280" i="2"/>
  <c r="AO279" i="2"/>
  <c r="AO278" i="2"/>
  <c r="AO277" i="2"/>
  <c r="AO276" i="2"/>
  <c r="AO275" i="2"/>
  <c r="AO274" i="2"/>
  <c r="AO273" i="2"/>
  <c r="AO272" i="2"/>
  <c r="AO271" i="2"/>
  <c r="AO270" i="2"/>
  <c r="AO269" i="2"/>
  <c r="AO268" i="2"/>
  <c r="AO267" i="2"/>
  <c r="AO266" i="2"/>
  <c r="AO265" i="2"/>
  <c r="AO264" i="2"/>
  <c r="AO263" i="2"/>
  <c r="AO262" i="2"/>
  <c r="AO261" i="2"/>
  <c r="AO260" i="2"/>
  <c r="AO259" i="2"/>
  <c r="AO258" i="2"/>
  <c r="AO257" i="2"/>
  <c r="AO256" i="2"/>
  <c r="AO255" i="2"/>
  <c r="AO254" i="2"/>
  <c r="AO253" i="2"/>
  <c r="AO252" i="2"/>
  <c r="AO251" i="2"/>
  <c r="AO250" i="2"/>
  <c r="AO249" i="2"/>
  <c r="AO248" i="2"/>
  <c r="AO247" i="2"/>
  <c r="AO246" i="2"/>
  <c r="AO245" i="2"/>
  <c r="AO244" i="2"/>
  <c r="AO243" i="2"/>
  <c r="AO242" i="2"/>
  <c r="AO241" i="2"/>
  <c r="AO240" i="2"/>
  <c r="AO239" i="2"/>
  <c r="AO238" i="2"/>
  <c r="AO237" i="2"/>
  <c r="AO236" i="2"/>
  <c r="AO235" i="2"/>
  <c r="AO234" i="2"/>
  <c r="AO233" i="2"/>
  <c r="AO232" i="2"/>
  <c r="AO231" i="2"/>
  <c r="AO230" i="2"/>
  <c r="AO229" i="2"/>
  <c r="AO228" i="2"/>
  <c r="AO227" i="2"/>
  <c r="AO226" i="2"/>
  <c r="AO225" i="2"/>
  <c r="AO224" i="2"/>
  <c r="AO223" i="2"/>
  <c r="AO222" i="2"/>
  <c r="AO221" i="2"/>
  <c r="AO220" i="2"/>
  <c r="AO219" i="2"/>
  <c r="AO218" i="2"/>
  <c r="AO217" i="2"/>
  <c r="AO216" i="2"/>
  <c r="AO215" i="2"/>
  <c r="AO214" i="2"/>
  <c r="AO213" i="2"/>
  <c r="AO212" i="2"/>
  <c r="AO211" i="2"/>
  <c r="AO210" i="2"/>
  <c r="AO209" i="2"/>
  <c r="AO208" i="2"/>
  <c r="AO207" i="2"/>
  <c r="AO206" i="2"/>
  <c r="AO205" i="2"/>
  <c r="AO204" i="2"/>
  <c r="AO203" i="2"/>
  <c r="AO202" i="2"/>
  <c r="AO201" i="2"/>
  <c r="AO200" i="2"/>
  <c r="AO199" i="2"/>
  <c r="AO198" i="2"/>
  <c r="AO197" i="2"/>
  <c r="AO196" i="2"/>
  <c r="AO195" i="2"/>
  <c r="AO194" i="2"/>
  <c r="AO193" i="2"/>
  <c r="AO192" i="2"/>
  <c r="AO191" i="2"/>
  <c r="AO190" i="2"/>
  <c r="AO189" i="2"/>
  <c r="AO188" i="2"/>
  <c r="AO187" i="2"/>
  <c r="AO186" i="2"/>
  <c r="AO185" i="2"/>
  <c r="AO184" i="2"/>
  <c r="AO183" i="2"/>
  <c r="AO182" i="2"/>
  <c r="AO181" i="2"/>
  <c r="AO180" i="2"/>
  <c r="AO179" i="2"/>
  <c r="AO178" i="2"/>
  <c r="AO177" i="2"/>
  <c r="AO176" i="2"/>
  <c r="AO175" i="2"/>
  <c r="AO174" i="2"/>
  <c r="AO173" i="2"/>
  <c r="AO172" i="2"/>
  <c r="AO171" i="2"/>
  <c r="AO170" i="2"/>
  <c r="AO169" i="2"/>
  <c r="AO168" i="2"/>
  <c r="AO167" i="2"/>
  <c r="AO166" i="2"/>
  <c r="AO165" i="2"/>
  <c r="AO164" i="2"/>
  <c r="AO163" i="2"/>
  <c r="AO162" i="2"/>
  <c r="AO161" i="2"/>
  <c r="AO160" i="2"/>
  <c r="AO159" i="2"/>
  <c r="AO158" i="2"/>
  <c r="AO157" i="2"/>
  <c r="AO156" i="2"/>
  <c r="AO155" i="2"/>
  <c r="AO154" i="2"/>
  <c r="AO153" i="2"/>
  <c r="AO152" i="2"/>
  <c r="AO151" i="2"/>
  <c r="AO150" i="2"/>
  <c r="AO149" i="2"/>
  <c r="AO148" i="2"/>
  <c r="AO147" i="2"/>
  <c r="AO146" i="2"/>
  <c r="AO145" i="2"/>
  <c r="AO144" i="2"/>
  <c r="AO143" i="2"/>
  <c r="AO142" i="2"/>
  <c r="AO141" i="2"/>
  <c r="AO140" i="2"/>
  <c r="AO139" i="2"/>
  <c r="AO138" i="2"/>
  <c r="AO137" i="2"/>
  <c r="AO136" i="2"/>
  <c r="AO135" i="2"/>
  <c r="AO134" i="2"/>
  <c r="AO133" i="2"/>
  <c r="AO132" i="2"/>
  <c r="AO131" i="2"/>
  <c r="AO130" i="2"/>
  <c r="AO129" i="2"/>
  <c r="AO128" i="2"/>
  <c r="AO127" i="2"/>
  <c r="AO126" i="2"/>
  <c r="AO125" i="2"/>
  <c r="AO124" i="2"/>
  <c r="AO123" i="2"/>
  <c r="AO122" i="2"/>
  <c r="AO121" i="2"/>
  <c r="AO120" i="2"/>
  <c r="AO119" i="2"/>
  <c r="AO118" i="2"/>
  <c r="AO117" i="2"/>
  <c r="AO116" i="2"/>
  <c r="AO115" i="2"/>
  <c r="AO114" i="2"/>
  <c r="AO113" i="2"/>
  <c r="AO112" i="2"/>
  <c r="AO111" i="2"/>
  <c r="AO110" i="2"/>
  <c r="AO109" i="2"/>
  <c r="AO108" i="2"/>
  <c r="AO107" i="2"/>
  <c r="AO106" i="2"/>
  <c r="AO105" i="2"/>
  <c r="AO104" i="2"/>
  <c r="AO103" i="2"/>
  <c r="AO102" i="2"/>
  <c r="AO101" i="2"/>
  <c r="AO100" i="2"/>
  <c r="AO99" i="2"/>
  <c r="AO98" i="2"/>
  <c r="AO97" i="2"/>
  <c r="AO96" i="2"/>
  <c r="AO95" i="2"/>
  <c r="AO94" i="2"/>
  <c r="AO93" i="2"/>
  <c r="AO92" i="2"/>
  <c r="AO91" i="2"/>
  <c r="AO90" i="2"/>
  <c r="AO89" i="2"/>
  <c r="AO88" i="2"/>
  <c r="AO87" i="2"/>
  <c r="AO86" i="2"/>
  <c r="AO85" i="2"/>
  <c r="AO84" i="2"/>
  <c r="AO83" i="2"/>
  <c r="AO82" i="2"/>
  <c r="AO81" i="2"/>
  <c r="AO80" i="2"/>
  <c r="AO79" i="2"/>
  <c r="AO78" i="2"/>
  <c r="AO77" i="2"/>
  <c r="AO76" i="2"/>
  <c r="AO75" i="2"/>
  <c r="AO74" i="2"/>
  <c r="AO73" i="2"/>
  <c r="AO72" i="2"/>
  <c r="AO71" i="2"/>
  <c r="AO70" i="2"/>
  <c r="AO69" i="2"/>
  <c r="AO68" i="2"/>
  <c r="AO67" i="2"/>
  <c r="AO66" i="2"/>
  <c r="AO65" i="2"/>
  <c r="AO64" i="2"/>
  <c r="AO63" i="2"/>
  <c r="AO62" i="2"/>
  <c r="AO61" i="2"/>
  <c r="AO60" i="2"/>
  <c r="AO59" i="2"/>
  <c r="AO58" i="2"/>
  <c r="AO57" i="2"/>
  <c r="AO56" i="2"/>
  <c r="AO55" i="2"/>
  <c r="AO54" i="2"/>
  <c r="AO53" i="2"/>
  <c r="AO52" i="2"/>
  <c r="AO51" i="2"/>
  <c r="AO50" i="2"/>
  <c r="AO49" i="2"/>
  <c r="AO48" i="2"/>
  <c r="AO47" i="2"/>
  <c r="AO46" i="2"/>
  <c r="AO45" i="2"/>
  <c r="AO44" i="2"/>
  <c r="AO43" i="2"/>
  <c r="AO42" i="2"/>
  <c r="AO41" i="2"/>
  <c r="AO40" i="2"/>
  <c r="AO39" i="2"/>
  <c r="AO38" i="2"/>
  <c r="AO37" i="2"/>
  <c r="AO36" i="2"/>
  <c r="AO35" i="2"/>
  <c r="AO34" i="2"/>
  <c r="AO33" i="2"/>
  <c r="AO32" i="2"/>
  <c r="AO31" i="2"/>
  <c r="AO30" i="2"/>
  <c r="AO29" i="2"/>
  <c r="AO28" i="2"/>
  <c r="AO27" i="2"/>
  <c r="AO26" i="2"/>
  <c r="AO25" i="2"/>
  <c r="AO24" i="2"/>
  <c r="AO23" i="2"/>
  <c r="AO22" i="2"/>
  <c r="AO21" i="2"/>
  <c r="AO20" i="2"/>
  <c r="AO19" i="2"/>
  <c r="AO18" i="2"/>
  <c r="AO17" i="2"/>
  <c r="AO16" i="2"/>
  <c r="AO15" i="2"/>
  <c r="AO14" i="2"/>
  <c r="AO13" i="2"/>
  <c r="AO12" i="2"/>
  <c r="AO11" i="2"/>
  <c r="AO10" i="2"/>
  <c r="AO9" i="2"/>
  <c r="AO8" i="2"/>
  <c r="AO7" i="2"/>
  <c r="AO6" i="2"/>
  <c r="AO5" i="2"/>
  <c r="AO4" i="2"/>
  <c r="AE325" i="2"/>
  <c r="AE324" i="2"/>
  <c r="AE323" i="2"/>
  <c r="AE322" i="2"/>
  <c r="AE321" i="2"/>
  <c r="AE320" i="2"/>
  <c r="AE319" i="2"/>
  <c r="AE318" i="2"/>
  <c r="AE317" i="2"/>
  <c r="AE316" i="2"/>
  <c r="AE315" i="2"/>
  <c r="AE314" i="2"/>
  <c r="AE313" i="2"/>
  <c r="AE312" i="2"/>
  <c r="AE311" i="2"/>
  <c r="AE310" i="2"/>
  <c r="AE309" i="2"/>
  <c r="AE308" i="2"/>
  <c r="AE307" i="2"/>
  <c r="AE306" i="2"/>
  <c r="AE305" i="2"/>
  <c r="AE304" i="2"/>
  <c r="AE303" i="2"/>
  <c r="AE302" i="2"/>
  <c r="AE301" i="2"/>
  <c r="AE300" i="2"/>
  <c r="AE299" i="2"/>
  <c r="AE298" i="2"/>
  <c r="AE297" i="2"/>
  <c r="AE296" i="2"/>
  <c r="AE295" i="2"/>
  <c r="AE294" i="2"/>
  <c r="AE293" i="2"/>
  <c r="AE292" i="2"/>
  <c r="AE291" i="2"/>
  <c r="AE290" i="2"/>
  <c r="AE289" i="2"/>
  <c r="AE288" i="2"/>
  <c r="AE287" i="2"/>
  <c r="AE286" i="2"/>
  <c r="AE285" i="2"/>
  <c r="AE284" i="2"/>
  <c r="AE283" i="2"/>
  <c r="AE282" i="2"/>
  <c r="AE281" i="2"/>
  <c r="AE280" i="2"/>
  <c r="AE279" i="2"/>
  <c r="AE278" i="2"/>
  <c r="AE277" i="2"/>
  <c r="AE276" i="2"/>
  <c r="AE275" i="2"/>
  <c r="AE274" i="2"/>
  <c r="AE273" i="2"/>
  <c r="AE272" i="2"/>
  <c r="AE271" i="2"/>
  <c r="AE270" i="2"/>
  <c r="AE269" i="2"/>
  <c r="AE268" i="2"/>
  <c r="AE267" i="2"/>
  <c r="AE266" i="2"/>
  <c r="AE265" i="2"/>
  <c r="AE264" i="2"/>
  <c r="AE263" i="2"/>
  <c r="AE262" i="2"/>
  <c r="AE261" i="2"/>
  <c r="AE260" i="2"/>
  <c r="AE259" i="2"/>
  <c r="AE258" i="2"/>
  <c r="AE257" i="2"/>
  <c r="AE256" i="2"/>
  <c r="AE255" i="2"/>
  <c r="AE254" i="2"/>
  <c r="AE253" i="2"/>
  <c r="AE252" i="2"/>
  <c r="AE251" i="2"/>
  <c r="AE250" i="2"/>
  <c r="AE249" i="2"/>
  <c r="AE248" i="2"/>
  <c r="AE247" i="2"/>
  <c r="AE246" i="2"/>
  <c r="AE245" i="2"/>
  <c r="AE244" i="2"/>
  <c r="AE243" i="2"/>
  <c r="AE242" i="2"/>
  <c r="AE241" i="2"/>
  <c r="AE240" i="2"/>
  <c r="AE239" i="2"/>
  <c r="AE238" i="2"/>
  <c r="AE237" i="2"/>
  <c r="AE236" i="2"/>
  <c r="AE235" i="2"/>
  <c r="AE234" i="2"/>
  <c r="AE233" i="2"/>
  <c r="AE232" i="2"/>
  <c r="AE231" i="2"/>
  <c r="AE230" i="2"/>
  <c r="AE229" i="2"/>
  <c r="AE228" i="2"/>
  <c r="AE227" i="2"/>
  <c r="AE226" i="2"/>
  <c r="AE225" i="2"/>
  <c r="AE224" i="2"/>
  <c r="AE223" i="2"/>
  <c r="AE222" i="2"/>
  <c r="AE221" i="2"/>
  <c r="AE220" i="2"/>
  <c r="AE219" i="2"/>
  <c r="AE218" i="2"/>
  <c r="AE217" i="2"/>
  <c r="AE216" i="2"/>
  <c r="AE215" i="2"/>
  <c r="AE214" i="2"/>
  <c r="AE213" i="2"/>
  <c r="AE212" i="2"/>
  <c r="AE211" i="2"/>
  <c r="AE210" i="2"/>
  <c r="AE209" i="2"/>
  <c r="AE208" i="2"/>
  <c r="AE207" i="2"/>
  <c r="AE206" i="2"/>
  <c r="AE205" i="2"/>
  <c r="AE204" i="2"/>
  <c r="AE203" i="2"/>
  <c r="AE202" i="2"/>
  <c r="AE201" i="2"/>
  <c r="AE200" i="2"/>
  <c r="AE199" i="2"/>
  <c r="AE198" i="2"/>
  <c r="AE197" i="2"/>
  <c r="AE196" i="2"/>
  <c r="AE195" i="2"/>
  <c r="AE194" i="2"/>
  <c r="AE193" i="2"/>
  <c r="AE192" i="2"/>
  <c r="AE191" i="2"/>
  <c r="AE190" i="2"/>
  <c r="AE189" i="2"/>
  <c r="AE188" i="2"/>
  <c r="AE187" i="2"/>
  <c r="AE186" i="2"/>
  <c r="AE185" i="2"/>
  <c r="AE184" i="2"/>
  <c r="AE183" i="2"/>
  <c r="AE182" i="2"/>
  <c r="AE181" i="2"/>
  <c r="AE180" i="2"/>
  <c r="AE179" i="2"/>
  <c r="AE178" i="2"/>
  <c r="AE177" i="2"/>
  <c r="AE176" i="2"/>
  <c r="AE175" i="2"/>
  <c r="AE174" i="2"/>
  <c r="AE173" i="2"/>
  <c r="AE172" i="2"/>
  <c r="AE171" i="2"/>
  <c r="AE170" i="2"/>
  <c r="AE169" i="2"/>
  <c r="AE168" i="2"/>
  <c r="AE167" i="2"/>
  <c r="AE166" i="2"/>
  <c r="AE165" i="2"/>
  <c r="AE164" i="2"/>
  <c r="AE163" i="2"/>
  <c r="AE162" i="2"/>
  <c r="AE161" i="2"/>
  <c r="AE160" i="2"/>
  <c r="AE159" i="2"/>
  <c r="AE158" i="2"/>
  <c r="AE157" i="2"/>
  <c r="AE156" i="2"/>
  <c r="AE155" i="2"/>
  <c r="AE154" i="2"/>
  <c r="AE153" i="2"/>
  <c r="AE152" i="2"/>
  <c r="AE151" i="2"/>
  <c r="AE150" i="2"/>
  <c r="AE149" i="2"/>
  <c r="AE148" i="2"/>
  <c r="AE147" i="2"/>
  <c r="AE146" i="2"/>
  <c r="AE145" i="2"/>
  <c r="AE144" i="2"/>
  <c r="AE143" i="2"/>
  <c r="AE142" i="2"/>
  <c r="AE141" i="2"/>
  <c r="AE140" i="2"/>
  <c r="AE139" i="2"/>
  <c r="AE138" i="2"/>
  <c r="AE137" i="2"/>
  <c r="AE136" i="2"/>
  <c r="AE135" i="2"/>
  <c r="AE134" i="2"/>
  <c r="AE133" i="2"/>
  <c r="AE132" i="2"/>
  <c r="AE131" i="2"/>
  <c r="AE130" i="2"/>
  <c r="AE129" i="2"/>
  <c r="AE128" i="2"/>
  <c r="AE127" i="2"/>
  <c r="AE126" i="2"/>
  <c r="AE125" i="2"/>
  <c r="AE124" i="2"/>
  <c r="AE123" i="2"/>
  <c r="AE122" i="2"/>
  <c r="AE121" i="2"/>
  <c r="AE120" i="2"/>
  <c r="AE119" i="2"/>
  <c r="AE118" i="2"/>
  <c r="AE117" i="2"/>
  <c r="AE116" i="2"/>
  <c r="AE115" i="2"/>
  <c r="AE114" i="2"/>
  <c r="AE113" i="2"/>
  <c r="AE112" i="2"/>
  <c r="AE111" i="2"/>
  <c r="AE110" i="2"/>
  <c r="AE109" i="2"/>
  <c r="AE108" i="2"/>
  <c r="AE107" i="2"/>
  <c r="AE106" i="2"/>
  <c r="AE105" i="2"/>
  <c r="AE104" i="2"/>
  <c r="AE103" i="2"/>
  <c r="AE102" i="2"/>
  <c r="AE101" i="2"/>
  <c r="AE100" i="2"/>
  <c r="AE99" i="2"/>
  <c r="AE98" i="2"/>
  <c r="AE97" i="2"/>
  <c r="AE96" i="2"/>
  <c r="AE95" i="2"/>
  <c r="AE94" i="2"/>
  <c r="AE93" i="2"/>
  <c r="AE92" i="2"/>
  <c r="AE91" i="2"/>
  <c r="AE90" i="2"/>
  <c r="AE89" i="2"/>
  <c r="AE88" i="2"/>
  <c r="AE87" i="2"/>
  <c r="AE86" i="2"/>
  <c r="AE85" i="2"/>
  <c r="AE84" i="2"/>
  <c r="AE83" i="2"/>
  <c r="AE82" i="2"/>
  <c r="AE81" i="2"/>
  <c r="AE80" i="2"/>
  <c r="AE79" i="2"/>
  <c r="AE78" i="2"/>
  <c r="AE77" i="2"/>
  <c r="AE76" i="2"/>
  <c r="AE75" i="2"/>
  <c r="AE74" i="2"/>
  <c r="AE73" i="2"/>
  <c r="AE72" i="2"/>
  <c r="AE71" i="2"/>
  <c r="AE70" i="2"/>
  <c r="AE69" i="2"/>
  <c r="AE68" i="2"/>
  <c r="AE67" i="2"/>
  <c r="AE66" i="2"/>
  <c r="AE65" i="2"/>
  <c r="AE64" i="2"/>
  <c r="AE63" i="2"/>
  <c r="AE62" i="2"/>
  <c r="AE61" i="2"/>
  <c r="AE60" i="2"/>
  <c r="AE59" i="2"/>
  <c r="AE58" i="2"/>
  <c r="AE57" i="2"/>
  <c r="AE56" i="2"/>
  <c r="AE55" i="2"/>
  <c r="AE54" i="2"/>
  <c r="AE53" i="2"/>
  <c r="AE52" i="2"/>
  <c r="AE51" i="2"/>
  <c r="AE50" i="2"/>
  <c r="AE49" i="2"/>
  <c r="AE48" i="2"/>
  <c r="AE47" i="2"/>
  <c r="AE46" i="2"/>
  <c r="AE45" i="2"/>
  <c r="AE44" i="2"/>
  <c r="AE43" i="2"/>
  <c r="AE42" i="2"/>
  <c r="AE41" i="2"/>
  <c r="AE40" i="2"/>
  <c r="AE39" i="2"/>
  <c r="AE38" i="2"/>
  <c r="AE37" i="2"/>
  <c r="AE36" i="2"/>
  <c r="AE35" i="2"/>
  <c r="AE34" i="2"/>
  <c r="AE33" i="2"/>
  <c r="AE32" i="2"/>
  <c r="AE31" i="2"/>
  <c r="AE30" i="2"/>
  <c r="AE29" i="2"/>
  <c r="AE28" i="2"/>
  <c r="AE27" i="2"/>
  <c r="AE26" i="2"/>
  <c r="AE25" i="2"/>
  <c r="AE24" i="2"/>
  <c r="AE23" i="2"/>
  <c r="AE22" i="2"/>
  <c r="AE21" i="2"/>
  <c r="AE20" i="2"/>
  <c r="AE19" i="2"/>
  <c r="AE18" i="2"/>
  <c r="AE17" i="2"/>
  <c r="AE16" i="2"/>
  <c r="AE15" i="2"/>
  <c r="AE14" i="2"/>
  <c r="AE13" i="2"/>
  <c r="AE12" i="2"/>
  <c r="AE11" i="2"/>
  <c r="AE10" i="2"/>
  <c r="AE9" i="2"/>
  <c r="AE8" i="2"/>
  <c r="AE7" i="2"/>
  <c r="AE6" i="2"/>
  <c r="AE5" i="2"/>
  <c r="AE4" i="2"/>
  <c r="AW325" i="2"/>
  <c r="AW324" i="2"/>
  <c r="AW323" i="2"/>
  <c r="AW322" i="2"/>
  <c r="AW321" i="2"/>
  <c r="AW320" i="2"/>
  <c r="AW319" i="2"/>
  <c r="AW318" i="2"/>
  <c r="AW317" i="2"/>
  <c r="AW316" i="2"/>
  <c r="AW315" i="2"/>
  <c r="AW314" i="2"/>
  <c r="AW313" i="2"/>
  <c r="AW312" i="2"/>
  <c r="AW311" i="2"/>
  <c r="AW310" i="2"/>
  <c r="AW309" i="2"/>
  <c r="AW308" i="2"/>
  <c r="AW307" i="2"/>
  <c r="AW306" i="2"/>
  <c r="AW305" i="2"/>
  <c r="AW304" i="2"/>
  <c r="AW303" i="2"/>
  <c r="AW302" i="2"/>
  <c r="AW301" i="2"/>
  <c r="AW300" i="2"/>
  <c r="AW299" i="2"/>
  <c r="AW298" i="2"/>
  <c r="AW297" i="2"/>
  <c r="AW296" i="2"/>
  <c r="AW295" i="2"/>
  <c r="AW294" i="2"/>
  <c r="AW293" i="2"/>
  <c r="AW292" i="2"/>
  <c r="AW291" i="2"/>
  <c r="AW290" i="2"/>
  <c r="AW289" i="2"/>
  <c r="AW288" i="2"/>
  <c r="AW287" i="2"/>
  <c r="AW286" i="2"/>
  <c r="AW285" i="2"/>
  <c r="AW284" i="2"/>
  <c r="AW283" i="2"/>
  <c r="AW282" i="2"/>
  <c r="AW281" i="2"/>
  <c r="AW280" i="2"/>
  <c r="AW279" i="2"/>
  <c r="AW278" i="2"/>
  <c r="AW277" i="2"/>
  <c r="AW276" i="2"/>
  <c r="AW275" i="2"/>
  <c r="AW274" i="2"/>
  <c r="AW273" i="2"/>
  <c r="AW272" i="2"/>
  <c r="AW271" i="2"/>
  <c r="AW270" i="2"/>
  <c r="AW269" i="2"/>
  <c r="AW268" i="2"/>
  <c r="AW267" i="2"/>
  <c r="AW266" i="2"/>
  <c r="AW265" i="2"/>
  <c r="AW264" i="2"/>
  <c r="AW263" i="2"/>
  <c r="AW262" i="2"/>
  <c r="AW261" i="2"/>
  <c r="AW260" i="2"/>
  <c r="AW259" i="2"/>
  <c r="AW258" i="2"/>
  <c r="AW257" i="2"/>
  <c r="AW256" i="2"/>
  <c r="AW255" i="2"/>
  <c r="AW254" i="2"/>
  <c r="AW253" i="2"/>
  <c r="AW252" i="2"/>
  <c r="AW251" i="2"/>
  <c r="AW250" i="2"/>
  <c r="AW249" i="2"/>
  <c r="AW248" i="2"/>
  <c r="AW247" i="2"/>
  <c r="AW246" i="2"/>
  <c r="AW245" i="2"/>
  <c r="AW244" i="2"/>
  <c r="AW243" i="2"/>
  <c r="AW242" i="2"/>
  <c r="AW241" i="2"/>
  <c r="AW240" i="2"/>
  <c r="AW239" i="2"/>
  <c r="AW238" i="2"/>
  <c r="AW237" i="2"/>
  <c r="AW236" i="2"/>
  <c r="AW235" i="2"/>
  <c r="AW234" i="2"/>
  <c r="AW233" i="2"/>
  <c r="AW232" i="2"/>
  <c r="AW231" i="2"/>
  <c r="AW230" i="2"/>
  <c r="AW229" i="2"/>
  <c r="AW228" i="2"/>
  <c r="AW227" i="2"/>
  <c r="AW226" i="2"/>
  <c r="AW225" i="2"/>
  <c r="AW224" i="2"/>
  <c r="AW223" i="2"/>
  <c r="AW222" i="2"/>
  <c r="AW221" i="2"/>
  <c r="AW220" i="2"/>
  <c r="AW219" i="2"/>
  <c r="AW218" i="2"/>
  <c r="AW217" i="2"/>
  <c r="AW216" i="2"/>
  <c r="AW215" i="2"/>
  <c r="AW214" i="2"/>
  <c r="AW213" i="2"/>
  <c r="AW212" i="2"/>
  <c r="AW211" i="2"/>
  <c r="AW210" i="2"/>
  <c r="AW209" i="2"/>
  <c r="AW208" i="2"/>
  <c r="AW207" i="2"/>
  <c r="AW206" i="2"/>
  <c r="AW205" i="2"/>
  <c r="AW204" i="2"/>
  <c r="AW203" i="2"/>
  <c r="AW202" i="2"/>
  <c r="AW201" i="2"/>
  <c r="AW200" i="2"/>
  <c r="AW199" i="2"/>
  <c r="AW198" i="2"/>
  <c r="AW197" i="2"/>
  <c r="AW196" i="2"/>
  <c r="AW195" i="2"/>
  <c r="AW194" i="2"/>
  <c r="AW193" i="2"/>
  <c r="AW192" i="2"/>
  <c r="AW191" i="2"/>
  <c r="AW190" i="2"/>
  <c r="AW189" i="2"/>
  <c r="AW188" i="2"/>
  <c r="AW187" i="2"/>
  <c r="AW186" i="2"/>
  <c r="AW185" i="2"/>
  <c r="AW184" i="2"/>
  <c r="AW183" i="2"/>
  <c r="AW182" i="2"/>
  <c r="AW181" i="2"/>
  <c r="AW180" i="2"/>
  <c r="AW179" i="2"/>
  <c r="AW178" i="2"/>
  <c r="AW177" i="2"/>
  <c r="AW176" i="2"/>
  <c r="AW175" i="2"/>
  <c r="AW174" i="2"/>
  <c r="AW173" i="2"/>
  <c r="AW172" i="2"/>
  <c r="AW171" i="2"/>
  <c r="AW170" i="2"/>
  <c r="AW169" i="2"/>
  <c r="AW168" i="2"/>
  <c r="AW167" i="2"/>
  <c r="AW166" i="2"/>
  <c r="AW165" i="2"/>
  <c r="AW164" i="2"/>
  <c r="AW163" i="2"/>
  <c r="AW162" i="2"/>
  <c r="AW161" i="2"/>
  <c r="AW160" i="2"/>
  <c r="AW159" i="2"/>
  <c r="AW158" i="2"/>
  <c r="AW157" i="2"/>
  <c r="AW156" i="2"/>
  <c r="AW155" i="2"/>
  <c r="AW154" i="2"/>
  <c r="AW153" i="2"/>
  <c r="AW152" i="2"/>
  <c r="AW151" i="2"/>
  <c r="AW150" i="2"/>
  <c r="AW149" i="2"/>
  <c r="AW148" i="2"/>
  <c r="AW147" i="2"/>
  <c r="AW146" i="2"/>
  <c r="AW145" i="2"/>
  <c r="AW144" i="2"/>
  <c r="AW143" i="2"/>
  <c r="AW142" i="2"/>
  <c r="AW141" i="2"/>
  <c r="AW140" i="2"/>
  <c r="AW139" i="2"/>
  <c r="AW138" i="2"/>
  <c r="AW137" i="2"/>
  <c r="AW136" i="2"/>
  <c r="AW135" i="2"/>
  <c r="AW134" i="2"/>
  <c r="AW133" i="2"/>
  <c r="AW132" i="2"/>
  <c r="AW131" i="2"/>
  <c r="AW130" i="2"/>
  <c r="AW129" i="2"/>
  <c r="AW128" i="2"/>
  <c r="AW127" i="2"/>
  <c r="AW126" i="2"/>
  <c r="AW125" i="2"/>
  <c r="AW124" i="2"/>
  <c r="AW123" i="2"/>
  <c r="AW122" i="2"/>
  <c r="AW121" i="2"/>
  <c r="AW120" i="2"/>
  <c r="AW119" i="2"/>
  <c r="AW118" i="2"/>
  <c r="AW117" i="2"/>
  <c r="AW116" i="2"/>
  <c r="AW115" i="2"/>
  <c r="AW114" i="2"/>
  <c r="AW113" i="2"/>
  <c r="AW112" i="2"/>
  <c r="AW111" i="2"/>
  <c r="AW110" i="2"/>
  <c r="AW109" i="2"/>
  <c r="AW108" i="2"/>
  <c r="AW107" i="2"/>
  <c r="AW106" i="2"/>
  <c r="AW105" i="2"/>
  <c r="AW104" i="2"/>
  <c r="AW103" i="2"/>
  <c r="AW102" i="2"/>
  <c r="AW101" i="2"/>
  <c r="AW100" i="2"/>
  <c r="AW99" i="2"/>
  <c r="AW98" i="2"/>
  <c r="AW97" i="2"/>
  <c r="AW96" i="2"/>
  <c r="AW95" i="2"/>
  <c r="AW94" i="2"/>
  <c r="AW93" i="2"/>
  <c r="AW92" i="2"/>
  <c r="AW91" i="2"/>
  <c r="AW90" i="2"/>
  <c r="AW89" i="2"/>
  <c r="AW88" i="2"/>
  <c r="AW87" i="2"/>
  <c r="AW86" i="2"/>
  <c r="AW85" i="2"/>
  <c r="AW84" i="2"/>
  <c r="AW83" i="2"/>
  <c r="AW82" i="2"/>
  <c r="AW81" i="2"/>
  <c r="AW80" i="2"/>
  <c r="AW79" i="2"/>
  <c r="AW78" i="2"/>
  <c r="AW77" i="2"/>
  <c r="AW76" i="2"/>
  <c r="AW75" i="2"/>
  <c r="AW74" i="2"/>
  <c r="AW73" i="2"/>
  <c r="AW72" i="2"/>
  <c r="AW71" i="2"/>
  <c r="AW70" i="2"/>
  <c r="AW69" i="2"/>
  <c r="AW68" i="2"/>
  <c r="AW67" i="2"/>
  <c r="AW66" i="2"/>
  <c r="AW65" i="2"/>
  <c r="AW64" i="2"/>
  <c r="AW63" i="2"/>
  <c r="AW62" i="2"/>
  <c r="AW61" i="2"/>
  <c r="AW60" i="2"/>
  <c r="AW59" i="2"/>
  <c r="AW58" i="2"/>
  <c r="AW57" i="2"/>
  <c r="AW56" i="2"/>
  <c r="AW55" i="2"/>
  <c r="AW54" i="2"/>
  <c r="AW53" i="2"/>
  <c r="AW52" i="2"/>
  <c r="AW51" i="2"/>
  <c r="AW50" i="2"/>
  <c r="AW49" i="2"/>
  <c r="AW48" i="2"/>
  <c r="AW47" i="2"/>
  <c r="AW46" i="2"/>
  <c r="AW45" i="2"/>
  <c r="AW44" i="2"/>
  <c r="AW43" i="2"/>
  <c r="AW42" i="2"/>
  <c r="AW41" i="2"/>
  <c r="AW40" i="2"/>
  <c r="AW39" i="2"/>
  <c r="AW38" i="2"/>
  <c r="AW37" i="2"/>
  <c r="AW36" i="2"/>
  <c r="AW35" i="2"/>
  <c r="AW34" i="2"/>
  <c r="AW33" i="2"/>
  <c r="AW32" i="2"/>
  <c r="AW31" i="2"/>
  <c r="AW30" i="2"/>
  <c r="AW29" i="2"/>
  <c r="AW28" i="2"/>
  <c r="AW27" i="2"/>
  <c r="AW26" i="2"/>
  <c r="AW25" i="2"/>
  <c r="AW24" i="2"/>
  <c r="AW23" i="2"/>
  <c r="AW22" i="2"/>
  <c r="AW21" i="2"/>
  <c r="AW20" i="2"/>
  <c r="AW19" i="2"/>
  <c r="AW18" i="2"/>
  <c r="AW17" i="2"/>
  <c r="AW16" i="2"/>
  <c r="AW15" i="2"/>
  <c r="AW14" i="2"/>
  <c r="AW13" i="2"/>
  <c r="AW12" i="2"/>
  <c r="AW11" i="2"/>
  <c r="AW10" i="2"/>
  <c r="AW9" i="2"/>
  <c r="AW8" i="2"/>
  <c r="AW7" i="2"/>
  <c r="AW6" i="2"/>
  <c r="AW5" i="2"/>
  <c r="AW4" i="2"/>
  <c r="AM325" i="2"/>
  <c r="AM324" i="2"/>
  <c r="AM323" i="2"/>
  <c r="AM322" i="2"/>
  <c r="AM321" i="2"/>
  <c r="AM320" i="2"/>
  <c r="AM319" i="2"/>
  <c r="AM318" i="2"/>
  <c r="AM317" i="2"/>
  <c r="AM316" i="2"/>
  <c r="AM315" i="2"/>
  <c r="AM314" i="2"/>
  <c r="AM313" i="2"/>
  <c r="AM312" i="2"/>
  <c r="AM311" i="2"/>
  <c r="AM310" i="2"/>
  <c r="AM309" i="2"/>
  <c r="AM308" i="2"/>
  <c r="AM307" i="2"/>
  <c r="AM306" i="2"/>
  <c r="AM305" i="2"/>
  <c r="AM304" i="2"/>
  <c r="AM303" i="2"/>
  <c r="AM302" i="2"/>
  <c r="AM301" i="2"/>
  <c r="AM300" i="2"/>
  <c r="AM299" i="2"/>
  <c r="AM298" i="2"/>
  <c r="AM297" i="2"/>
  <c r="AM296" i="2"/>
  <c r="AM295" i="2"/>
  <c r="AM294" i="2"/>
  <c r="AM293" i="2"/>
  <c r="AM292" i="2"/>
  <c r="AM291" i="2"/>
  <c r="AM290" i="2"/>
  <c r="AM289" i="2"/>
  <c r="AM288" i="2"/>
  <c r="AM287" i="2"/>
  <c r="AM286" i="2"/>
  <c r="AM285" i="2"/>
  <c r="AM284" i="2"/>
  <c r="AM283" i="2"/>
  <c r="AM282" i="2"/>
  <c r="AM281" i="2"/>
  <c r="AM280" i="2"/>
  <c r="AM279" i="2"/>
  <c r="AM278" i="2"/>
  <c r="AM277" i="2"/>
  <c r="AM276" i="2"/>
  <c r="AM275" i="2"/>
  <c r="AM274" i="2"/>
  <c r="AM273" i="2"/>
  <c r="AM272" i="2"/>
  <c r="AM271" i="2"/>
  <c r="AM270" i="2"/>
  <c r="AM269" i="2"/>
  <c r="AM268" i="2"/>
  <c r="AM267" i="2"/>
  <c r="AM266" i="2"/>
  <c r="AM265" i="2"/>
  <c r="AM264" i="2"/>
  <c r="AM263" i="2"/>
  <c r="AM262" i="2"/>
  <c r="AM261" i="2"/>
  <c r="AM260" i="2"/>
  <c r="AM259" i="2"/>
  <c r="AM258" i="2"/>
  <c r="AM257" i="2"/>
  <c r="AM256" i="2"/>
  <c r="AM255" i="2"/>
  <c r="AM254" i="2"/>
  <c r="AM253" i="2"/>
  <c r="AM252" i="2"/>
  <c r="AM251" i="2"/>
  <c r="AM250" i="2"/>
  <c r="AM249" i="2"/>
  <c r="AM248" i="2"/>
  <c r="AM247" i="2"/>
  <c r="AM246" i="2"/>
  <c r="AM245" i="2"/>
  <c r="AM244" i="2"/>
  <c r="AM243" i="2"/>
  <c r="AM242" i="2"/>
  <c r="AM241" i="2"/>
  <c r="AM240" i="2"/>
  <c r="AM239" i="2"/>
  <c r="AM238" i="2"/>
  <c r="AM237" i="2"/>
  <c r="AM236" i="2"/>
  <c r="AM235" i="2"/>
  <c r="AM234" i="2"/>
  <c r="AM233" i="2"/>
  <c r="AM232" i="2"/>
  <c r="AM231" i="2"/>
  <c r="AM230" i="2"/>
  <c r="AM229" i="2"/>
  <c r="AM228" i="2"/>
  <c r="AM227" i="2"/>
  <c r="AM226" i="2"/>
  <c r="AM225" i="2"/>
  <c r="AM224" i="2"/>
  <c r="AM223" i="2"/>
  <c r="AM222" i="2"/>
  <c r="AM221" i="2"/>
  <c r="AM220" i="2"/>
  <c r="AM219" i="2"/>
  <c r="AM218" i="2"/>
  <c r="AM217" i="2"/>
  <c r="AM216" i="2"/>
  <c r="AM215" i="2"/>
  <c r="AM214" i="2"/>
  <c r="AM213" i="2"/>
  <c r="AM212" i="2"/>
  <c r="AM211" i="2"/>
  <c r="AM210" i="2"/>
  <c r="AM209" i="2"/>
  <c r="AM208" i="2"/>
  <c r="AM207" i="2"/>
  <c r="AM206" i="2"/>
  <c r="AM205" i="2"/>
  <c r="AM204" i="2"/>
  <c r="AM203" i="2"/>
  <c r="AM202" i="2"/>
  <c r="AM201" i="2"/>
  <c r="AM200" i="2"/>
  <c r="AM199" i="2"/>
  <c r="AM198" i="2"/>
  <c r="AM197" i="2"/>
  <c r="AM196" i="2"/>
  <c r="AM195" i="2"/>
  <c r="AM194" i="2"/>
  <c r="AM193" i="2"/>
  <c r="AM192" i="2"/>
  <c r="AM191" i="2"/>
  <c r="AM190" i="2"/>
  <c r="AM189" i="2"/>
  <c r="AM188" i="2"/>
  <c r="AM187" i="2"/>
  <c r="AM186" i="2"/>
  <c r="AM185" i="2"/>
  <c r="AM184" i="2"/>
  <c r="AM183" i="2"/>
  <c r="AM182" i="2"/>
  <c r="AM181" i="2"/>
  <c r="AM180" i="2"/>
  <c r="AM179" i="2"/>
  <c r="AM178" i="2"/>
  <c r="AM177" i="2"/>
  <c r="AM176" i="2"/>
  <c r="AM175" i="2"/>
  <c r="AM174" i="2"/>
  <c r="AM173" i="2"/>
  <c r="AM172" i="2"/>
  <c r="AM171" i="2"/>
  <c r="AM170" i="2"/>
  <c r="AM169" i="2"/>
  <c r="AM168" i="2"/>
  <c r="AM167" i="2"/>
  <c r="AM166" i="2"/>
  <c r="AM165" i="2"/>
  <c r="AM164" i="2"/>
  <c r="AM163" i="2"/>
  <c r="AM162" i="2"/>
  <c r="AM161" i="2"/>
  <c r="AM160" i="2"/>
  <c r="AM159" i="2"/>
  <c r="AM158" i="2"/>
  <c r="AM157" i="2"/>
  <c r="AM156" i="2"/>
  <c r="AM155" i="2"/>
  <c r="AM154" i="2"/>
  <c r="AM153" i="2"/>
  <c r="AM152" i="2"/>
  <c r="AM151" i="2"/>
  <c r="AM150" i="2"/>
  <c r="AM149" i="2"/>
  <c r="AM148" i="2"/>
  <c r="AM147" i="2"/>
  <c r="AM146" i="2"/>
  <c r="AM145" i="2"/>
  <c r="AM144" i="2"/>
  <c r="AM143" i="2"/>
  <c r="AM142" i="2"/>
  <c r="AM141" i="2"/>
  <c r="AM140" i="2"/>
  <c r="AM139" i="2"/>
  <c r="AM138" i="2"/>
  <c r="AM137" i="2"/>
  <c r="AM136" i="2"/>
  <c r="AM135" i="2"/>
  <c r="AM134" i="2"/>
  <c r="AM133" i="2"/>
  <c r="AM132" i="2"/>
  <c r="AM131" i="2"/>
  <c r="AM130" i="2"/>
  <c r="AM129" i="2"/>
  <c r="AM128" i="2"/>
  <c r="AM127" i="2"/>
  <c r="AM126" i="2"/>
  <c r="AM125" i="2"/>
  <c r="AM124" i="2"/>
  <c r="AM123" i="2"/>
  <c r="AM122" i="2"/>
  <c r="AM121" i="2"/>
  <c r="AM120" i="2"/>
  <c r="AM119" i="2"/>
  <c r="AM118" i="2"/>
  <c r="AM117" i="2"/>
  <c r="AM116" i="2"/>
  <c r="AM115" i="2"/>
  <c r="AM114" i="2"/>
  <c r="AM113" i="2"/>
  <c r="AM112" i="2"/>
  <c r="AM111" i="2"/>
  <c r="AM110" i="2"/>
  <c r="AM109" i="2"/>
  <c r="AM108" i="2"/>
  <c r="AM107" i="2"/>
  <c r="AM106" i="2"/>
  <c r="AM105" i="2"/>
  <c r="AM104" i="2"/>
  <c r="AM103" i="2"/>
  <c r="AM102" i="2"/>
  <c r="AM101" i="2"/>
  <c r="AM100" i="2"/>
  <c r="AM99" i="2"/>
  <c r="AM98" i="2"/>
  <c r="AM97" i="2"/>
  <c r="AM96" i="2"/>
  <c r="AM95" i="2"/>
  <c r="AM94" i="2"/>
  <c r="AM93" i="2"/>
  <c r="AM92" i="2"/>
  <c r="AM91" i="2"/>
  <c r="AM90" i="2"/>
  <c r="AM89" i="2"/>
  <c r="AM88" i="2"/>
  <c r="AM87" i="2"/>
  <c r="AM86" i="2"/>
  <c r="AM85" i="2"/>
  <c r="AM84" i="2"/>
  <c r="AM83" i="2"/>
  <c r="AM82" i="2"/>
  <c r="AM81" i="2"/>
  <c r="AM80" i="2"/>
  <c r="AM79" i="2"/>
  <c r="AM78" i="2"/>
  <c r="AM77" i="2"/>
  <c r="AM76" i="2"/>
  <c r="AM75" i="2"/>
  <c r="AM74" i="2"/>
  <c r="AM73" i="2"/>
  <c r="AM72" i="2"/>
  <c r="AM71" i="2"/>
  <c r="AM70" i="2"/>
  <c r="AM69" i="2"/>
  <c r="AM68" i="2"/>
  <c r="AM67" i="2"/>
  <c r="AM66" i="2"/>
  <c r="AM65" i="2"/>
  <c r="AM64" i="2"/>
  <c r="AM63" i="2"/>
  <c r="AM62" i="2"/>
  <c r="AM61" i="2"/>
  <c r="AM60" i="2"/>
  <c r="AM59" i="2"/>
  <c r="AM58" i="2"/>
  <c r="AM57" i="2"/>
  <c r="AM56" i="2"/>
  <c r="AM55" i="2"/>
  <c r="AM54" i="2"/>
  <c r="AM53" i="2"/>
  <c r="AM52" i="2"/>
  <c r="AM51" i="2"/>
  <c r="AM50" i="2"/>
  <c r="AM49" i="2"/>
  <c r="AM48" i="2"/>
  <c r="AM47" i="2"/>
  <c r="AM46" i="2"/>
  <c r="AM45" i="2"/>
  <c r="AM44" i="2"/>
  <c r="AM43" i="2"/>
  <c r="AM42" i="2"/>
  <c r="AM41" i="2"/>
  <c r="AM40" i="2"/>
  <c r="AM39" i="2"/>
  <c r="AM38" i="2"/>
  <c r="AM37" i="2"/>
  <c r="AM36" i="2"/>
  <c r="AM35" i="2"/>
  <c r="AM34" i="2"/>
  <c r="AM33" i="2"/>
  <c r="AM32" i="2"/>
  <c r="AM31" i="2"/>
  <c r="AM30" i="2"/>
  <c r="AM29" i="2"/>
  <c r="AM28" i="2"/>
  <c r="AM27" i="2"/>
  <c r="AM26" i="2"/>
  <c r="AM25" i="2"/>
  <c r="AM24" i="2"/>
  <c r="AM23" i="2"/>
  <c r="AM22" i="2"/>
  <c r="AM21" i="2"/>
  <c r="AM20" i="2"/>
  <c r="AM19" i="2"/>
  <c r="AM18" i="2"/>
  <c r="AM17" i="2"/>
  <c r="AM16" i="2"/>
  <c r="AM15" i="2"/>
  <c r="AM14" i="2"/>
  <c r="AM13" i="2"/>
  <c r="AM12" i="2"/>
  <c r="AM11" i="2"/>
  <c r="AM10" i="2"/>
  <c r="AM9" i="2"/>
  <c r="AM8" i="2"/>
  <c r="AM7" i="2"/>
  <c r="AM6" i="2"/>
  <c r="AM5" i="2"/>
  <c r="AM4" i="2"/>
  <c r="AC325" i="2"/>
  <c r="AC324" i="2"/>
  <c r="AC323" i="2"/>
  <c r="AC322" i="2"/>
  <c r="AC321" i="2"/>
  <c r="AC320" i="2"/>
  <c r="AC319" i="2"/>
  <c r="AC318" i="2"/>
  <c r="AC317" i="2"/>
  <c r="AC316" i="2"/>
  <c r="AC315" i="2"/>
  <c r="AC314" i="2"/>
  <c r="AC313" i="2"/>
  <c r="AC312" i="2"/>
  <c r="AC311" i="2"/>
  <c r="AC310" i="2"/>
  <c r="AC309" i="2"/>
  <c r="AC308" i="2"/>
  <c r="AC307" i="2"/>
  <c r="AC306" i="2"/>
  <c r="AC305" i="2"/>
  <c r="AC304" i="2"/>
  <c r="AC303" i="2"/>
  <c r="AC302" i="2"/>
  <c r="AC301" i="2"/>
  <c r="AC300" i="2"/>
  <c r="AC299" i="2"/>
  <c r="AC298" i="2"/>
  <c r="AC297" i="2"/>
  <c r="AC296" i="2"/>
  <c r="AC295" i="2"/>
  <c r="AC294" i="2"/>
  <c r="AC293" i="2"/>
  <c r="AC292" i="2"/>
  <c r="AC291" i="2"/>
  <c r="AC290" i="2"/>
  <c r="AC289" i="2"/>
  <c r="AC288" i="2"/>
  <c r="AC287" i="2"/>
  <c r="AC286" i="2"/>
  <c r="AC285" i="2"/>
  <c r="AC284" i="2"/>
  <c r="AC283" i="2"/>
  <c r="AC282" i="2"/>
  <c r="AC281" i="2"/>
  <c r="AC280" i="2"/>
  <c r="AC279" i="2"/>
  <c r="AC278" i="2"/>
  <c r="AC277" i="2"/>
  <c r="AC276" i="2"/>
  <c r="AC275" i="2"/>
  <c r="AC274" i="2"/>
  <c r="AC273" i="2"/>
  <c r="AC272" i="2"/>
  <c r="AC271" i="2"/>
  <c r="AC270" i="2"/>
  <c r="AC269" i="2"/>
  <c r="AC268" i="2"/>
  <c r="AC267" i="2"/>
  <c r="AC266" i="2"/>
  <c r="AC265" i="2"/>
  <c r="AC264" i="2"/>
  <c r="AC263" i="2"/>
  <c r="AC262" i="2"/>
  <c r="AC261" i="2"/>
  <c r="AC260" i="2"/>
  <c r="AC259" i="2"/>
  <c r="AC258" i="2"/>
  <c r="AC257" i="2"/>
  <c r="AC256" i="2"/>
  <c r="AC255" i="2"/>
  <c r="AC254" i="2"/>
  <c r="AC253" i="2"/>
  <c r="AC252" i="2"/>
  <c r="AC251" i="2"/>
  <c r="AC250" i="2"/>
  <c r="AC249" i="2"/>
  <c r="AC248" i="2"/>
  <c r="AC247" i="2"/>
  <c r="AC246" i="2"/>
  <c r="AC245" i="2"/>
  <c r="AC244" i="2"/>
  <c r="AC243" i="2"/>
  <c r="AC242" i="2"/>
  <c r="AC241" i="2"/>
  <c r="AC240" i="2"/>
  <c r="AC239" i="2"/>
  <c r="AC238" i="2"/>
  <c r="AC237" i="2"/>
  <c r="AC236" i="2"/>
  <c r="AC235" i="2"/>
  <c r="AC234" i="2"/>
  <c r="AC233" i="2"/>
  <c r="AC232" i="2"/>
  <c r="AC231" i="2"/>
  <c r="AC230" i="2"/>
  <c r="AC229" i="2"/>
  <c r="AC228" i="2"/>
  <c r="AC227" i="2"/>
  <c r="AC226" i="2"/>
  <c r="AC225" i="2"/>
  <c r="AC224" i="2"/>
  <c r="AC223" i="2"/>
  <c r="AC222" i="2"/>
  <c r="AC221" i="2"/>
  <c r="AC220" i="2"/>
  <c r="AC219" i="2"/>
  <c r="AC218" i="2"/>
  <c r="AC217" i="2"/>
  <c r="AC216" i="2"/>
  <c r="AC215" i="2"/>
  <c r="AC214" i="2"/>
  <c r="AC213" i="2"/>
  <c r="AC212" i="2"/>
  <c r="AC211" i="2"/>
  <c r="AC210" i="2"/>
  <c r="AC209" i="2"/>
  <c r="AC208" i="2"/>
  <c r="AC207" i="2"/>
  <c r="AC206" i="2"/>
  <c r="AC205" i="2"/>
  <c r="AC204" i="2"/>
  <c r="AC203" i="2"/>
  <c r="AC202" i="2"/>
  <c r="AC201" i="2"/>
  <c r="AC200" i="2"/>
  <c r="AC199" i="2"/>
  <c r="AC198" i="2"/>
  <c r="AC197" i="2"/>
  <c r="AC196" i="2"/>
  <c r="AC195" i="2"/>
  <c r="AC194" i="2"/>
  <c r="AC193" i="2"/>
  <c r="AC192" i="2"/>
  <c r="AC191" i="2"/>
  <c r="AC190" i="2"/>
  <c r="AC189" i="2"/>
  <c r="AC188" i="2"/>
  <c r="AC187" i="2"/>
  <c r="AC186" i="2"/>
  <c r="AC185" i="2"/>
  <c r="AC184" i="2"/>
  <c r="AC183" i="2"/>
  <c r="AC182" i="2"/>
  <c r="AC181" i="2"/>
  <c r="AC180" i="2"/>
  <c r="AC179" i="2"/>
  <c r="AC178" i="2"/>
  <c r="AC177" i="2"/>
  <c r="AC176" i="2"/>
  <c r="AC175" i="2"/>
  <c r="AC174" i="2"/>
  <c r="AC173" i="2"/>
  <c r="AC172" i="2"/>
  <c r="AC171" i="2"/>
  <c r="AC170" i="2"/>
  <c r="AC169" i="2"/>
  <c r="AC168" i="2"/>
  <c r="AC167" i="2"/>
  <c r="AC166" i="2"/>
  <c r="AC165" i="2"/>
  <c r="AC164" i="2"/>
  <c r="AC163" i="2"/>
  <c r="AC162" i="2"/>
  <c r="AC161" i="2"/>
  <c r="AC160" i="2"/>
  <c r="AC159" i="2"/>
  <c r="AC158" i="2"/>
  <c r="AC157" i="2"/>
  <c r="AC156" i="2"/>
  <c r="AC155" i="2"/>
  <c r="AC154" i="2"/>
  <c r="AC153" i="2"/>
  <c r="AC152" i="2"/>
  <c r="AC151" i="2"/>
  <c r="AC150" i="2"/>
  <c r="AC149" i="2"/>
  <c r="AC148" i="2"/>
  <c r="AC147" i="2"/>
  <c r="AC146" i="2"/>
  <c r="AC145" i="2"/>
  <c r="AC144" i="2"/>
  <c r="AC143" i="2"/>
  <c r="AC142" i="2"/>
  <c r="AC141" i="2"/>
  <c r="AC140" i="2"/>
  <c r="AC139" i="2"/>
  <c r="AC138" i="2"/>
  <c r="AC137" i="2"/>
  <c r="AC136" i="2"/>
  <c r="AC135" i="2"/>
  <c r="AC134" i="2"/>
  <c r="AC133" i="2"/>
  <c r="AC132" i="2"/>
  <c r="AC131" i="2"/>
  <c r="AC130" i="2"/>
  <c r="AC129" i="2"/>
  <c r="AC128" i="2"/>
  <c r="AC127" i="2"/>
  <c r="AC126" i="2"/>
  <c r="AC125" i="2"/>
  <c r="AC124" i="2"/>
  <c r="AC123" i="2"/>
  <c r="AC122" i="2"/>
  <c r="AC121" i="2"/>
  <c r="AC120" i="2"/>
  <c r="AC119" i="2"/>
  <c r="AC118" i="2"/>
  <c r="AC117" i="2"/>
  <c r="AC116" i="2"/>
  <c r="AC115" i="2"/>
  <c r="AC114" i="2"/>
  <c r="AC113" i="2"/>
  <c r="AC112" i="2"/>
  <c r="AC111" i="2"/>
  <c r="AC110" i="2"/>
  <c r="AC109" i="2"/>
  <c r="AC108" i="2"/>
  <c r="AC107" i="2"/>
  <c r="AC106" i="2"/>
  <c r="AC105" i="2"/>
  <c r="AC104" i="2"/>
  <c r="AC103" i="2"/>
  <c r="AC102" i="2"/>
  <c r="AC101" i="2"/>
  <c r="AC100" i="2"/>
  <c r="AC99" i="2"/>
  <c r="AC98" i="2"/>
  <c r="AC97" i="2"/>
  <c r="AC96" i="2"/>
  <c r="AC95" i="2"/>
  <c r="AC94" i="2"/>
  <c r="AC93" i="2"/>
  <c r="AC92" i="2"/>
  <c r="AC91" i="2"/>
  <c r="AC90" i="2"/>
  <c r="AC89" i="2"/>
  <c r="AC88" i="2"/>
  <c r="AC87" i="2"/>
  <c r="AC86" i="2"/>
  <c r="AC85" i="2"/>
  <c r="AC84" i="2"/>
  <c r="AC83" i="2"/>
  <c r="AC82" i="2"/>
  <c r="AC81" i="2"/>
  <c r="AC80" i="2"/>
  <c r="AC79" i="2"/>
  <c r="AC78" i="2"/>
  <c r="AC77" i="2"/>
  <c r="AC76" i="2"/>
  <c r="AC75" i="2"/>
  <c r="AC74" i="2"/>
  <c r="AC73" i="2"/>
  <c r="AC72" i="2"/>
  <c r="AC71" i="2"/>
  <c r="AC70" i="2"/>
  <c r="AC69" i="2"/>
  <c r="AC68" i="2"/>
  <c r="AC67" i="2"/>
  <c r="AC66" i="2"/>
  <c r="AC65" i="2"/>
  <c r="AC64" i="2"/>
  <c r="AC63" i="2"/>
  <c r="AC62" i="2"/>
  <c r="AC61" i="2"/>
  <c r="AC60" i="2"/>
  <c r="AC59" i="2"/>
  <c r="AC58" i="2"/>
  <c r="AC57" i="2"/>
  <c r="AC56" i="2"/>
  <c r="AC55" i="2"/>
  <c r="AC54" i="2"/>
  <c r="AC53" i="2"/>
  <c r="AC52" i="2"/>
  <c r="AC51" i="2"/>
  <c r="AC50" i="2"/>
  <c r="AC49" i="2"/>
  <c r="AC48" i="2"/>
  <c r="AC47" i="2"/>
  <c r="AC46" i="2"/>
  <c r="AC45" i="2"/>
  <c r="AC44" i="2"/>
  <c r="AC43" i="2"/>
  <c r="AC42" i="2"/>
  <c r="AC41" i="2"/>
  <c r="AC40" i="2"/>
  <c r="AC39" i="2"/>
  <c r="AC38" i="2"/>
  <c r="AC37" i="2"/>
  <c r="AC36" i="2"/>
  <c r="AC35" i="2"/>
  <c r="AC34" i="2"/>
  <c r="AC33" i="2"/>
  <c r="AC32" i="2"/>
  <c r="AC31" i="2"/>
  <c r="AC30" i="2"/>
  <c r="AC29" i="2"/>
  <c r="AC28" i="2"/>
  <c r="AC27" i="2"/>
  <c r="AC26" i="2"/>
  <c r="AC25" i="2"/>
  <c r="AC24" i="2"/>
  <c r="AC23" i="2"/>
  <c r="AC22" i="2"/>
  <c r="AC21" i="2"/>
  <c r="AC20" i="2"/>
  <c r="AC19" i="2"/>
  <c r="AC18" i="2"/>
  <c r="AC17" i="2"/>
  <c r="AC16" i="2"/>
  <c r="AC15" i="2"/>
  <c r="AC14" i="2"/>
  <c r="AC13" i="2"/>
  <c r="AC12" i="2"/>
  <c r="AC11" i="2"/>
  <c r="AC10" i="2"/>
  <c r="AC9" i="2"/>
  <c r="AC8" i="2"/>
  <c r="AC7" i="2"/>
  <c r="AC6" i="2"/>
  <c r="AC5" i="2"/>
  <c r="AC4" i="2"/>
  <c r="S325" i="2"/>
  <c r="S324" i="2"/>
  <c r="S323" i="2"/>
  <c r="S322" i="2"/>
  <c r="S321" i="2"/>
  <c r="S320" i="2"/>
  <c r="S319" i="2"/>
  <c r="S318" i="2"/>
  <c r="S317" i="2"/>
  <c r="S316" i="2"/>
  <c r="S315" i="2"/>
  <c r="S314" i="2"/>
  <c r="S313" i="2"/>
  <c r="S312" i="2"/>
  <c r="S311" i="2"/>
  <c r="S310" i="2"/>
  <c r="S309" i="2"/>
  <c r="S308" i="2"/>
  <c r="S307" i="2"/>
  <c r="S306" i="2"/>
  <c r="S305" i="2"/>
  <c r="S304" i="2"/>
  <c r="S303" i="2"/>
  <c r="S302" i="2"/>
  <c r="S301" i="2"/>
  <c r="S300" i="2"/>
  <c r="S299" i="2"/>
  <c r="S298" i="2"/>
  <c r="S297" i="2"/>
  <c r="S296" i="2"/>
  <c r="S295" i="2"/>
  <c r="S294" i="2"/>
  <c r="S293" i="2"/>
  <c r="S292" i="2"/>
  <c r="S291" i="2"/>
  <c r="S290" i="2"/>
  <c r="S289" i="2"/>
  <c r="S288" i="2"/>
  <c r="S287" i="2"/>
  <c r="S286" i="2"/>
  <c r="S285" i="2"/>
  <c r="S284" i="2"/>
  <c r="S283" i="2"/>
  <c r="S282" i="2"/>
  <c r="S281" i="2"/>
  <c r="S280" i="2"/>
  <c r="S279" i="2"/>
  <c r="S278" i="2"/>
  <c r="S277" i="2"/>
  <c r="S276" i="2"/>
  <c r="S275" i="2"/>
  <c r="S274" i="2"/>
  <c r="S273" i="2"/>
  <c r="S272" i="2"/>
  <c r="S271" i="2"/>
  <c r="S270" i="2"/>
  <c r="S269" i="2"/>
  <c r="S268" i="2"/>
  <c r="S267" i="2"/>
  <c r="S266" i="2"/>
  <c r="S265" i="2"/>
  <c r="S264" i="2"/>
  <c r="S263" i="2"/>
  <c r="S262" i="2"/>
  <c r="S261" i="2"/>
  <c r="S260" i="2"/>
  <c r="S259" i="2"/>
  <c r="S258" i="2"/>
  <c r="S257" i="2"/>
  <c r="S256" i="2"/>
  <c r="S255" i="2"/>
  <c r="S254" i="2"/>
  <c r="S253" i="2"/>
  <c r="S252" i="2"/>
  <c r="S251" i="2"/>
  <c r="S250" i="2"/>
  <c r="S249" i="2"/>
  <c r="S248" i="2"/>
  <c r="S247" i="2"/>
  <c r="S246" i="2"/>
  <c r="S245" i="2"/>
  <c r="S244" i="2"/>
  <c r="S243" i="2"/>
  <c r="S242" i="2"/>
  <c r="S241" i="2"/>
  <c r="S240" i="2"/>
  <c r="S239" i="2"/>
  <c r="S238" i="2"/>
  <c r="S237" i="2"/>
  <c r="S236" i="2"/>
  <c r="S235" i="2"/>
  <c r="S234" i="2"/>
  <c r="S233" i="2"/>
  <c r="S232" i="2"/>
  <c r="S231" i="2"/>
  <c r="S230" i="2"/>
  <c r="S229" i="2"/>
  <c r="S228" i="2"/>
  <c r="S227" i="2"/>
  <c r="S226" i="2"/>
  <c r="S225" i="2"/>
  <c r="S224" i="2"/>
  <c r="S223" i="2"/>
  <c r="S222" i="2"/>
  <c r="S221" i="2"/>
  <c r="S220" i="2"/>
  <c r="S219" i="2"/>
  <c r="S218" i="2"/>
  <c r="S217" i="2"/>
  <c r="S216" i="2"/>
  <c r="S215" i="2"/>
  <c r="S214" i="2"/>
  <c r="S213" i="2"/>
  <c r="S212" i="2"/>
  <c r="S211" i="2"/>
  <c r="S210" i="2"/>
  <c r="S209" i="2"/>
  <c r="S208" i="2"/>
  <c r="S207" i="2"/>
  <c r="S206" i="2"/>
  <c r="S205" i="2"/>
  <c r="S204" i="2"/>
  <c r="S203" i="2"/>
  <c r="S202" i="2"/>
  <c r="S201" i="2"/>
  <c r="S200" i="2"/>
  <c r="S199" i="2"/>
  <c r="S198" i="2"/>
  <c r="S197" i="2"/>
  <c r="S196" i="2"/>
  <c r="S195" i="2"/>
  <c r="S194" i="2"/>
  <c r="S193" i="2"/>
  <c r="S192" i="2"/>
  <c r="S191" i="2"/>
  <c r="S190" i="2"/>
  <c r="S189" i="2"/>
  <c r="S188" i="2"/>
  <c r="S187" i="2"/>
  <c r="S186" i="2"/>
  <c r="S185" i="2"/>
  <c r="S184" i="2"/>
  <c r="S183" i="2"/>
  <c r="S182" i="2"/>
  <c r="S181" i="2"/>
  <c r="S180" i="2"/>
  <c r="S179" i="2"/>
  <c r="S178" i="2"/>
  <c r="S177" i="2"/>
  <c r="S176" i="2"/>
  <c r="S175" i="2"/>
  <c r="S174" i="2"/>
  <c r="S173" i="2"/>
  <c r="S172" i="2"/>
  <c r="S171" i="2"/>
  <c r="S170" i="2"/>
  <c r="S169" i="2"/>
  <c r="S168" i="2"/>
  <c r="S167" i="2"/>
  <c r="S166" i="2"/>
  <c r="S165" i="2"/>
  <c r="S164" i="2"/>
  <c r="S163" i="2"/>
  <c r="S162" i="2"/>
  <c r="S161" i="2"/>
  <c r="S160" i="2"/>
  <c r="S159" i="2"/>
  <c r="S158" i="2"/>
  <c r="S157" i="2"/>
  <c r="S156" i="2"/>
  <c r="S155" i="2"/>
  <c r="S154" i="2"/>
  <c r="S153" i="2"/>
  <c r="S152" i="2"/>
  <c r="S151" i="2"/>
  <c r="S150" i="2"/>
  <c r="S149" i="2"/>
  <c r="S148" i="2"/>
  <c r="S147" i="2"/>
  <c r="S146" i="2"/>
  <c r="S145" i="2"/>
  <c r="S144" i="2"/>
  <c r="S143" i="2"/>
  <c r="S142" i="2"/>
  <c r="S141" i="2"/>
  <c r="S140" i="2"/>
  <c r="S139" i="2"/>
  <c r="S138" i="2"/>
  <c r="S137" i="2"/>
  <c r="S136" i="2"/>
  <c r="S135" i="2"/>
  <c r="S134" i="2"/>
  <c r="S133" i="2"/>
  <c r="S132" i="2"/>
  <c r="S131" i="2"/>
  <c r="S130" i="2"/>
  <c r="S129" i="2"/>
  <c r="S128" i="2"/>
  <c r="S127" i="2"/>
  <c r="S126" i="2"/>
  <c r="S125" i="2"/>
  <c r="S124" i="2"/>
  <c r="S123" i="2"/>
  <c r="S122" i="2"/>
  <c r="S121" i="2"/>
  <c r="S120" i="2"/>
  <c r="S119" i="2"/>
  <c r="S118" i="2"/>
  <c r="S117" i="2"/>
  <c r="S116" i="2"/>
  <c r="S115" i="2"/>
  <c r="S114" i="2"/>
  <c r="S113" i="2"/>
  <c r="S112" i="2"/>
  <c r="S111" i="2"/>
  <c r="S110" i="2"/>
  <c r="S109" i="2"/>
  <c r="S108" i="2"/>
  <c r="S107" i="2"/>
  <c r="S106" i="2"/>
  <c r="S105" i="2"/>
  <c r="S104" i="2"/>
  <c r="S103" i="2"/>
  <c r="S102" i="2"/>
  <c r="S101" i="2"/>
  <c r="S100" i="2"/>
  <c r="S99" i="2"/>
  <c r="S98" i="2"/>
  <c r="S97" i="2"/>
  <c r="S96" i="2"/>
  <c r="S95" i="2"/>
  <c r="S94" i="2"/>
  <c r="S93" i="2"/>
  <c r="S92" i="2"/>
  <c r="S91" i="2"/>
  <c r="S90" i="2"/>
  <c r="S89" i="2"/>
  <c r="S88" i="2"/>
  <c r="S87" i="2"/>
  <c r="S86" i="2"/>
  <c r="S85" i="2"/>
  <c r="S84" i="2"/>
  <c r="S83" i="2"/>
  <c r="S82" i="2"/>
  <c r="S81" i="2"/>
  <c r="S80" i="2"/>
  <c r="S79" i="2"/>
  <c r="S78" i="2"/>
  <c r="S77" i="2"/>
  <c r="S76" i="2"/>
  <c r="S75" i="2"/>
  <c r="S74" i="2"/>
  <c r="S73" i="2"/>
  <c r="S72" i="2"/>
  <c r="S71" i="2"/>
  <c r="S70" i="2"/>
  <c r="S69" i="2"/>
  <c r="S68" i="2"/>
  <c r="S67" i="2"/>
  <c r="S66" i="2"/>
  <c r="S65" i="2"/>
  <c r="S64" i="2"/>
  <c r="S63" i="2"/>
  <c r="S62" i="2"/>
  <c r="S61" i="2"/>
  <c r="S60" i="2"/>
  <c r="S59" i="2"/>
  <c r="S58" i="2"/>
  <c r="S57" i="2"/>
  <c r="S56" i="2"/>
  <c r="S55" i="2"/>
  <c r="S54" i="2"/>
  <c r="S53" i="2"/>
  <c r="S52" i="2"/>
  <c r="S51" i="2"/>
  <c r="S50" i="2"/>
  <c r="S49" i="2"/>
  <c r="S48" i="2"/>
  <c r="S47" i="2"/>
  <c r="S46" i="2"/>
  <c r="S45" i="2"/>
  <c r="S44" i="2"/>
  <c r="S43" i="2"/>
  <c r="S42" i="2"/>
  <c r="S41" i="2"/>
  <c r="S40" i="2"/>
  <c r="S39" i="2"/>
  <c r="S38" i="2"/>
  <c r="S37" i="2"/>
  <c r="S36" i="2"/>
  <c r="S35" i="2"/>
  <c r="S34" i="2"/>
  <c r="S33" i="2"/>
  <c r="S32" i="2"/>
  <c r="S31" i="2"/>
  <c r="S30" i="2"/>
  <c r="S29" i="2"/>
  <c r="S28" i="2"/>
  <c r="S27" i="2"/>
  <c r="S26" i="2"/>
  <c r="S25" i="2"/>
  <c r="S24" i="2"/>
  <c r="S23" i="2"/>
  <c r="S22" i="2"/>
  <c r="S21" i="2"/>
  <c r="S20" i="2"/>
  <c r="S19" i="2"/>
  <c r="S18" i="2"/>
  <c r="S17" i="2"/>
  <c r="S16" i="2"/>
  <c r="S15" i="2"/>
  <c r="S14" i="2"/>
  <c r="S13" i="2"/>
  <c r="S12" i="2"/>
  <c r="S11" i="2"/>
  <c r="S10" i="2"/>
  <c r="S9" i="2"/>
  <c r="S8" i="2"/>
  <c r="S7" i="2"/>
  <c r="S6" i="2"/>
  <c r="S5" i="2"/>
  <c r="S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AU325" i="2"/>
  <c r="AU324" i="2"/>
  <c r="AU323" i="2"/>
  <c r="AU322" i="2"/>
  <c r="AU321" i="2"/>
  <c r="AU320" i="2"/>
  <c r="AU319" i="2"/>
  <c r="AU318" i="2"/>
  <c r="AU317" i="2"/>
  <c r="AU316" i="2"/>
  <c r="AU315" i="2"/>
  <c r="AU314" i="2"/>
  <c r="AU313" i="2"/>
  <c r="AU312" i="2"/>
  <c r="AU311" i="2"/>
  <c r="AU310" i="2"/>
  <c r="AU309" i="2"/>
  <c r="AU308" i="2"/>
  <c r="AU307" i="2"/>
  <c r="AU306" i="2"/>
  <c r="AU305" i="2"/>
  <c r="AU304" i="2"/>
  <c r="AU303" i="2"/>
  <c r="AU302" i="2"/>
  <c r="AU301" i="2"/>
  <c r="AU300" i="2"/>
  <c r="AU299" i="2"/>
  <c r="AU298" i="2"/>
  <c r="AU297" i="2"/>
  <c r="AU296" i="2"/>
  <c r="AU295" i="2"/>
  <c r="AU294" i="2"/>
  <c r="AU293" i="2"/>
  <c r="AU292" i="2"/>
  <c r="AU291" i="2"/>
  <c r="AU290" i="2"/>
  <c r="AU289" i="2"/>
  <c r="AU288" i="2"/>
  <c r="AU287" i="2"/>
  <c r="AU286" i="2"/>
  <c r="AU285" i="2"/>
  <c r="AU284" i="2"/>
  <c r="AU283" i="2"/>
  <c r="AU282" i="2"/>
  <c r="AU281" i="2"/>
  <c r="AU280" i="2"/>
  <c r="AU279" i="2"/>
  <c r="AU278" i="2"/>
  <c r="AU277" i="2"/>
  <c r="AU276" i="2"/>
  <c r="AU275" i="2"/>
  <c r="AU274" i="2"/>
  <c r="AU273" i="2"/>
  <c r="AU272" i="2"/>
  <c r="AU271" i="2"/>
  <c r="AU270" i="2"/>
  <c r="AU269" i="2"/>
  <c r="AU268" i="2"/>
  <c r="AU267" i="2"/>
  <c r="AU266" i="2"/>
  <c r="AU265" i="2"/>
  <c r="AU264" i="2"/>
  <c r="AU263" i="2"/>
  <c r="AU262" i="2"/>
  <c r="AU261" i="2"/>
  <c r="AU260" i="2"/>
  <c r="AU259" i="2"/>
  <c r="AU258" i="2"/>
  <c r="AU257" i="2"/>
  <c r="AU256" i="2"/>
  <c r="AU255" i="2"/>
  <c r="AU254" i="2"/>
  <c r="AU253" i="2"/>
  <c r="AU252" i="2"/>
  <c r="AU251" i="2"/>
  <c r="AU250" i="2"/>
  <c r="AU249" i="2"/>
  <c r="AU248" i="2"/>
  <c r="AU247" i="2"/>
  <c r="AU246" i="2"/>
  <c r="AU245" i="2"/>
  <c r="AU244" i="2"/>
  <c r="AU243" i="2"/>
  <c r="AU242" i="2"/>
  <c r="AU241" i="2"/>
  <c r="AU240" i="2"/>
  <c r="AU239" i="2"/>
  <c r="AU238" i="2"/>
  <c r="AU237" i="2"/>
  <c r="AU236" i="2"/>
  <c r="AU235" i="2"/>
  <c r="AU234" i="2"/>
  <c r="AU233" i="2"/>
  <c r="AU232" i="2"/>
  <c r="AU231" i="2"/>
  <c r="AU230" i="2"/>
  <c r="AU229" i="2"/>
  <c r="AU228" i="2"/>
  <c r="AU227" i="2"/>
  <c r="AU226" i="2"/>
  <c r="AU225" i="2"/>
  <c r="AU224" i="2"/>
  <c r="AU223" i="2"/>
  <c r="AU222" i="2"/>
  <c r="AU221" i="2"/>
  <c r="AU220" i="2"/>
  <c r="AU219" i="2"/>
  <c r="AU218" i="2"/>
  <c r="AU217" i="2"/>
  <c r="AU216" i="2"/>
  <c r="AU215" i="2"/>
  <c r="AU214" i="2"/>
  <c r="AU213" i="2"/>
  <c r="AU212" i="2"/>
  <c r="AU211" i="2"/>
  <c r="AU210" i="2"/>
  <c r="AU209" i="2"/>
  <c r="AU208" i="2"/>
  <c r="AU207" i="2"/>
  <c r="AU206" i="2"/>
  <c r="AU205" i="2"/>
  <c r="AU204" i="2"/>
  <c r="AU203" i="2"/>
  <c r="AU202" i="2"/>
  <c r="AU201" i="2"/>
  <c r="AU200" i="2"/>
  <c r="AU199" i="2"/>
  <c r="AU198" i="2"/>
  <c r="AU197" i="2"/>
  <c r="AU196" i="2"/>
  <c r="AU195" i="2"/>
  <c r="AU194" i="2"/>
  <c r="AU193" i="2"/>
  <c r="AU192" i="2"/>
  <c r="AU191" i="2"/>
  <c r="AU190" i="2"/>
  <c r="AU189" i="2"/>
  <c r="AU188" i="2"/>
  <c r="AU187" i="2"/>
  <c r="AU186" i="2"/>
  <c r="AU185" i="2"/>
  <c r="AU184" i="2"/>
  <c r="AU183" i="2"/>
  <c r="AU182" i="2"/>
  <c r="AU181" i="2"/>
  <c r="AU180" i="2"/>
  <c r="AU179" i="2"/>
  <c r="AU178" i="2"/>
  <c r="AU177" i="2"/>
  <c r="AU176" i="2"/>
  <c r="AU175" i="2"/>
  <c r="AU174" i="2"/>
  <c r="AU173" i="2"/>
  <c r="AU172" i="2"/>
  <c r="AU171" i="2"/>
  <c r="AU170" i="2"/>
  <c r="AU169" i="2"/>
  <c r="AU168" i="2"/>
  <c r="AU167" i="2"/>
  <c r="AU166" i="2"/>
  <c r="AU165" i="2"/>
  <c r="AU164" i="2"/>
  <c r="AU163" i="2"/>
  <c r="AU162" i="2"/>
  <c r="AU161" i="2"/>
  <c r="AU160" i="2"/>
  <c r="AU159" i="2"/>
  <c r="AU158" i="2"/>
  <c r="AU157" i="2"/>
  <c r="AU156" i="2"/>
  <c r="AU155" i="2"/>
  <c r="AU154" i="2"/>
  <c r="AU153" i="2"/>
  <c r="AU152" i="2"/>
  <c r="AU151" i="2"/>
  <c r="AU150" i="2"/>
  <c r="AU149" i="2"/>
  <c r="AU148" i="2"/>
  <c r="AU147" i="2"/>
  <c r="AU146" i="2"/>
  <c r="AU145" i="2"/>
  <c r="AU144" i="2"/>
  <c r="AU143" i="2"/>
  <c r="AU142" i="2"/>
  <c r="AU141" i="2"/>
  <c r="AU140" i="2"/>
  <c r="AU139" i="2"/>
  <c r="AU138" i="2"/>
  <c r="AU137" i="2"/>
  <c r="AU136" i="2"/>
  <c r="AU135" i="2"/>
  <c r="AU134" i="2"/>
  <c r="AU133" i="2"/>
  <c r="AU132" i="2"/>
  <c r="AU131" i="2"/>
  <c r="AU130" i="2"/>
  <c r="AU129" i="2"/>
  <c r="AU128" i="2"/>
  <c r="AU127" i="2"/>
  <c r="AU126" i="2"/>
  <c r="AU125" i="2"/>
  <c r="AU124" i="2"/>
  <c r="AU123" i="2"/>
  <c r="AU122" i="2"/>
  <c r="AU121" i="2"/>
  <c r="AU120" i="2"/>
  <c r="AU119" i="2"/>
  <c r="AU118" i="2"/>
  <c r="AU117" i="2"/>
  <c r="AU116" i="2"/>
  <c r="AU115" i="2"/>
  <c r="AU114" i="2"/>
  <c r="AU113" i="2"/>
  <c r="AU112" i="2"/>
  <c r="AU111" i="2"/>
  <c r="AU110" i="2"/>
  <c r="AU109" i="2"/>
  <c r="AU108" i="2"/>
  <c r="AU107" i="2"/>
  <c r="AU106" i="2"/>
  <c r="AU105" i="2"/>
  <c r="AU104" i="2"/>
  <c r="AU103" i="2"/>
  <c r="AU102" i="2"/>
  <c r="AU101" i="2"/>
  <c r="AU100" i="2"/>
  <c r="AU99" i="2"/>
  <c r="AU98" i="2"/>
  <c r="AU97" i="2"/>
  <c r="AU96" i="2"/>
  <c r="AU95" i="2"/>
  <c r="AU94" i="2"/>
  <c r="AU93" i="2"/>
  <c r="AU92" i="2"/>
  <c r="AU91" i="2"/>
  <c r="AU90" i="2"/>
  <c r="AU89" i="2"/>
  <c r="AU88" i="2"/>
  <c r="AU87" i="2"/>
  <c r="AU86" i="2"/>
  <c r="AU85" i="2"/>
  <c r="AU84" i="2"/>
  <c r="AU83" i="2"/>
  <c r="AU82" i="2"/>
  <c r="AU81" i="2"/>
  <c r="AU80" i="2"/>
  <c r="AU79" i="2"/>
  <c r="AU78" i="2"/>
  <c r="AU77" i="2"/>
  <c r="AU76" i="2"/>
  <c r="AU75" i="2"/>
  <c r="AU74" i="2"/>
  <c r="AU73" i="2"/>
  <c r="AU72" i="2"/>
  <c r="AU71" i="2"/>
  <c r="AU70" i="2"/>
  <c r="AU69" i="2"/>
  <c r="AU68" i="2"/>
  <c r="AU67" i="2"/>
  <c r="AU66" i="2"/>
  <c r="AU65" i="2"/>
  <c r="AU64" i="2"/>
  <c r="AU63" i="2"/>
  <c r="AU62" i="2"/>
  <c r="AU61" i="2"/>
  <c r="AU60" i="2"/>
  <c r="AU59" i="2"/>
  <c r="AU58" i="2"/>
  <c r="AU57" i="2"/>
  <c r="AU56" i="2"/>
  <c r="AU55" i="2"/>
  <c r="AU54" i="2"/>
  <c r="AU53" i="2"/>
  <c r="AU52" i="2"/>
  <c r="AU51" i="2"/>
  <c r="AU50" i="2"/>
  <c r="AU49" i="2"/>
  <c r="AU48" i="2"/>
  <c r="AU47" i="2"/>
  <c r="AU46" i="2"/>
  <c r="AU45" i="2"/>
  <c r="AU44" i="2"/>
  <c r="AU43" i="2"/>
  <c r="AU42" i="2"/>
  <c r="AU41" i="2"/>
  <c r="AU40" i="2"/>
  <c r="AU39" i="2"/>
  <c r="AU38" i="2"/>
  <c r="AU37" i="2"/>
  <c r="AU36" i="2"/>
  <c r="AU35" i="2"/>
  <c r="AU34" i="2"/>
  <c r="AU33" i="2"/>
  <c r="AU32" i="2"/>
  <c r="AU31" i="2"/>
  <c r="AU30" i="2"/>
  <c r="AU29" i="2"/>
  <c r="AU28" i="2"/>
  <c r="AU27" i="2"/>
  <c r="AU26" i="2"/>
  <c r="AU25" i="2"/>
  <c r="AU24" i="2"/>
  <c r="AU23" i="2"/>
  <c r="AU22" i="2"/>
  <c r="AU21" i="2"/>
  <c r="AU20" i="2"/>
  <c r="AU19" i="2"/>
  <c r="AU18" i="2"/>
  <c r="AU17" i="2"/>
  <c r="AU16" i="2"/>
  <c r="AU15" i="2"/>
  <c r="AU14" i="2"/>
  <c r="AU13" i="2"/>
  <c r="AU12" i="2"/>
  <c r="AU11" i="2"/>
  <c r="AU10" i="2"/>
  <c r="AU9" i="2"/>
  <c r="AU8" i="2"/>
  <c r="AU7" i="2"/>
  <c r="AU6" i="2"/>
  <c r="AU5" i="2"/>
  <c r="AU4" i="2"/>
  <c r="AK325" i="2"/>
  <c r="AK324" i="2"/>
  <c r="AK323" i="2"/>
  <c r="AK322" i="2"/>
  <c r="AK321" i="2"/>
  <c r="AK320" i="2"/>
  <c r="AK319" i="2"/>
  <c r="AK318" i="2"/>
  <c r="AK317" i="2"/>
  <c r="AK316" i="2"/>
  <c r="AK315" i="2"/>
  <c r="AK314" i="2"/>
  <c r="AK313" i="2"/>
  <c r="AK312" i="2"/>
  <c r="AK311" i="2"/>
  <c r="AK310" i="2"/>
  <c r="AK309" i="2"/>
  <c r="AK308" i="2"/>
  <c r="AK307" i="2"/>
  <c r="AK306" i="2"/>
  <c r="AK305" i="2"/>
  <c r="AK304" i="2"/>
  <c r="AK303" i="2"/>
  <c r="AK302" i="2"/>
  <c r="AK301" i="2"/>
  <c r="AK300" i="2"/>
  <c r="AK299" i="2"/>
  <c r="AK298" i="2"/>
  <c r="AK297" i="2"/>
  <c r="AK296" i="2"/>
  <c r="AK295" i="2"/>
  <c r="AK294" i="2"/>
  <c r="AK293" i="2"/>
  <c r="AK292" i="2"/>
  <c r="AK291" i="2"/>
  <c r="AK290" i="2"/>
  <c r="AK289" i="2"/>
  <c r="AK288" i="2"/>
  <c r="AK287" i="2"/>
  <c r="AK286" i="2"/>
  <c r="AK285" i="2"/>
  <c r="AK284" i="2"/>
  <c r="AK283" i="2"/>
  <c r="AK282" i="2"/>
  <c r="AK281" i="2"/>
  <c r="AK280" i="2"/>
  <c r="AK279" i="2"/>
  <c r="AK278" i="2"/>
  <c r="AK277" i="2"/>
  <c r="AK276" i="2"/>
  <c r="AK275" i="2"/>
  <c r="AK274" i="2"/>
  <c r="AK273" i="2"/>
  <c r="AK272" i="2"/>
  <c r="AK271" i="2"/>
  <c r="AK270" i="2"/>
  <c r="AK269" i="2"/>
  <c r="AK268" i="2"/>
  <c r="AK267" i="2"/>
  <c r="AK266" i="2"/>
  <c r="AK265" i="2"/>
  <c r="AK264" i="2"/>
  <c r="AK263" i="2"/>
  <c r="AK262" i="2"/>
  <c r="AK261" i="2"/>
  <c r="AK260" i="2"/>
  <c r="AK259" i="2"/>
  <c r="AK258" i="2"/>
  <c r="AK257" i="2"/>
  <c r="AK256" i="2"/>
  <c r="AK255" i="2"/>
  <c r="AK254" i="2"/>
  <c r="AK253" i="2"/>
  <c r="AK252" i="2"/>
  <c r="AK251" i="2"/>
  <c r="AK250" i="2"/>
  <c r="AK249" i="2"/>
  <c r="AK248" i="2"/>
  <c r="AK247" i="2"/>
  <c r="AK246" i="2"/>
  <c r="AK245" i="2"/>
  <c r="AK244" i="2"/>
  <c r="AK243" i="2"/>
  <c r="AK242" i="2"/>
  <c r="AK241" i="2"/>
  <c r="AK240" i="2"/>
  <c r="AK239" i="2"/>
  <c r="AK238" i="2"/>
  <c r="AK237" i="2"/>
  <c r="AK236" i="2"/>
  <c r="AK235" i="2"/>
  <c r="AK234" i="2"/>
  <c r="AK233" i="2"/>
  <c r="AK232" i="2"/>
  <c r="AK231" i="2"/>
  <c r="AK230" i="2"/>
  <c r="AK229" i="2"/>
  <c r="AK228" i="2"/>
  <c r="AK227" i="2"/>
  <c r="AK226" i="2"/>
  <c r="AK225" i="2"/>
  <c r="AK224" i="2"/>
  <c r="AK223" i="2"/>
  <c r="AK222" i="2"/>
  <c r="AK221" i="2"/>
  <c r="AK220" i="2"/>
  <c r="AK219" i="2"/>
  <c r="AK218" i="2"/>
  <c r="AK217" i="2"/>
  <c r="AK216" i="2"/>
  <c r="AK215" i="2"/>
  <c r="AK214" i="2"/>
  <c r="AK213" i="2"/>
  <c r="AK212" i="2"/>
  <c r="AK211" i="2"/>
  <c r="AK210" i="2"/>
  <c r="AK209" i="2"/>
  <c r="AK208" i="2"/>
  <c r="AK207" i="2"/>
  <c r="AK206" i="2"/>
  <c r="AK205" i="2"/>
  <c r="AK204" i="2"/>
  <c r="AK203" i="2"/>
  <c r="AK202" i="2"/>
  <c r="AK201" i="2"/>
  <c r="AK200" i="2"/>
  <c r="AK199" i="2"/>
  <c r="AK198" i="2"/>
  <c r="AK197" i="2"/>
  <c r="AK196" i="2"/>
  <c r="AK195" i="2"/>
  <c r="AK194" i="2"/>
  <c r="AK193" i="2"/>
  <c r="AK192" i="2"/>
  <c r="AK191" i="2"/>
  <c r="AK190" i="2"/>
  <c r="AK189" i="2"/>
  <c r="AK188" i="2"/>
  <c r="AK187" i="2"/>
  <c r="AK186" i="2"/>
  <c r="AK185" i="2"/>
  <c r="AK184" i="2"/>
  <c r="AK183" i="2"/>
  <c r="AK182" i="2"/>
  <c r="AK181" i="2"/>
  <c r="AK180" i="2"/>
  <c r="AK179" i="2"/>
  <c r="AK178" i="2"/>
  <c r="AK177" i="2"/>
  <c r="AK176" i="2"/>
  <c r="AK175" i="2"/>
  <c r="AK174" i="2"/>
  <c r="AK173" i="2"/>
  <c r="AK172" i="2"/>
  <c r="AK171" i="2"/>
  <c r="AK170" i="2"/>
  <c r="AK169" i="2"/>
  <c r="AK168" i="2"/>
  <c r="AK167" i="2"/>
  <c r="AK166" i="2"/>
  <c r="AK165" i="2"/>
  <c r="AK164" i="2"/>
  <c r="AK163" i="2"/>
  <c r="AK162" i="2"/>
  <c r="AK161" i="2"/>
  <c r="AK160" i="2"/>
  <c r="AK159" i="2"/>
  <c r="AK158" i="2"/>
  <c r="AK157" i="2"/>
  <c r="AK156" i="2"/>
  <c r="AK155" i="2"/>
  <c r="AK154" i="2"/>
  <c r="AK153" i="2"/>
  <c r="AK152" i="2"/>
  <c r="AK151" i="2"/>
  <c r="AK150" i="2"/>
  <c r="AK149" i="2"/>
  <c r="AK148" i="2"/>
  <c r="AK147" i="2"/>
  <c r="AK146" i="2"/>
  <c r="AK145" i="2"/>
  <c r="AK144" i="2"/>
  <c r="AK143" i="2"/>
  <c r="AK142" i="2"/>
  <c r="AK141" i="2"/>
  <c r="AK140" i="2"/>
  <c r="AK139" i="2"/>
  <c r="AK138" i="2"/>
  <c r="AK137" i="2"/>
  <c r="AK136" i="2"/>
  <c r="AK135" i="2"/>
  <c r="AK134" i="2"/>
  <c r="AK133" i="2"/>
  <c r="AK132" i="2"/>
  <c r="AK131" i="2"/>
  <c r="AK130" i="2"/>
  <c r="AK129" i="2"/>
  <c r="AK128" i="2"/>
  <c r="AK127" i="2"/>
  <c r="AK126" i="2"/>
  <c r="AK125" i="2"/>
  <c r="AK124" i="2"/>
  <c r="AK123" i="2"/>
  <c r="AK122" i="2"/>
  <c r="AK121" i="2"/>
  <c r="AK120" i="2"/>
  <c r="AK119" i="2"/>
  <c r="AK118" i="2"/>
  <c r="AK117" i="2"/>
  <c r="AK116" i="2"/>
  <c r="AK115" i="2"/>
  <c r="AK114" i="2"/>
  <c r="AK113" i="2"/>
  <c r="AK112" i="2"/>
  <c r="AK111" i="2"/>
  <c r="AK110" i="2"/>
  <c r="AK109" i="2"/>
  <c r="AK108" i="2"/>
  <c r="AK107" i="2"/>
  <c r="AK106" i="2"/>
  <c r="AK105" i="2"/>
  <c r="AK104" i="2"/>
  <c r="AK103" i="2"/>
  <c r="AK102" i="2"/>
  <c r="AK101" i="2"/>
  <c r="AK100" i="2"/>
  <c r="AK99" i="2"/>
  <c r="AK98" i="2"/>
  <c r="AK97" i="2"/>
  <c r="AK96" i="2"/>
  <c r="AK95" i="2"/>
  <c r="AK94" i="2"/>
  <c r="AK93" i="2"/>
  <c r="AK92" i="2"/>
  <c r="AK91" i="2"/>
  <c r="AK90" i="2"/>
  <c r="AK89" i="2"/>
  <c r="AK88" i="2"/>
  <c r="AK87" i="2"/>
  <c r="AK86" i="2"/>
  <c r="AK85" i="2"/>
  <c r="AK84" i="2"/>
  <c r="AK83" i="2"/>
  <c r="AK82" i="2"/>
  <c r="AK81" i="2"/>
  <c r="AK80" i="2"/>
  <c r="AK79" i="2"/>
  <c r="AK78" i="2"/>
  <c r="AK77" i="2"/>
  <c r="AK76" i="2"/>
  <c r="AK75" i="2"/>
  <c r="AK74" i="2"/>
  <c r="AK73" i="2"/>
  <c r="AK72" i="2"/>
  <c r="AK71" i="2"/>
  <c r="AK70" i="2"/>
  <c r="AK69" i="2"/>
  <c r="AK68" i="2"/>
  <c r="AK67" i="2"/>
  <c r="AK66" i="2"/>
  <c r="AK65" i="2"/>
  <c r="AK64" i="2"/>
  <c r="AK63" i="2"/>
  <c r="AK62" i="2"/>
  <c r="AK61" i="2"/>
  <c r="AK60" i="2"/>
  <c r="AK59" i="2"/>
  <c r="AK58" i="2"/>
  <c r="AK57" i="2"/>
  <c r="AK56" i="2"/>
  <c r="AK55" i="2"/>
  <c r="AK54" i="2"/>
  <c r="AK53" i="2"/>
  <c r="AK52" i="2"/>
  <c r="AK51" i="2"/>
  <c r="AK50" i="2"/>
  <c r="AK49" i="2"/>
  <c r="AK48" i="2"/>
  <c r="AK47" i="2"/>
  <c r="AK46" i="2"/>
  <c r="AK45" i="2"/>
  <c r="AK44" i="2"/>
  <c r="AK43" i="2"/>
  <c r="AK42" i="2"/>
  <c r="AK41" i="2"/>
  <c r="AK40" i="2"/>
  <c r="AK39" i="2"/>
  <c r="AK38" i="2"/>
  <c r="AK37" i="2"/>
  <c r="AK36" i="2"/>
  <c r="AK35" i="2"/>
  <c r="AK34" i="2"/>
  <c r="AK33" i="2"/>
  <c r="AK32" i="2"/>
  <c r="AK31" i="2"/>
  <c r="AK30" i="2"/>
  <c r="AK29" i="2"/>
  <c r="AK28" i="2"/>
  <c r="AK27" i="2"/>
  <c r="AK26" i="2"/>
  <c r="AK25" i="2"/>
  <c r="AK24" i="2"/>
  <c r="AK23" i="2"/>
  <c r="AK22" i="2"/>
  <c r="AK21" i="2"/>
  <c r="AK20" i="2"/>
  <c r="AK19" i="2"/>
  <c r="AK18" i="2"/>
  <c r="AK17" i="2"/>
  <c r="AK16" i="2"/>
  <c r="AK15" i="2"/>
  <c r="AK14" i="2"/>
  <c r="AK13" i="2"/>
  <c r="AK12" i="2"/>
  <c r="AK11" i="2"/>
  <c r="AK10" i="2"/>
  <c r="AK9" i="2"/>
  <c r="AK8" i="2"/>
  <c r="AK7" i="2"/>
  <c r="AK6" i="2"/>
  <c r="AK5" i="2"/>
  <c r="AK4" i="2"/>
  <c r="AA325" i="2"/>
  <c r="AA324" i="2"/>
  <c r="AA323" i="2"/>
  <c r="AA322" i="2"/>
  <c r="AA321" i="2"/>
  <c r="AA320" i="2"/>
  <c r="AA319" i="2"/>
  <c r="AA318" i="2"/>
  <c r="AA317" i="2"/>
  <c r="AA316" i="2"/>
  <c r="AA315" i="2"/>
  <c r="AA314" i="2"/>
  <c r="AA313" i="2"/>
  <c r="AA312" i="2"/>
  <c r="AA311" i="2"/>
  <c r="AA310" i="2"/>
  <c r="AA309" i="2"/>
  <c r="AA308" i="2"/>
  <c r="AA307" i="2"/>
  <c r="AA306" i="2"/>
  <c r="AA305" i="2"/>
  <c r="AA304" i="2"/>
  <c r="AA303" i="2"/>
  <c r="AA302" i="2"/>
  <c r="AA301" i="2"/>
  <c r="AA300" i="2"/>
  <c r="AA299" i="2"/>
  <c r="AA298" i="2"/>
  <c r="AA297" i="2"/>
  <c r="AA296" i="2"/>
  <c r="AA295" i="2"/>
  <c r="AA294" i="2"/>
  <c r="AA293" i="2"/>
  <c r="AA292" i="2"/>
  <c r="AA291" i="2"/>
  <c r="AA290" i="2"/>
  <c r="AA289" i="2"/>
  <c r="AA288" i="2"/>
  <c r="AA287" i="2"/>
  <c r="AA286" i="2"/>
  <c r="AA285" i="2"/>
  <c r="AA284" i="2"/>
  <c r="AA283" i="2"/>
  <c r="AA282" i="2"/>
  <c r="AA281" i="2"/>
  <c r="AA280" i="2"/>
  <c r="AA279" i="2"/>
  <c r="AA278" i="2"/>
  <c r="AA277" i="2"/>
  <c r="AA276" i="2"/>
  <c r="AA275" i="2"/>
  <c r="AA274" i="2"/>
  <c r="AA273" i="2"/>
  <c r="AA272" i="2"/>
  <c r="AA271" i="2"/>
  <c r="AA270" i="2"/>
  <c r="AA269" i="2"/>
  <c r="AA268" i="2"/>
  <c r="AA267" i="2"/>
  <c r="AA266" i="2"/>
  <c r="AA265" i="2"/>
  <c r="AA264" i="2"/>
  <c r="AA263" i="2"/>
  <c r="AA262" i="2"/>
  <c r="AA261" i="2"/>
  <c r="AA260" i="2"/>
  <c r="AA259" i="2"/>
  <c r="AA258" i="2"/>
  <c r="AA257" i="2"/>
  <c r="AA256" i="2"/>
  <c r="AA255" i="2"/>
  <c r="AA254" i="2"/>
  <c r="AA253" i="2"/>
  <c r="AA252" i="2"/>
  <c r="AA251" i="2"/>
  <c r="AA250" i="2"/>
  <c r="AA249" i="2"/>
  <c r="AA248" i="2"/>
  <c r="AA247" i="2"/>
  <c r="AA246" i="2"/>
  <c r="AA245" i="2"/>
  <c r="AA244" i="2"/>
  <c r="AA243" i="2"/>
  <c r="AA242" i="2"/>
  <c r="AA241" i="2"/>
  <c r="AA240" i="2"/>
  <c r="AA239" i="2"/>
  <c r="AA238" i="2"/>
  <c r="AA237" i="2"/>
  <c r="AA236" i="2"/>
  <c r="AA235" i="2"/>
  <c r="AA234" i="2"/>
  <c r="AA233" i="2"/>
  <c r="AA232" i="2"/>
  <c r="AA231" i="2"/>
  <c r="AA230" i="2"/>
  <c r="AA229" i="2"/>
  <c r="AA228" i="2"/>
  <c r="AA227" i="2"/>
  <c r="AA226" i="2"/>
  <c r="AA225" i="2"/>
  <c r="AA224" i="2"/>
  <c r="AA223" i="2"/>
  <c r="AA222" i="2"/>
  <c r="AA221" i="2"/>
  <c r="AA220" i="2"/>
  <c r="AA219" i="2"/>
  <c r="AA218" i="2"/>
  <c r="AA217" i="2"/>
  <c r="AA216" i="2"/>
  <c r="AA215" i="2"/>
  <c r="AA214" i="2"/>
  <c r="AA213" i="2"/>
  <c r="AA212" i="2"/>
  <c r="AA211" i="2"/>
  <c r="AA210" i="2"/>
  <c r="AA209" i="2"/>
  <c r="AA208" i="2"/>
  <c r="AA207" i="2"/>
  <c r="AA206" i="2"/>
  <c r="AA205" i="2"/>
  <c r="AA204" i="2"/>
  <c r="AA203" i="2"/>
  <c r="AA202" i="2"/>
  <c r="AA201" i="2"/>
  <c r="AA200" i="2"/>
  <c r="AA199" i="2"/>
  <c r="AA198" i="2"/>
  <c r="AA197" i="2"/>
  <c r="AA196" i="2"/>
  <c r="AA195" i="2"/>
  <c r="AA194" i="2"/>
  <c r="AA193" i="2"/>
  <c r="AA192" i="2"/>
  <c r="AA191" i="2"/>
  <c r="AA190" i="2"/>
  <c r="AA189" i="2"/>
  <c r="AA188" i="2"/>
  <c r="AA187" i="2"/>
  <c r="AA186" i="2"/>
  <c r="AA185" i="2"/>
  <c r="AA184" i="2"/>
  <c r="AA183" i="2"/>
  <c r="AA182" i="2"/>
  <c r="AA181" i="2"/>
  <c r="AA180" i="2"/>
  <c r="AA179" i="2"/>
  <c r="AA178" i="2"/>
  <c r="AA177" i="2"/>
  <c r="AA176" i="2"/>
  <c r="AA175" i="2"/>
  <c r="AA174" i="2"/>
  <c r="AA173" i="2"/>
  <c r="AA172" i="2"/>
  <c r="AA171" i="2"/>
  <c r="AA170" i="2"/>
  <c r="AA169" i="2"/>
  <c r="AA168" i="2"/>
  <c r="AA167" i="2"/>
  <c r="AA166" i="2"/>
  <c r="AA165" i="2"/>
  <c r="AA164" i="2"/>
  <c r="AA163" i="2"/>
  <c r="AA162" i="2"/>
  <c r="AA161" i="2"/>
  <c r="AA160" i="2"/>
  <c r="AA159" i="2"/>
  <c r="AA158" i="2"/>
  <c r="AA157" i="2"/>
  <c r="AA156" i="2"/>
  <c r="AA155" i="2"/>
  <c r="AA154" i="2"/>
  <c r="AA153" i="2"/>
  <c r="AA152" i="2"/>
  <c r="AA151" i="2"/>
  <c r="AA150" i="2"/>
  <c r="AA149" i="2"/>
  <c r="AA148" i="2"/>
  <c r="AA147" i="2"/>
  <c r="AA146" i="2"/>
  <c r="AA145" i="2"/>
  <c r="AA144" i="2"/>
  <c r="AA143" i="2"/>
  <c r="AA142" i="2"/>
  <c r="AA141" i="2"/>
  <c r="AA140" i="2"/>
  <c r="AA139" i="2"/>
  <c r="AA138" i="2"/>
  <c r="AA137" i="2"/>
  <c r="AA136" i="2"/>
  <c r="AA135" i="2"/>
  <c r="AA134" i="2"/>
  <c r="AA133" i="2"/>
  <c r="AA132" i="2"/>
  <c r="AA131" i="2"/>
  <c r="AA130" i="2"/>
  <c r="AA129" i="2"/>
  <c r="AA128" i="2"/>
  <c r="AA127" i="2"/>
  <c r="AA126" i="2"/>
  <c r="AA125" i="2"/>
  <c r="AA124" i="2"/>
  <c r="AA123" i="2"/>
  <c r="AA122" i="2"/>
  <c r="AA121" i="2"/>
  <c r="AA120" i="2"/>
  <c r="AA119" i="2"/>
  <c r="AA118" i="2"/>
  <c r="AA117" i="2"/>
  <c r="AA116" i="2"/>
  <c r="AA115" i="2"/>
  <c r="AA114" i="2"/>
  <c r="AA113" i="2"/>
  <c r="AA112" i="2"/>
  <c r="AA111" i="2"/>
  <c r="AA110" i="2"/>
  <c r="AA109" i="2"/>
  <c r="AA108" i="2"/>
  <c r="AA107" i="2"/>
  <c r="AA106" i="2"/>
  <c r="AA105" i="2"/>
  <c r="AA104" i="2"/>
  <c r="AA103" i="2"/>
  <c r="AA102" i="2"/>
  <c r="AA101" i="2"/>
  <c r="AA100" i="2"/>
  <c r="AA99" i="2"/>
  <c r="AA98" i="2"/>
  <c r="AA97" i="2"/>
  <c r="AA96" i="2"/>
  <c r="AA95" i="2"/>
  <c r="AA94" i="2"/>
  <c r="AA93" i="2"/>
  <c r="AA92" i="2"/>
  <c r="AA91" i="2"/>
  <c r="AA90" i="2"/>
  <c r="AA89" i="2"/>
  <c r="AA88" i="2"/>
  <c r="AA87" i="2"/>
  <c r="AA86" i="2"/>
  <c r="AA85" i="2"/>
  <c r="AA84" i="2"/>
  <c r="AA83" i="2"/>
  <c r="AA82" i="2"/>
  <c r="AA81" i="2"/>
  <c r="AA80" i="2"/>
  <c r="AA79" i="2"/>
  <c r="AA78" i="2"/>
  <c r="AA77" i="2"/>
  <c r="AA76" i="2"/>
  <c r="AA75" i="2"/>
  <c r="AA74" i="2"/>
  <c r="AA73" i="2"/>
  <c r="AA72" i="2"/>
  <c r="AA71" i="2"/>
  <c r="AA70" i="2"/>
  <c r="AA69" i="2"/>
  <c r="AA68" i="2"/>
  <c r="AA67" i="2"/>
  <c r="AA66" i="2"/>
  <c r="AA65" i="2"/>
  <c r="AA64" i="2"/>
  <c r="AA63" i="2"/>
  <c r="AA62" i="2"/>
  <c r="AA61" i="2"/>
  <c r="AA60" i="2"/>
  <c r="AA59" i="2"/>
  <c r="AA58" i="2"/>
  <c r="AA57" i="2"/>
  <c r="AA56" i="2"/>
  <c r="AA55" i="2"/>
  <c r="AA54" i="2"/>
  <c r="AA53" i="2"/>
  <c r="AA52" i="2"/>
  <c r="AA51" i="2"/>
  <c r="AA50" i="2"/>
  <c r="AA49" i="2"/>
  <c r="AA48" i="2"/>
  <c r="AA47" i="2"/>
  <c r="AA46" i="2"/>
  <c r="AA45" i="2"/>
  <c r="AA44" i="2"/>
  <c r="AA43" i="2"/>
  <c r="AA42" i="2"/>
  <c r="AA41" i="2"/>
  <c r="AA40" i="2"/>
  <c r="AA39" i="2"/>
  <c r="AA38" i="2"/>
  <c r="AA37" i="2"/>
  <c r="AA36" i="2"/>
  <c r="AA35" i="2"/>
  <c r="AA34" i="2"/>
  <c r="AA33" i="2"/>
  <c r="AA32" i="2"/>
  <c r="AA31" i="2"/>
  <c r="AA30" i="2"/>
  <c r="AA29" i="2"/>
  <c r="AA28" i="2"/>
  <c r="AA27" i="2"/>
  <c r="AA26" i="2"/>
  <c r="AA25" i="2"/>
  <c r="AA24" i="2"/>
  <c r="AA23" i="2"/>
  <c r="AA22" i="2"/>
  <c r="AA21" i="2"/>
  <c r="AA20" i="2"/>
  <c r="AA19" i="2"/>
  <c r="AA18" i="2"/>
  <c r="AA17" i="2"/>
  <c r="AA16" i="2"/>
  <c r="AA15" i="2"/>
  <c r="AA14" i="2"/>
  <c r="AA13" i="2"/>
  <c r="AA12" i="2"/>
  <c r="AA11" i="2"/>
  <c r="AA10" i="2"/>
  <c r="AA9" i="2"/>
  <c r="AA8" i="2"/>
  <c r="AA7" i="2"/>
  <c r="AA6" i="2"/>
  <c r="AA5" i="2"/>
  <c r="AA4" i="2"/>
  <c r="Q325" i="2"/>
  <c r="Q324" i="2"/>
  <c r="Q323" i="2"/>
  <c r="Q322" i="2"/>
  <c r="Q321" i="2"/>
  <c r="Q320" i="2"/>
  <c r="Q319" i="2"/>
  <c r="Q318" i="2"/>
  <c r="Q317" i="2"/>
  <c r="Q316" i="2"/>
  <c r="Q315" i="2"/>
  <c r="Q314" i="2"/>
  <c r="Q313" i="2"/>
  <c r="Q312" i="2"/>
  <c r="Q311" i="2"/>
  <c r="Q310" i="2"/>
  <c r="Q309" i="2"/>
  <c r="Q308" i="2"/>
  <c r="Q307" i="2"/>
  <c r="Q306" i="2"/>
  <c r="Q305" i="2"/>
  <c r="Q304" i="2"/>
  <c r="Q303" i="2"/>
  <c r="Q302" i="2"/>
  <c r="Q301" i="2"/>
  <c r="Q300" i="2"/>
  <c r="Q299" i="2"/>
  <c r="Q298" i="2"/>
  <c r="Q297" i="2"/>
  <c r="Q296" i="2"/>
  <c r="Q295" i="2"/>
  <c r="Q294" i="2"/>
  <c r="Q293" i="2"/>
  <c r="Q292" i="2"/>
  <c r="Q291" i="2"/>
  <c r="Q290" i="2"/>
  <c r="Q289" i="2"/>
  <c r="Q288" i="2"/>
  <c r="Q287" i="2"/>
  <c r="Q286" i="2"/>
  <c r="Q285" i="2"/>
  <c r="Q284" i="2"/>
  <c r="Q283" i="2"/>
  <c r="Q282" i="2"/>
  <c r="Q281" i="2"/>
  <c r="Q280" i="2"/>
  <c r="Q279" i="2"/>
  <c r="Q278" i="2"/>
  <c r="Q277" i="2"/>
  <c r="Q276" i="2"/>
  <c r="Q275" i="2"/>
  <c r="Q274" i="2"/>
  <c r="Q273" i="2"/>
  <c r="Q272" i="2"/>
  <c r="Q271" i="2"/>
  <c r="Q270" i="2"/>
  <c r="Q269" i="2"/>
  <c r="Q268" i="2"/>
  <c r="Q267" i="2"/>
  <c r="Q266" i="2"/>
  <c r="Q265" i="2"/>
  <c r="Q264" i="2"/>
  <c r="Q263" i="2"/>
  <c r="Q262" i="2"/>
  <c r="Q261" i="2"/>
  <c r="Q260" i="2"/>
  <c r="Q259" i="2"/>
  <c r="Q258" i="2"/>
  <c r="Q257" i="2"/>
  <c r="Q256" i="2"/>
  <c r="Q255" i="2"/>
  <c r="Q254" i="2"/>
  <c r="Q253" i="2"/>
  <c r="Q252" i="2"/>
  <c r="Q251" i="2"/>
  <c r="Q250" i="2"/>
  <c r="Q249" i="2"/>
  <c r="Q248" i="2"/>
  <c r="Q247" i="2"/>
  <c r="Q246" i="2"/>
  <c r="Q245" i="2"/>
  <c r="Q244" i="2"/>
  <c r="Q243" i="2"/>
  <c r="Q242" i="2"/>
  <c r="Q241" i="2"/>
  <c r="Q240" i="2"/>
  <c r="Q239" i="2"/>
  <c r="Q238" i="2"/>
  <c r="Q237" i="2"/>
  <c r="Q236" i="2"/>
  <c r="Q235" i="2"/>
  <c r="Q234" i="2"/>
  <c r="Q233" i="2"/>
  <c r="Q232" i="2"/>
  <c r="Q231" i="2"/>
  <c r="Q230" i="2"/>
  <c r="Q229" i="2"/>
  <c r="Q228" i="2"/>
  <c r="Q227" i="2"/>
  <c r="Q226" i="2"/>
  <c r="Q225" i="2"/>
  <c r="Q224" i="2"/>
  <c r="Q223" i="2"/>
  <c r="Q222" i="2"/>
  <c r="Q221" i="2"/>
  <c r="Q220" i="2"/>
  <c r="Q219" i="2"/>
  <c r="Q218" i="2"/>
  <c r="Q217" i="2"/>
  <c r="Q216" i="2"/>
  <c r="Q215" i="2"/>
  <c r="Q214" i="2"/>
  <c r="Q213" i="2"/>
  <c r="Q212" i="2"/>
  <c r="Q211" i="2"/>
  <c r="Q210" i="2"/>
  <c r="Q209" i="2"/>
  <c r="Q208" i="2"/>
  <c r="Q207" i="2"/>
  <c r="Q206" i="2"/>
  <c r="Q205" i="2"/>
  <c r="Q204" i="2"/>
  <c r="Q203" i="2"/>
  <c r="Q202" i="2"/>
  <c r="Q201" i="2"/>
  <c r="Q200" i="2"/>
  <c r="Q199" i="2"/>
  <c r="Q198" i="2"/>
  <c r="Q197" i="2"/>
  <c r="Q196" i="2"/>
  <c r="Q195" i="2"/>
  <c r="Q194" i="2"/>
  <c r="Q193" i="2"/>
  <c r="Q192" i="2"/>
  <c r="Q191" i="2"/>
  <c r="Q190" i="2"/>
  <c r="Q189" i="2"/>
  <c r="Q188" i="2"/>
  <c r="Q187" i="2"/>
  <c r="Q186" i="2"/>
  <c r="Q185" i="2"/>
  <c r="Q184" i="2"/>
  <c r="Q183" i="2"/>
  <c r="Q182" i="2"/>
  <c r="Q181" i="2"/>
  <c r="Q180" i="2"/>
  <c r="Q179" i="2"/>
  <c r="Q178" i="2"/>
  <c r="Q177" i="2"/>
  <c r="Q176" i="2"/>
  <c r="Q175" i="2"/>
  <c r="Q174" i="2"/>
  <c r="Q173" i="2"/>
  <c r="Q172" i="2"/>
  <c r="Q171" i="2"/>
  <c r="Q170" i="2"/>
  <c r="Q169" i="2"/>
  <c r="Q168" i="2"/>
  <c r="Q167" i="2"/>
  <c r="Q166" i="2"/>
  <c r="Q165" i="2"/>
  <c r="Q164" i="2"/>
  <c r="Q163" i="2"/>
  <c r="Q162" i="2"/>
  <c r="Q161" i="2"/>
  <c r="Q160" i="2"/>
  <c r="Q159" i="2"/>
  <c r="Q158" i="2"/>
  <c r="Q157" i="2"/>
  <c r="Q156" i="2"/>
  <c r="Q155" i="2"/>
  <c r="Q154" i="2"/>
  <c r="Q153" i="2"/>
  <c r="Q152" i="2"/>
  <c r="Q151" i="2"/>
  <c r="Q150" i="2"/>
  <c r="Q149" i="2"/>
  <c r="Q148" i="2"/>
  <c r="Q147" i="2"/>
  <c r="Q146" i="2"/>
  <c r="Q145" i="2"/>
  <c r="Q144" i="2"/>
  <c r="Q143" i="2"/>
  <c r="Q142" i="2"/>
  <c r="Q141" i="2"/>
  <c r="Q140" i="2"/>
  <c r="Q139" i="2"/>
  <c r="Q138" i="2"/>
  <c r="Q137" i="2"/>
  <c r="Q136" i="2"/>
  <c r="Q135" i="2"/>
  <c r="Q134" i="2"/>
  <c r="Q133" i="2"/>
  <c r="Q132" i="2"/>
  <c r="Q131" i="2"/>
  <c r="Q130" i="2"/>
  <c r="Q129" i="2"/>
  <c r="Q128" i="2"/>
  <c r="Q127" i="2"/>
  <c r="Q126" i="2"/>
  <c r="Q125" i="2"/>
  <c r="Q124" i="2"/>
  <c r="Q123" i="2"/>
  <c r="Q122" i="2"/>
  <c r="Q121" i="2"/>
  <c r="Q120" i="2"/>
  <c r="Q119" i="2"/>
  <c r="Q118" i="2"/>
  <c r="Q117" i="2"/>
  <c r="Q116" i="2"/>
  <c r="Q115" i="2"/>
  <c r="Q114" i="2"/>
  <c r="Q113" i="2"/>
  <c r="Q112" i="2"/>
  <c r="Q111" i="2"/>
  <c r="Q110" i="2"/>
  <c r="Q109" i="2"/>
  <c r="Q108" i="2"/>
  <c r="Q107" i="2"/>
  <c r="Q106" i="2"/>
  <c r="Q105" i="2"/>
  <c r="Q104" i="2"/>
  <c r="Q103" i="2"/>
  <c r="Q102" i="2"/>
  <c r="Q101" i="2"/>
  <c r="Q100" i="2"/>
  <c r="Q99" i="2"/>
  <c r="Q98" i="2"/>
  <c r="Q97" i="2"/>
  <c r="Q96" i="2"/>
  <c r="Q95" i="2"/>
  <c r="Q94" i="2"/>
  <c r="Q93" i="2"/>
  <c r="Q92" i="2"/>
  <c r="Q91" i="2"/>
  <c r="Q90" i="2"/>
  <c r="Q89" i="2"/>
  <c r="Q88" i="2"/>
  <c r="Q87" i="2"/>
  <c r="Q86" i="2"/>
  <c r="Q85" i="2"/>
  <c r="Q84" i="2"/>
  <c r="Q83" i="2"/>
  <c r="Q82" i="2"/>
  <c r="Q81" i="2"/>
  <c r="Q80" i="2"/>
  <c r="Q79" i="2"/>
  <c r="Q78" i="2"/>
  <c r="Q77" i="2"/>
  <c r="Q76" i="2"/>
  <c r="Q75" i="2"/>
  <c r="Q74" i="2"/>
  <c r="Q73" i="2"/>
  <c r="Q72" i="2"/>
  <c r="Q71" i="2"/>
  <c r="Q70" i="2"/>
  <c r="Q69" i="2"/>
  <c r="Q68" i="2"/>
  <c r="Q67" i="2"/>
  <c r="Q66" i="2"/>
  <c r="Q65" i="2"/>
  <c r="Q64" i="2"/>
  <c r="Q63" i="2"/>
  <c r="Q62" i="2"/>
  <c r="Q61" i="2"/>
  <c r="Q60" i="2"/>
  <c r="Q59" i="2"/>
  <c r="Q58" i="2"/>
  <c r="Q57" i="2"/>
  <c r="Q56" i="2"/>
  <c r="Q55" i="2"/>
  <c r="Q54" i="2"/>
  <c r="Q53" i="2"/>
  <c r="Q52" i="2"/>
  <c r="Q51" i="2"/>
  <c r="Q50" i="2"/>
  <c r="Q49" i="2"/>
  <c r="Q48" i="2"/>
  <c r="Q47" i="2"/>
  <c r="Q46" i="2"/>
  <c r="Q45" i="2"/>
  <c r="Q44" i="2"/>
  <c r="Q43" i="2"/>
  <c r="Q42" i="2"/>
  <c r="Q41" i="2"/>
  <c r="Q40" i="2"/>
  <c r="Q39" i="2"/>
  <c r="Q38" i="2"/>
  <c r="Q37" i="2"/>
  <c r="Q36" i="2"/>
  <c r="Q35" i="2"/>
  <c r="Q34" i="2"/>
  <c r="Q33" i="2"/>
  <c r="Q32" i="2"/>
  <c r="Q31" i="2"/>
  <c r="Q30" i="2"/>
  <c r="Q29" i="2"/>
  <c r="Q28" i="2"/>
  <c r="Q27" i="2"/>
  <c r="Q26" i="2"/>
  <c r="Q25" i="2"/>
  <c r="Q24" i="2"/>
  <c r="Q23" i="2"/>
  <c r="Q22" i="2"/>
  <c r="Q21" i="2"/>
  <c r="Q20" i="2"/>
  <c r="Q19" i="2"/>
  <c r="Q18" i="2"/>
  <c r="Q17" i="2"/>
  <c r="Q16" i="2"/>
  <c r="Q15" i="2"/>
  <c r="Q14" i="2"/>
  <c r="Q13" i="2"/>
  <c r="Q12" i="2"/>
  <c r="Q11" i="2"/>
  <c r="Q10" i="2"/>
  <c r="Q9" i="2"/>
  <c r="Q8" i="2"/>
  <c r="Q7" i="2"/>
  <c r="Q6" i="2"/>
  <c r="Q5" i="2"/>
  <c r="Q4" i="2"/>
  <c r="AS325" i="2"/>
  <c r="AS324" i="2"/>
  <c r="AS323" i="2"/>
  <c r="AS322" i="2"/>
  <c r="AS321" i="2"/>
  <c r="AS320" i="2"/>
  <c r="AS319" i="2"/>
  <c r="AS318" i="2"/>
  <c r="AS317" i="2"/>
  <c r="AS316" i="2"/>
  <c r="AS315" i="2"/>
  <c r="AS314" i="2"/>
  <c r="AS313" i="2"/>
  <c r="AS312" i="2"/>
  <c r="AS311" i="2"/>
  <c r="AS310" i="2"/>
  <c r="AS309" i="2"/>
  <c r="AS308" i="2"/>
  <c r="AS307" i="2"/>
  <c r="AS306" i="2"/>
  <c r="AS305" i="2"/>
  <c r="AS304" i="2"/>
  <c r="AS303" i="2"/>
  <c r="AS302" i="2"/>
  <c r="AS301" i="2"/>
  <c r="AS300" i="2"/>
  <c r="AS299" i="2"/>
  <c r="AS298" i="2"/>
  <c r="AS297" i="2"/>
  <c r="AS296" i="2"/>
  <c r="AS295" i="2"/>
  <c r="AS294" i="2"/>
  <c r="AS293" i="2"/>
  <c r="AS292" i="2"/>
  <c r="AS291" i="2"/>
  <c r="AS290" i="2"/>
  <c r="AS289" i="2"/>
  <c r="AS288" i="2"/>
  <c r="AS287" i="2"/>
  <c r="AS286" i="2"/>
  <c r="AS285" i="2"/>
  <c r="AS284" i="2"/>
  <c r="AS283" i="2"/>
  <c r="AS282" i="2"/>
  <c r="AS281" i="2"/>
  <c r="AS280" i="2"/>
  <c r="AS279" i="2"/>
  <c r="AS278" i="2"/>
  <c r="AS277" i="2"/>
  <c r="AS276" i="2"/>
  <c r="AS275" i="2"/>
  <c r="AS274" i="2"/>
  <c r="AS273" i="2"/>
  <c r="AS272" i="2"/>
  <c r="AS271" i="2"/>
  <c r="AS270" i="2"/>
  <c r="AS269" i="2"/>
  <c r="AS268" i="2"/>
  <c r="AS267" i="2"/>
  <c r="AS266" i="2"/>
  <c r="AS265" i="2"/>
  <c r="AS264" i="2"/>
  <c r="AS263" i="2"/>
  <c r="AS262" i="2"/>
  <c r="AS261" i="2"/>
  <c r="AS260" i="2"/>
  <c r="AS259" i="2"/>
  <c r="AS258" i="2"/>
  <c r="AS257" i="2"/>
  <c r="AS256" i="2"/>
  <c r="AS255" i="2"/>
  <c r="AS254" i="2"/>
  <c r="AS253" i="2"/>
  <c r="AS252" i="2"/>
  <c r="AS251" i="2"/>
  <c r="AS250" i="2"/>
  <c r="AS249" i="2"/>
  <c r="AS248" i="2"/>
  <c r="AS247" i="2"/>
  <c r="AS246" i="2"/>
  <c r="AS245" i="2"/>
  <c r="AS244" i="2"/>
  <c r="AS243" i="2"/>
  <c r="AS242" i="2"/>
  <c r="AS241" i="2"/>
  <c r="AS240" i="2"/>
  <c r="AS239" i="2"/>
  <c r="AS238" i="2"/>
  <c r="AS237" i="2"/>
  <c r="AS236" i="2"/>
  <c r="AS235" i="2"/>
  <c r="AS234" i="2"/>
  <c r="AS233" i="2"/>
  <c r="AS232" i="2"/>
  <c r="AS231" i="2"/>
  <c r="AS230" i="2"/>
  <c r="AS229" i="2"/>
  <c r="AS228" i="2"/>
  <c r="AS227" i="2"/>
  <c r="AS226" i="2"/>
  <c r="AS225" i="2"/>
  <c r="AS224" i="2"/>
  <c r="AS223" i="2"/>
  <c r="AS222" i="2"/>
  <c r="AS221" i="2"/>
  <c r="AS220" i="2"/>
  <c r="AS219" i="2"/>
  <c r="AS218" i="2"/>
  <c r="AS217" i="2"/>
  <c r="AS216" i="2"/>
  <c r="AS215" i="2"/>
  <c r="AS214" i="2"/>
  <c r="AS213" i="2"/>
  <c r="AS212" i="2"/>
  <c r="AS211" i="2"/>
  <c r="AS210" i="2"/>
  <c r="AS209" i="2"/>
  <c r="AS208" i="2"/>
  <c r="AS207" i="2"/>
  <c r="AS206" i="2"/>
  <c r="AS205" i="2"/>
  <c r="AS204" i="2"/>
  <c r="AS203" i="2"/>
  <c r="AS202" i="2"/>
  <c r="AS201" i="2"/>
  <c r="AS200" i="2"/>
  <c r="AS199" i="2"/>
  <c r="AS198" i="2"/>
  <c r="AS197" i="2"/>
  <c r="AS196" i="2"/>
  <c r="AS195" i="2"/>
  <c r="AS194" i="2"/>
  <c r="AS193" i="2"/>
  <c r="AS192" i="2"/>
  <c r="AS191" i="2"/>
  <c r="AS190" i="2"/>
  <c r="AS189" i="2"/>
  <c r="AS188" i="2"/>
  <c r="AS187" i="2"/>
  <c r="AS186" i="2"/>
  <c r="AS185" i="2"/>
  <c r="AS184" i="2"/>
  <c r="AS183" i="2"/>
  <c r="AS182" i="2"/>
  <c r="AS181" i="2"/>
  <c r="AS180" i="2"/>
  <c r="AS179" i="2"/>
  <c r="AS178" i="2"/>
  <c r="AS177" i="2"/>
  <c r="AS176" i="2"/>
  <c r="AS175" i="2"/>
  <c r="AS174" i="2"/>
  <c r="AS173" i="2"/>
  <c r="AS172" i="2"/>
  <c r="AS171" i="2"/>
  <c r="AS170" i="2"/>
  <c r="AS169" i="2"/>
  <c r="AS168" i="2"/>
  <c r="AS167" i="2"/>
  <c r="AS166" i="2"/>
  <c r="AS165" i="2"/>
  <c r="AS164" i="2"/>
  <c r="AS163" i="2"/>
  <c r="AS162" i="2"/>
  <c r="AS161" i="2"/>
  <c r="AS160" i="2"/>
  <c r="AS159" i="2"/>
  <c r="AS158" i="2"/>
  <c r="AS157" i="2"/>
  <c r="AS156" i="2"/>
  <c r="AS155" i="2"/>
  <c r="AS154" i="2"/>
  <c r="AS153" i="2"/>
  <c r="AS152" i="2"/>
  <c r="AS151" i="2"/>
  <c r="AS150" i="2"/>
  <c r="AS149" i="2"/>
  <c r="AS148" i="2"/>
  <c r="AS147" i="2"/>
  <c r="AS146" i="2"/>
  <c r="AS145" i="2"/>
  <c r="AS144" i="2"/>
  <c r="AS143" i="2"/>
  <c r="AS142" i="2"/>
  <c r="AS141" i="2"/>
  <c r="AS140" i="2"/>
  <c r="AS139" i="2"/>
  <c r="AS138" i="2"/>
  <c r="AS137" i="2"/>
  <c r="AS136" i="2"/>
  <c r="AS135" i="2"/>
  <c r="AS134" i="2"/>
  <c r="AS133" i="2"/>
  <c r="AS132" i="2"/>
  <c r="AS131" i="2"/>
  <c r="AS130" i="2"/>
  <c r="AS129" i="2"/>
  <c r="AS128" i="2"/>
  <c r="AS127" i="2"/>
  <c r="AS126" i="2"/>
  <c r="AS125" i="2"/>
  <c r="AS124" i="2"/>
  <c r="AS123" i="2"/>
  <c r="AS122" i="2"/>
  <c r="AS121" i="2"/>
  <c r="AS120" i="2"/>
  <c r="AS119" i="2"/>
  <c r="AS118" i="2"/>
  <c r="AS117" i="2"/>
  <c r="AS116" i="2"/>
  <c r="AS115" i="2"/>
  <c r="AS114" i="2"/>
  <c r="AS113" i="2"/>
  <c r="AS112" i="2"/>
  <c r="AS111" i="2"/>
  <c r="AS110" i="2"/>
  <c r="AS109" i="2"/>
  <c r="AS108" i="2"/>
  <c r="AS107" i="2"/>
  <c r="AS106" i="2"/>
  <c r="AS105" i="2"/>
  <c r="AS104" i="2"/>
  <c r="AS103" i="2"/>
  <c r="AS102" i="2"/>
  <c r="AS101" i="2"/>
  <c r="AS100" i="2"/>
  <c r="AS99" i="2"/>
  <c r="AS98" i="2"/>
  <c r="AS97" i="2"/>
  <c r="AS96" i="2"/>
  <c r="AS95" i="2"/>
  <c r="AS94" i="2"/>
  <c r="AS93" i="2"/>
  <c r="AS92" i="2"/>
  <c r="AS91" i="2"/>
  <c r="AS90" i="2"/>
  <c r="AS89" i="2"/>
  <c r="AS88" i="2"/>
  <c r="AS87" i="2"/>
  <c r="AS86" i="2"/>
  <c r="AS85" i="2"/>
  <c r="AS84" i="2"/>
  <c r="AS83" i="2"/>
  <c r="AS82" i="2"/>
  <c r="AS81" i="2"/>
  <c r="AS80" i="2"/>
  <c r="AS79" i="2"/>
  <c r="AS78" i="2"/>
  <c r="AS77" i="2"/>
  <c r="AS76" i="2"/>
  <c r="AS75" i="2"/>
  <c r="AS74" i="2"/>
  <c r="AS73" i="2"/>
  <c r="AS72" i="2"/>
  <c r="AS71" i="2"/>
  <c r="AS70" i="2"/>
  <c r="AS69" i="2"/>
  <c r="AS68" i="2"/>
  <c r="AS67" i="2"/>
  <c r="AS66" i="2"/>
  <c r="AS65" i="2"/>
  <c r="AS64" i="2"/>
  <c r="AS63" i="2"/>
  <c r="AS62" i="2"/>
  <c r="AS61" i="2"/>
  <c r="AS60" i="2"/>
  <c r="AS59" i="2"/>
  <c r="AS58" i="2"/>
  <c r="AS57" i="2"/>
  <c r="AS56" i="2"/>
  <c r="AS55" i="2"/>
  <c r="AS54" i="2"/>
  <c r="AS53" i="2"/>
  <c r="AS52" i="2"/>
  <c r="AS51" i="2"/>
  <c r="AS50" i="2"/>
  <c r="AS49" i="2"/>
  <c r="AS48" i="2"/>
  <c r="AS47" i="2"/>
  <c r="AS46" i="2"/>
  <c r="AS45" i="2"/>
  <c r="AS44" i="2"/>
  <c r="AS43" i="2"/>
  <c r="AS42" i="2"/>
  <c r="AS41" i="2"/>
  <c r="AS40" i="2"/>
  <c r="AS39" i="2"/>
  <c r="AS38" i="2"/>
  <c r="AS37" i="2"/>
  <c r="AS36" i="2"/>
  <c r="AS35" i="2"/>
  <c r="AS34" i="2"/>
  <c r="AS33" i="2"/>
  <c r="AS32" i="2"/>
  <c r="AS31" i="2"/>
  <c r="AS30" i="2"/>
  <c r="AS29" i="2"/>
  <c r="AS28" i="2"/>
  <c r="AS27" i="2"/>
  <c r="AS26" i="2"/>
  <c r="AS25" i="2"/>
  <c r="AS24" i="2"/>
  <c r="AS23" i="2"/>
  <c r="AS22" i="2"/>
  <c r="AS21" i="2"/>
  <c r="AS20" i="2"/>
  <c r="AS19" i="2"/>
  <c r="AS18" i="2"/>
  <c r="AS17" i="2"/>
  <c r="AS16" i="2"/>
  <c r="AS15" i="2"/>
  <c r="AS14" i="2"/>
  <c r="AS13" i="2"/>
  <c r="AS12" i="2"/>
  <c r="AS11" i="2"/>
  <c r="AS10" i="2"/>
  <c r="AS9" i="2"/>
  <c r="AS8" i="2"/>
  <c r="AS7" i="2"/>
  <c r="AS6" i="2"/>
  <c r="AS5" i="2"/>
  <c r="AS4" i="2"/>
  <c r="AI325" i="2"/>
  <c r="AI324" i="2"/>
  <c r="AI323" i="2"/>
  <c r="AI322" i="2"/>
  <c r="AI321" i="2"/>
  <c r="AI320" i="2"/>
  <c r="AI319" i="2"/>
  <c r="AI318" i="2"/>
  <c r="AI317" i="2"/>
  <c r="AI316" i="2"/>
  <c r="AI315" i="2"/>
  <c r="AI314" i="2"/>
  <c r="AI313" i="2"/>
  <c r="AI312" i="2"/>
  <c r="AI311" i="2"/>
  <c r="AI310" i="2"/>
  <c r="AI309" i="2"/>
  <c r="AI308" i="2"/>
  <c r="AI307" i="2"/>
  <c r="AI306" i="2"/>
  <c r="AI305" i="2"/>
  <c r="AI304" i="2"/>
  <c r="AI303" i="2"/>
  <c r="AI302" i="2"/>
  <c r="AI301" i="2"/>
  <c r="AI300" i="2"/>
  <c r="AI299" i="2"/>
  <c r="AI298" i="2"/>
  <c r="AI297" i="2"/>
  <c r="AI296" i="2"/>
  <c r="AI295" i="2"/>
  <c r="AI294" i="2"/>
  <c r="AI293" i="2"/>
  <c r="AI292" i="2"/>
  <c r="AI291" i="2"/>
  <c r="AI290" i="2"/>
  <c r="AI289" i="2"/>
  <c r="AI288" i="2"/>
  <c r="AI287" i="2"/>
  <c r="AI286" i="2"/>
  <c r="AI285" i="2"/>
  <c r="AI284" i="2"/>
  <c r="AI283" i="2"/>
  <c r="AI282" i="2"/>
  <c r="AI281" i="2"/>
  <c r="AI280" i="2"/>
  <c r="AI279" i="2"/>
  <c r="AI278" i="2"/>
  <c r="AI277" i="2"/>
  <c r="AI276" i="2"/>
  <c r="AI275" i="2"/>
  <c r="AI274" i="2"/>
  <c r="AI273" i="2"/>
  <c r="AI272" i="2"/>
  <c r="AI271" i="2"/>
  <c r="AI270" i="2"/>
  <c r="AI269" i="2"/>
  <c r="AI268" i="2"/>
  <c r="AI267" i="2"/>
  <c r="AI266" i="2"/>
  <c r="AI265" i="2"/>
  <c r="AI264" i="2"/>
  <c r="AI263" i="2"/>
  <c r="AI262" i="2"/>
  <c r="AI261" i="2"/>
  <c r="AI260" i="2"/>
  <c r="AI259" i="2"/>
  <c r="AI258" i="2"/>
  <c r="AI257" i="2"/>
  <c r="AI256" i="2"/>
  <c r="AI255" i="2"/>
  <c r="AI254" i="2"/>
  <c r="AI253" i="2"/>
  <c r="AI252" i="2"/>
  <c r="AI251" i="2"/>
  <c r="AI250" i="2"/>
  <c r="AI249" i="2"/>
  <c r="AI248" i="2"/>
  <c r="AI247" i="2"/>
  <c r="AI246" i="2"/>
  <c r="AI245" i="2"/>
  <c r="AI244" i="2"/>
  <c r="AI243" i="2"/>
  <c r="AI242" i="2"/>
  <c r="AI241" i="2"/>
  <c r="AI240" i="2"/>
  <c r="AI239" i="2"/>
  <c r="AI238" i="2"/>
  <c r="AI237" i="2"/>
  <c r="AI236" i="2"/>
  <c r="AI235" i="2"/>
  <c r="AI234" i="2"/>
  <c r="AI233" i="2"/>
  <c r="AI232" i="2"/>
  <c r="AI231" i="2"/>
  <c r="AI230" i="2"/>
  <c r="AI229" i="2"/>
  <c r="AI228" i="2"/>
  <c r="AI227" i="2"/>
  <c r="AI226" i="2"/>
  <c r="AI225" i="2"/>
  <c r="AI224" i="2"/>
  <c r="AI223" i="2"/>
  <c r="AI222" i="2"/>
  <c r="AI221" i="2"/>
  <c r="AI220" i="2"/>
  <c r="AI219" i="2"/>
  <c r="AI218" i="2"/>
  <c r="AI217" i="2"/>
  <c r="AI216" i="2"/>
  <c r="AI215" i="2"/>
  <c r="AI214" i="2"/>
  <c r="AI213" i="2"/>
  <c r="AI212" i="2"/>
  <c r="AI211" i="2"/>
  <c r="AI210" i="2"/>
  <c r="AI209" i="2"/>
  <c r="AI208" i="2"/>
  <c r="AI207" i="2"/>
  <c r="AI206" i="2"/>
  <c r="AI205" i="2"/>
  <c r="AI204" i="2"/>
  <c r="AI203" i="2"/>
  <c r="AI202" i="2"/>
  <c r="AI201" i="2"/>
  <c r="AI200" i="2"/>
  <c r="AI199" i="2"/>
  <c r="AI198" i="2"/>
  <c r="AI197" i="2"/>
  <c r="AI196" i="2"/>
  <c r="AI195" i="2"/>
  <c r="AI194" i="2"/>
  <c r="AI193" i="2"/>
  <c r="AI192" i="2"/>
  <c r="AI191" i="2"/>
  <c r="AI190" i="2"/>
  <c r="AI189" i="2"/>
  <c r="AI188" i="2"/>
  <c r="AI187" i="2"/>
  <c r="AI186" i="2"/>
  <c r="AI185" i="2"/>
  <c r="AI184" i="2"/>
  <c r="AI183" i="2"/>
  <c r="AI182" i="2"/>
  <c r="AI181" i="2"/>
  <c r="AI180" i="2"/>
  <c r="AI179" i="2"/>
  <c r="AI178" i="2"/>
  <c r="AI177" i="2"/>
  <c r="AI176" i="2"/>
  <c r="AI175" i="2"/>
  <c r="AI174" i="2"/>
  <c r="AI173" i="2"/>
  <c r="AI172" i="2"/>
  <c r="AI171" i="2"/>
  <c r="AI170" i="2"/>
  <c r="AI169" i="2"/>
  <c r="AI168" i="2"/>
  <c r="AI167" i="2"/>
  <c r="AI166" i="2"/>
  <c r="AI165" i="2"/>
  <c r="AI164" i="2"/>
  <c r="AI163" i="2"/>
  <c r="AI162" i="2"/>
  <c r="AI161" i="2"/>
  <c r="AI160" i="2"/>
  <c r="AI159" i="2"/>
  <c r="AI158" i="2"/>
  <c r="AI157" i="2"/>
  <c r="AI156" i="2"/>
  <c r="AI155" i="2"/>
  <c r="AI154" i="2"/>
  <c r="AI153" i="2"/>
  <c r="AI152" i="2"/>
  <c r="AI151" i="2"/>
  <c r="AI150" i="2"/>
  <c r="AI149" i="2"/>
  <c r="AI148" i="2"/>
  <c r="AI147" i="2"/>
  <c r="AI146" i="2"/>
  <c r="AI145" i="2"/>
  <c r="AI144" i="2"/>
  <c r="AI143" i="2"/>
  <c r="AI142" i="2"/>
  <c r="AI141" i="2"/>
  <c r="AI140" i="2"/>
  <c r="AI139" i="2"/>
  <c r="AI138" i="2"/>
  <c r="AI137" i="2"/>
  <c r="AI136" i="2"/>
  <c r="AI135" i="2"/>
  <c r="AI134" i="2"/>
  <c r="AI133" i="2"/>
  <c r="AI132" i="2"/>
  <c r="AI131" i="2"/>
  <c r="AI130" i="2"/>
  <c r="AI129" i="2"/>
  <c r="AI128" i="2"/>
  <c r="AI127" i="2"/>
  <c r="AI126" i="2"/>
  <c r="AI125" i="2"/>
  <c r="AI124" i="2"/>
  <c r="AI123" i="2"/>
  <c r="AI122" i="2"/>
  <c r="AI121" i="2"/>
  <c r="AI120" i="2"/>
  <c r="AI119" i="2"/>
  <c r="AI118" i="2"/>
  <c r="AI117" i="2"/>
  <c r="AI116" i="2"/>
  <c r="AI115" i="2"/>
  <c r="AI114" i="2"/>
  <c r="AI113" i="2"/>
  <c r="AI112" i="2"/>
  <c r="AI111" i="2"/>
  <c r="AI110" i="2"/>
  <c r="AI109" i="2"/>
  <c r="AI108" i="2"/>
  <c r="AI107" i="2"/>
  <c r="AI106" i="2"/>
  <c r="AI105" i="2"/>
  <c r="AI104" i="2"/>
  <c r="AI103" i="2"/>
  <c r="AI102" i="2"/>
  <c r="AI101" i="2"/>
  <c r="AI100" i="2"/>
  <c r="AI99" i="2"/>
  <c r="AI98" i="2"/>
  <c r="AI97" i="2"/>
  <c r="AI96" i="2"/>
  <c r="AI95" i="2"/>
  <c r="AI94" i="2"/>
  <c r="AI93" i="2"/>
  <c r="AI92" i="2"/>
  <c r="AI91" i="2"/>
  <c r="AI90" i="2"/>
  <c r="AI89" i="2"/>
  <c r="AI88" i="2"/>
  <c r="AI87" i="2"/>
  <c r="AI86" i="2"/>
  <c r="AI85" i="2"/>
  <c r="AI84" i="2"/>
  <c r="AI83" i="2"/>
  <c r="AI82" i="2"/>
  <c r="AI81" i="2"/>
  <c r="AI80" i="2"/>
  <c r="AI79" i="2"/>
  <c r="AI78" i="2"/>
  <c r="AI77" i="2"/>
  <c r="AI76" i="2"/>
  <c r="AI75" i="2"/>
  <c r="AI74" i="2"/>
  <c r="AI73" i="2"/>
  <c r="AI72" i="2"/>
  <c r="AI71" i="2"/>
  <c r="AI70" i="2"/>
  <c r="AI69" i="2"/>
  <c r="AI68" i="2"/>
  <c r="AI67" i="2"/>
  <c r="AI66" i="2"/>
  <c r="AI65" i="2"/>
  <c r="AI64" i="2"/>
  <c r="AI63" i="2"/>
  <c r="AI62" i="2"/>
  <c r="AI61" i="2"/>
  <c r="AI60" i="2"/>
  <c r="AI59" i="2"/>
  <c r="AI58" i="2"/>
  <c r="AI57" i="2"/>
  <c r="AI56" i="2"/>
  <c r="AI55" i="2"/>
  <c r="AI54" i="2"/>
  <c r="AI53" i="2"/>
  <c r="AI52" i="2"/>
  <c r="AI51" i="2"/>
  <c r="AI50" i="2"/>
  <c r="AI49" i="2"/>
  <c r="AI48" i="2"/>
  <c r="AI47" i="2"/>
  <c r="AI46" i="2"/>
  <c r="AI45" i="2"/>
  <c r="AI44" i="2"/>
  <c r="AI43" i="2"/>
  <c r="AI42" i="2"/>
  <c r="AI41" i="2"/>
  <c r="AI40" i="2"/>
  <c r="AI39" i="2"/>
  <c r="AI38" i="2"/>
  <c r="AI37" i="2"/>
  <c r="AI36" i="2"/>
  <c r="AI35" i="2"/>
  <c r="AI34" i="2"/>
  <c r="AI33" i="2"/>
  <c r="AI32" i="2"/>
  <c r="AI31" i="2"/>
  <c r="AI30" i="2"/>
  <c r="AI29" i="2"/>
  <c r="AI28" i="2"/>
  <c r="AI27" i="2"/>
  <c r="AI26" i="2"/>
  <c r="AI25" i="2"/>
  <c r="AI24" i="2"/>
  <c r="AI23" i="2"/>
  <c r="AI22" i="2"/>
  <c r="AI21" i="2"/>
  <c r="AI20" i="2"/>
  <c r="AI19" i="2"/>
  <c r="AI18" i="2"/>
  <c r="AI17" i="2"/>
  <c r="AI16" i="2"/>
  <c r="AI15" i="2"/>
  <c r="AI14" i="2"/>
  <c r="AI13" i="2"/>
  <c r="AI12" i="2"/>
  <c r="AI11" i="2"/>
  <c r="AI10" i="2"/>
  <c r="AI9" i="2"/>
  <c r="AI8" i="2"/>
  <c r="AI7" i="2"/>
  <c r="AI6" i="2"/>
  <c r="AI5" i="2"/>
  <c r="AI4" i="2"/>
  <c r="Y325" i="2"/>
  <c r="Y324" i="2"/>
  <c r="Y323" i="2"/>
  <c r="Y322" i="2"/>
  <c r="Y321" i="2"/>
  <c r="Y320" i="2"/>
  <c r="Y319" i="2"/>
  <c r="Y318" i="2"/>
  <c r="Y317" i="2"/>
  <c r="Y316" i="2"/>
  <c r="Y315" i="2"/>
  <c r="Y314" i="2"/>
  <c r="Y313" i="2"/>
  <c r="Y312" i="2"/>
  <c r="Y311" i="2"/>
  <c r="Y310" i="2"/>
  <c r="Y309" i="2"/>
  <c r="Y308" i="2"/>
  <c r="Y307" i="2"/>
  <c r="Y306" i="2"/>
  <c r="Y305" i="2"/>
  <c r="Y304" i="2"/>
  <c r="Y303" i="2"/>
  <c r="Y302" i="2"/>
  <c r="Y301" i="2"/>
  <c r="Y300" i="2"/>
  <c r="Y299" i="2"/>
  <c r="Y298" i="2"/>
  <c r="Y297" i="2"/>
  <c r="Y296" i="2"/>
  <c r="Y295" i="2"/>
  <c r="Y294" i="2"/>
  <c r="Y293" i="2"/>
  <c r="Y292" i="2"/>
  <c r="Y291" i="2"/>
  <c r="Y290" i="2"/>
  <c r="Y289" i="2"/>
  <c r="Y288" i="2"/>
  <c r="Y287" i="2"/>
  <c r="Y286" i="2"/>
  <c r="Y285" i="2"/>
  <c r="Y284" i="2"/>
  <c r="Y283" i="2"/>
  <c r="Y282" i="2"/>
  <c r="Y281" i="2"/>
  <c r="Y280" i="2"/>
  <c r="Y279" i="2"/>
  <c r="Y278" i="2"/>
  <c r="Y277" i="2"/>
  <c r="Y276" i="2"/>
  <c r="Y275" i="2"/>
  <c r="Y274" i="2"/>
  <c r="Y273" i="2"/>
  <c r="Y272" i="2"/>
  <c r="Y271" i="2"/>
  <c r="Y270" i="2"/>
  <c r="Y269" i="2"/>
  <c r="Y268" i="2"/>
  <c r="Y267" i="2"/>
  <c r="Y266" i="2"/>
  <c r="Y265" i="2"/>
  <c r="Y264" i="2"/>
  <c r="Y263" i="2"/>
  <c r="Y262" i="2"/>
  <c r="Y261" i="2"/>
  <c r="Y260" i="2"/>
  <c r="Y259" i="2"/>
  <c r="Y258" i="2"/>
  <c r="Y257" i="2"/>
  <c r="Y256" i="2"/>
  <c r="Y255" i="2"/>
  <c r="Y254" i="2"/>
  <c r="Y253" i="2"/>
  <c r="Y252" i="2"/>
  <c r="Y251" i="2"/>
  <c r="Y250" i="2"/>
  <c r="Y249" i="2"/>
  <c r="Y248" i="2"/>
  <c r="Y247" i="2"/>
  <c r="Y246" i="2"/>
  <c r="Y245" i="2"/>
  <c r="Y244" i="2"/>
  <c r="Y243" i="2"/>
  <c r="Y242" i="2"/>
  <c r="Y241" i="2"/>
  <c r="Y240" i="2"/>
  <c r="Y239" i="2"/>
  <c r="Y238" i="2"/>
  <c r="Y237" i="2"/>
  <c r="Y236" i="2"/>
  <c r="Y235" i="2"/>
  <c r="Y234" i="2"/>
  <c r="Y233" i="2"/>
  <c r="Y232" i="2"/>
  <c r="Y231" i="2"/>
  <c r="Y230" i="2"/>
  <c r="Y229" i="2"/>
  <c r="Y228" i="2"/>
  <c r="Y227" i="2"/>
  <c r="Y226" i="2"/>
  <c r="Y225" i="2"/>
  <c r="Y224" i="2"/>
  <c r="Y223" i="2"/>
  <c r="Y222" i="2"/>
  <c r="Y221" i="2"/>
  <c r="Y220" i="2"/>
  <c r="Y219" i="2"/>
  <c r="Y218" i="2"/>
  <c r="Y217" i="2"/>
  <c r="Y216" i="2"/>
  <c r="Y215" i="2"/>
  <c r="Y214" i="2"/>
  <c r="Y213" i="2"/>
  <c r="Y212" i="2"/>
  <c r="Y211" i="2"/>
  <c r="Y210" i="2"/>
  <c r="Y209" i="2"/>
  <c r="Y208" i="2"/>
  <c r="Y207" i="2"/>
  <c r="Y206" i="2"/>
  <c r="Y205" i="2"/>
  <c r="Y204" i="2"/>
  <c r="Y203" i="2"/>
  <c r="Y202" i="2"/>
  <c r="Y201" i="2"/>
  <c r="Y200" i="2"/>
  <c r="Y199" i="2"/>
  <c r="Y198" i="2"/>
  <c r="Y197" i="2"/>
  <c r="Y196" i="2"/>
  <c r="Y195" i="2"/>
  <c r="Y194" i="2"/>
  <c r="Y193" i="2"/>
  <c r="Y192" i="2"/>
  <c r="Y191" i="2"/>
  <c r="Y190" i="2"/>
  <c r="Y189" i="2"/>
  <c r="Y188" i="2"/>
  <c r="Y187" i="2"/>
  <c r="Y186" i="2"/>
  <c r="Y185" i="2"/>
  <c r="Y184" i="2"/>
  <c r="Y183" i="2"/>
  <c r="Y182" i="2"/>
  <c r="Y181" i="2"/>
  <c r="Y180" i="2"/>
  <c r="Y179" i="2"/>
  <c r="Y178" i="2"/>
  <c r="Y177" i="2"/>
  <c r="Y176" i="2"/>
  <c r="Y175" i="2"/>
  <c r="Y174" i="2"/>
  <c r="Y173" i="2"/>
  <c r="Y172" i="2"/>
  <c r="Y171" i="2"/>
  <c r="Y170" i="2"/>
  <c r="Y169" i="2"/>
  <c r="Y168" i="2"/>
  <c r="Y167" i="2"/>
  <c r="Y166" i="2"/>
  <c r="Y165" i="2"/>
  <c r="Y164" i="2"/>
  <c r="Y163" i="2"/>
  <c r="Y162" i="2"/>
  <c r="Y161" i="2"/>
  <c r="Y160" i="2"/>
  <c r="Y159" i="2"/>
  <c r="Y158" i="2"/>
  <c r="Y157" i="2"/>
  <c r="Y156" i="2"/>
  <c r="Y155" i="2"/>
  <c r="Y154" i="2"/>
  <c r="Y153" i="2"/>
  <c r="Y152" i="2"/>
  <c r="Y151" i="2"/>
  <c r="Y150" i="2"/>
  <c r="Y149" i="2"/>
  <c r="Y148" i="2"/>
  <c r="Y147" i="2"/>
  <c r="Y146" i="2"/>
  <c r="Y145" i="2"/>
  <c r="Y144" i="2"/>
  <c r="Y143" i="2"/>
  <c r="Y142" i="2"/>
  <c r="Y141" i="2"/>
  <c r="Y140" i="2"/>
  <c r="Y139" i="2"/>
  <c r="Y138" i="2"/>
  <c r="Y137" i="2"/>
  <c r="Y136" i="2"/>
  <c r="Y135" i="2"/>
  <c r="Y134" i="2"/>
  <c r="Y133" i="2"/>
  <c r="Y132" i="2"/>
  <c r="Y131" i="2"/>
  <c r="Y130" i="2"/>
  <c r="Y129" i="2"/>
  <c r="Y128" i="2"/>
  <c r="Y127" i="2"/>
  <c r="Y126" i="2"/>
  <c r="Y125" i="2"/>
  <c r="Y124" i="2"/>
  <c r="Y123" i="2"/>
  <c r="Y122" i="2"/>
  <c r="Y121" i="2"/>
  <c r="Y120" i="2"/>
  <c r="Y119" i="2"/>
  <c r="Y118" i="2"/>
  <c r="Y117" i="2"/>
  <c r="Y116" i="2"/>
  <c r="Y115" i="2"/>
  <c r="Y114" i="2"/>
  <c r="Y113" i="2"/>
  <c r="Y112" i="2"/>
  <c r="Y111" i="2"/>
  <c r="Y110" i="2"/>
  <c r="Y109" i="2"/>
  <c r="Y108" i="2"/>
  <c r="Y107" i="2"/>
  <c r="Y106" i="2"/>
  <c r="Y105" i="2"/>
  <c r="Y104" i="2"/>
  <c r="Y103" i="2"/>
  <c r="Y102" i="2"/>
  <c r="Y101" i="2"/>
  <c r="Y100" i="2"/>
  <c r="Y99" i="2"/>
  <c r="Y98" i="2"/>
  <c r="Y97" i="2"/>
  <c r="Y96" i="2"/>
  <c r="Y95" i="2"/>
  <c r="Y94" i="2"/>
  <c r="Y93" i="2"/>
  <c r="Y92" i="2"/>
  <c r="Y91" i="2"/>
  <c r="Y90" i="2"/>
  <c r="Y89" i="2"/>
  <c r="Y88" i="2"/>
  <c r="Y87" i="2"/>
  <c r="Y86" i="2"/>
  <c r="Y85" i="2"/>
  <c r="Y84" i="2"/>
  <c r="Y83" i="2"/>
  <c r="Y82" i="2"/>
  <c r="Y81" i="2"/>
  <c r="Y80" i="2"/>
  <c r="Y79" i="2"/>
  <c r="Y78" i="2"/>
  <c r="Y77" i="2"/>
  <c r="Y76" i="2"/>
  <c r="Y75" i="2"/>
  <c r="Y74" i="2"/>
  <c r="Y73" i="2"/>
  <c r="Y72" i="2"/>
  <c r="Y71" i="2"/>
  <c r="Y70" i="2"/>
  <c r="Y69" i="2"/>
  <c r="Y68" i="2"/>
  <c r="Y67" i="2"/>
  <c r="Y66" i="2"/>
  <c r="Y65" i="2"/>
  <c r="Y64" i="2"/>
  <c r="Y63" i="2"/>
  <c r="Y62" i="2"/>
  <c r="Y61" i="2"/>
  <c r="Y60" i="2"/>
  <c r="Y59" i="2"/>
  <c r="Y58" i="2"/>
  <c r="Y57" i="2"/>
  <c r="Y56" i="2"/>
  <c r="Y55" i="2"/>
  <c r="Y54" i="2"/>
  <c r="Y53" i="2"/>
  <c r="Y52" i="2"/>
  <c r="Y51" i="2"/>
  <c r="Y50" i="2"/>
  <c r="Y49" i="2"/>
  <c r="Y48" i="2"/>
  <c r="Y47" i="2"/>
  <c r="Y46" i="2"/>
  <c r="Y45" i="2"/>
  <c r="Y44" i="2"/>
  <c r="Y43" i="2"/>
  <c r="Y42" i="2"/>
  <c r="Y41" i="2"/>
  <c r="Y40" i="2"/>
  <c r="Y39" i="2"/>
  <c r="Y38" i="2"/>
  <c r="Y37" i="2"/>
  <c r="Y36" i="2"/>
  <c r="Y35" i="2"/>
  <c r="Y34" i="2"/>
  <c r="Y33" i="2"/>
  <c r="Y32" i="2"/>
  <c r="Y31" i="2"/>
  <c r="Y30" i="2"/>
  <c r="Y29" i="2"/>
  <c r="Y28" i="2"/>
  <c r="Y27" i="2"/>
  <c r="Y26" i="2"/>
  <c r="Y25" i="2"/>
  <c r="Y24" i="2"/>
  <c r="Y23" i="2"/>
  <c r="Y22" i="2"/>
  <c r="Y21" i="2"/>
  <c r="Y20" i="2"/>
  <c r="Y19" i="2"/>
  <c r="Y18" i="2"/>
  <c r="Y17" i="2"/>
  <c r="Y16" i="2"/>
  <c r="Y15" i="2"/>
  <c r="Y14" i="2"/>
  <c r="Y13" i="2"/>
  <c r="Y12" i="2"/>
  <c r="Y11" i="2"/>
  <c r="Y10" i="2"/>
  <c r="Y9" i="2"/>
  <c r="Y8" i="2"/>
  <c r="Y7" i="2"/>
  <c r="Y6" i="2"/>
  <c r="Y5" i="2"/>
  <c r="Y4" i="2"/>
  <c r="O325" i="2"/>
  <c r="O324" i="2"/>
  <c r="O323" i="2"/>
  <c r="O322" i="2"/>
  <c r="O321" i="2"/>
  <c r="O320" i="2"/>
  <c r="O319" i="2"/>
  <c r="O318" i="2"/>
  <c r="O317" i="2"/>
  <c r="O316" i="2"/>
  <c r="O315" i="2"/>
  <c r="O314" i="2"/>
  <c r="O313" i="2"/>
  <c r="O312" i="2"/>
  <c r="O311" i="2"/>
  <c r="O310" i="2"/>
  <c r="O309" i="2"/>
  <c r="O308" i="2"/>
  <c r="O307" i="2"/>
  <c r="O306" i="2"/>
  <c r="O305" i="2"/>
  <c r="O304" i="2"/>
  <c r="O303" i="2"/>
  <c r="O302" i="2"/>
  <c r="O301" i="2"/>
  <c r="O300" i="2"/>
  <c r="O299" i="2"/>
  <c r="O298" i="2"/>
  <c r="O297" i="2"/>
  <c r="O296" i="2"/>
  <c r="O295" i="2"/>
  <c r="O294" i="2"/>
  <c r="O293" i="2"/>
  <c r="O292" i="2"/>
  <c r="O291" i="2"/>
  <c r="O290" i="2"/>
  <c r="O289" i="2"/>
  <c r="O288" i="2"/>
  <c r="O287" i="2"/>
  <c r="O286" i="2"/>
  <c r="O285" i="2"/>
  <c r="O284" i="2"/>
  <c r="O283" i="2"/>
  <c r="O282" i="2"/>
  <c r="O281" i="2"/>
  <c r="O280" i="2"/>
  <c r="O279" i="2"/>
  <c r="O278" i="2"/>
  <c r="O277" i="2"/>
  <c r="O276" i="2"/>
  <c r="O275" i="2"/>
  <c r="O274" i="2"/>
  <c r="O273" i="2"/>
  <c r="O272" i="2"/>
  <c r="O271" i="2"/>
  <c r="O270" i="2"/>
  <c r="O269" i="2"/>
  <c r="O268" i="2"/>
  <c r="O267" i="2"/>
  <c r="O266" i="2"/>
  <c r="O265" i="2"/>
  <c r="O264" i="2"/>
  <c r="O263" i="2"/>
  <c r="O262" i="2"/>
  <c r="O261" i="2"/>
  <c r="O260" i="2"/>
  <c r="O259" i="2"/>
  <c r="O258" i="2"/>
  <c r="O257" i="2"/>
  <c r="O256" i="2"/>
  <c r="O255" i="2"/>
  <c r="O254" i="2"/>
  <c r="O253" i="2"/>
  <c r="O252" i="2"/>
  <c r="O251" i="2"/>
  <c r="O250" i="2"/>
  <c r="O249" i="2"/>
  <c r="O248" i="2"/>
  <c r="O247" i="2"/>
  <c r="O246" i="2"/>
  <c r="O245" i="2"/>
  <c r="O244" i="2"/>
  <c r="O243" i="2"/>
  <c r="O242" i="2"/>
  <c r="O241" i="2"/>
  <c r="O240" i="2"/>
  <c r="O239" i="2"/>
  <c r="O238" i="2"/>
  <c r="O237" i="2"/>
  <c r="O236" i="2"/>
  <c r="O235" i="2"/>
  <c r="O234" i="2"/>
  <c r="O233" i="2"/>
  <c r="O232" i="2"/>
  <c r="O231" i="2"/>
  <c r="O230" i="2"/>
  <c r="O229" i="2"/>
  <c r="O228" i="2"/>
  <c r="O227" i="2"/>
  <c r="O226" i="2"/>
  <c r="O225" i="2"/>
  <c r="O224" i="2"/>
  <c r="O223" i="2"/>
  <c r="O222" i="2"/>
  <c r="O221" i="2"/>
  <c r="O220" i="2"/>
  <c r="O219" i="2"/>
  <c r="O218" i="2"/>
  <c r="O217" i="2"/>
  <c r="O216" i="2"/>
  <c r="O215" i="2"/>
  <c r="O214" i="2"/>
  <c r="O213" i="2"/>
  <c r="O212" i="2"/>
  <c r="O211" i="2"/>
  <c r="O210" i="2"/>
  <c r="O209" i="2"/>
  <c r="O208" i="2"/>
  <c r="O207" i="2"/>
  <c r="O206" i="2"/>
  <c r="O205" i="2"/>
  <c r="O204" i="2"/>
  <c r="O203" i="2"/>
  <c r="O202" i="2"/>
  <c r="O201" i="2"/>
  <c r="O200" i="2"/>
  <c r="O199" i="2"/>
  <c r="O198" i="2"/>
  <c r="O197" i="2"/>
  <c r="O196" i="2"/>
  <c r="O195" i="2"/>
  <c r="O194" i="2"/>
  <c r="O193" i="2"/>
  <c r="O192" i="2"/>
  <c r="O191" i="2"/>
  <c r="O190" i="2"/>
  <c r="O189" i="2"/>
  <c r="O188" i="2"/>
  <c r="O187" i="2"/>
  <c r="O186" i="2"/>
  <c r="O185" i="2"/>
  <c r="O184" i="2"/>
  <c r="O183" i="2"/>
  <c r="O182" i="2"/>
  <c r="O181" i="2"/>
  <c r="O180" i="2"/>
  <c r="O179" i="2"/>
  <c r="O178" i="2"/>
  <c r="O177" i="2"/>
  <c r="O176" i="2"/>
  <c r="O175" i="2"/>
  <c r="O174" i="2"/>
  <c r="O173" i="2"/>
  <c r="O172" i="2"/>
  <c r="O171" i="2"/>
  <c r="O170" i="2"/>
  <c r="O169" i="2"/>
  <c r="O168" i="2"/>
  <c r="O167" i="2"/>
  <c r="O166" i="2"/>
  <c r="O165" i="2"/>
  <c r="O164" i="2"/>
  <c r="O163" i="2"/>
  <c r="O162" i="2"/>
  <c r="O161" i="2"/>
  <c r="O160" i="2"/>
  <c r="O159" i="2"/>
  <c r="O158" i="2"/>
  <c r="O157" i="2"/>
  <c r="O156" i="2"/>
  <c r="O155" i="2"/>
  <c r="O154" i="2"/>
  <c r="O153" i="2"/>
  <c r="O152" i="2"/>
  <c r="O151" i="2"/>
  <c r="O150" i="2"/>
  <c r="O149" i="2"/>
  <c r="O148" i="2"/>
  <c r="O147" i="2"/>
  <c r="O146" i="2"/>
  <c r="O145" i="2"/>
  <c r="O144" i="2"/>
  <c r="O143" i="2"/>
  <c r="O142" i="2"/>
  <c r="O141" i="2"/>
  <c r="O140" i="2"/>
  <c r="O139" i="2"/>
  <c r="O138" i="2"/>
  <c r="O137" i="2"/>
  <c r="O136" i="2"/>
  <c r="O135" i="2"/>
  <c r="O134" i="2"/>
  <c r="O133" i="2"/>
  <c r="O132" i="2"/>
  <c r="O131" i="2"/>
  <c r="O130" i="2"/>
  <c r="O129" i="2"/>
  <c r="O128" i="2"/>
  <c r="O127" i="2"/>
  <c r="O126" i="2"/>
  <c r="O125" i="2"/>
  <c r="O124" i="2"/>
  <c r="O123" i="2"/>
  <c r="O122" i="2"/>
  <c r="O121" i="2"/>
  <c r="O120" i="2"/>
  <c r="O119" i="2"/>
  <c r="O118" i="2"/>
  <c r="O117" i="2"/>
  <c r="O116" i="2"/>
  <c r="O115" i="2"/>
  <c r="O114" i="2"/>
  <c r="O113" i="2"/>
  <c r="O112" i="2"/>
  <c r="O111" i="2"/>
  <c r="O110" i="2"/>
  <c r="O109" i="2"/>
  <c r="O108" i="2"/>
  <c r="O107" i="2"/>
  <c r="O106" i="2"/>
  <c r="O105" i="2"/>
  <c r="O104" i="2"/>
  <c r="O103" i="2"/>
  <c r="O102" i="2"/>
  <c r="O101" i="2"/>
  <c r="O100" i="2"/>
  <c r="O99" i="2"/>
  <c r="O98" i="2"/>
  <c r="O97" i="2"/>
  <c r="O96" i="2"/>
  <c r="O95" i="2"/>
  <c r="O94" i="2"/>
  <c r="O93" i="2"/>
  <c r="O92" i="2"/>
  <c r="O91" i="2"/>
  <c r="O90" i="2"/>
  <c r="O89" i="2"/>
  <c r="O88" i="2"/>
  <c r="O87" i="2"/>
  <c r="O86" i="2"/>
  <c r="O85" i="2"/>
  <c r="O84" i="2"/>
  <c r="O83" i="2"/>
  <c r="O82" i="2"/>
  <c r="O81" i="2"/>
  <c r="O80" i="2"/>
  <c r="O79" i="2"/>
  <c r="O78" i="2"/>
  <c r="O77" i="2"/>
  <c r="O76" i="2"/>
  <c r="O75" i="2"/>
  <c r="O74" i="2"/>
  <c r="O73" i="2"/>
  <c r="O72" i="2"/>
  <c r="O71" i="2"/>
  <c r="O70" i="2"/>
  <c r="O69" i="2"/>
  <c r="O68" i="2"/>
  <c r="O67" i="2"/>
  <c r="O66" i="2"/>
  <c r="O65" i="2"/>
  <c r="O64" i="2"/>
  <c r="O63" i="2"/>
  <c r="O62" i="2"/>
  <c r="O61" i="2"/>
  <c r="O60" i="2"/>
  <c r="O59" i="2"/>
  <c r="O58" i="2"/>
  <c r="O57" i="2"/>
  <c r="O56" i="2"/>
  <c r="O55" i="2"/>
  <c r="O54" i="2"/>
  <c r="O53" i="2"/>
  <c r="O52" i="2"/>
  <c r="O51" i="2"/>
  <c r="O50" i="2"/>
  <c r="O49" i="2"/>
  <c r="O48" i="2"/>
  <c r="O47" i="2"/>
  <c r="O46" i="2"/>
  <c r="O45" i="2"/>
  <c r="O44" i="2"/>
  <c r="O43" i="2"/>
  <c r="O42" i="2"/>
  <c r="O41" i="2"/>
  <c r="O40" i="2"/>
  <c r="O39" i="2"/>
  <c r="O38" i="2"/>
  <c r="O37" i="2"/>
  <c r="O36" i="2"/>
  <c r="O35" i="2"/>
  <c r="O34" i="2"/>
  <c r="O33" i="2"/>
  <c r="O32" i="2"/>
  <c r="O31" i="2"/>
  <c r="O30" i="2"/>
  <c r="O29" i="2"/>
  <c r="O28" i="2"/>
  <c r="O27" i="2"/>
  <c r="O26" i="2"/>
  <c r="O25" i="2"/>
  <c r="O24" i="2"/>
  <c r="O23" i="2"/>
  <c r="O22" i="2"/>
  <c r="O21" i="2"/>
  <c r="O20" i="2"/>
  <c r="O19" i="2"/>
  <c r="O18" i="2"/>
  <c r="O17" i="2"/>
  <c r="O16" i="2"/>
  <c r="O15" i="2"/>
  <c r="O14" i="2"/>
  <c r="O13" i="2"/>
  <c r="O12" i="2"/>
  <c r="O11" i="2"/>
  <c r="O10" i="2"/>
  <c r="O9" i="2"/>
  <c r="O8" i="2"/>
  <c r="O7" i="2"/>
  <c r="O6" i="2"/>
  <c r="O5" i="2"/>
  <c r="O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4" i="2"/>
  <c r="I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202" i="2"/>
  <c r="G203" i="2"/>
  <c r="G204" i="2"/>
  <c r="G205" i="2"/>
  <c r="G206" i="2"/>
  <c r="G207" i="2"/>
  <c r="G208" i="2"/>
  <c r="G209" i="2"/>
  <c r="G210" i="2"/>
  <c r="G211" i="2"/>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20" i="2"/>
  <c r="G321" i="2"/>
  <c r="G322" i="2"/>
  <c r="G323" i="2"/>
  <c r="G324" i="2"/>
  <c r="G325" i="2"/>
  <c r="G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20" i="2"/>
  <c r="E321" i="2"/>
  <c r="E322" i="2"/>
  <c r="E323" i="2"/>
  <c r="E324" i="2"/>
  <c r="E325" i="2"/>
  <c r="E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4" i="2"/>
</calcChain>
</file>

<file path=xl/sharedStrings.xml><?xml version="1.0" encoding="utf-8"?>
<sst xmlns="http://schemas.openxmlformats.org/spreadsheetml/2006/main" count="6880" uniqueCount="778">
  <si>
    <t>Notas:</t>
  </si>
  <si>
    <t>1 - Os municípios sem informação para pelo menos um produto da lavoura temporária não aparecem nas listas;</t>
  </si>
  <si>
    <r>
      <t>2 - A partir do ano de </t>
    </r>
    <r>
      <rPr>
        <b/>
        <sz val="8"/>
        <color rgb="FF333333"/>
        <rFont val="Arial"/>
        <family val="2"/>
      </rPr>
      <t>2001</t>
    </r>
    <r>
      <rPr>
        <sz val="8"/>
        <color rgb="FF333333"/>
        <rFont val="Arial"/>
        <family val="2"/>
      </rPr>
      <t> as quantidades produzidas dos produtos </t>
    </r>
    <r>
      <rPr>
        <b/>
        <sz val="8"/>
        <color rgb="FF333333"/>
        <rFont val="Arial"/>
        <family val="2"/>
      </rPr>
      <t>melancia</t>
    </r>
    <r>
      <rPr>
        <sz val="8"/>
        <color rgb="FF333333"/>
        <rFont val="Arial"/>
        <family val="2"/>
      </rPr>
      <t> e </t>
    </r>
    <r>
      <rPr>
        <b/>
        <sz val="8"/>
        <color rgb="FF333333"/>
        <rFont val="Arial"/>
        <family val="2"/>
      </rPr>
      <t>melão</t>
    </r>
    <r>
      <rPr>
        <sz val="8"/>
        <color rgb="FF333333"/>
        <rFont val="Arial"/>
        <family val="2"/>
      </rPr>
      <t> passam a ser expressas em </t>
    </r>
    <r>
      <rPr>
        <b/>
        <sz val="8"/>
        <color rgb="FF333333"/>
        <rFont val="Arial"/>
        <family val="2"/>
      </rPr>
      <t>toneladas</t>
    </r>
    <r>
      <rPr>
        <sz val="8"/>
        <color rgb="FF333333"/>
        <rFont val="Arial"/>
        <family val="2"/>
      </rPr>
      <t>. Nos anos anteriores eram expressas em </t>
    </r>
    <r>
      <rPr>
        <b/>
        <sz val="8"/>
        <color rgb="FF333333"/>
        <rFont val="Arial"/>
        <family val="2"/>
      </rPr>
      <t>mil frutos</t>
    </r>
    <r>
      <rPr>
        <sz val="8"/>
        <color rgb="FF333333"/>
        <rFont val="Arial"/>
        <family val="2"/>
      </rPr>
      <t>. O rendimento médio passa a ser expresso em </t>
    </r>
    <r>
      <rPr>
        <b/>
        <sz val="8"/>
        <color rgb="FF333333"/>
        <rFont val="Arial"/>
        <family val="2"/>
      </rPr>
      <t>Kg/ha</t>
    </r>
    <r>
      <rPr>
        <sz val="8"/>
        <color rgb="FF333333"/>
        <rFont val="Arial"/>
        <family val="2"/>
      </rPr>
      <t>. Nos anos anteriores era expresso em </t>
    </r>
    <r>
      <rPr>
        <b/>
        <sz val="8"/>
        <color rgb="FF333333"/>
        <rFont val="Arial"/>
        <family val="2"/>
      </rPr>
      <t>frutos/ha</t>
    </r>
    <r>
      <rPr>
        <sz val="8"/>
        <color rgb="FF333333"/>
        <rFont val="Arial"/>
        <family val="2"/>
      </rPr>
      <t>.</t>
    </r>
  </si>
  <si>
    <t>3 - Veja o documento AlteracoesUnidadesMedidaFrutas.pdf com as alterações de unidades de medida das frutíferas ocorridas em 2001 e a tabela de conversão fruto x quilograma.</t>
  </si>
  <si>
    <r>
      <t>4 - Os produtos </t>
    </r>
    <r>
      <rPr>
        <b/>
        <sz val="8"/>
        <color rgb="FF333333"/>
        <rFont val="Arial"/>
        <family val="2"/>
      </rPr>
      <t>girassol</t>
    </r>
    <r>
      <rPr>
        <sz val="8"/>
        <color rgb="FF333333"/>
        <rFont val="Arial"/>
        <family val="2"/>
      </rPr>
      <t> e </t>
    </r>
    <r>
      <rPr>
        <b/>
        <sz val="8"/>
        <color rgb="FF333333"/>
        <rFont val="Arial"/>
        <family val="2"/>
      </rPr>
      <t>triticale</t>
    </r>
    <r>
      <rPr>
        <sz val="8"/>
        <color rgb="FF333333"/>
        <rFont val="Arial"/>
        <family val="2"/>
      </rPr>
      <t> só apresentam informação a partir de </t>
    </r>
    <r>
      <rPr>
        <b/>
        <sz val="8"/>
        <color rgb="FF333333"/>
        <rFont val="Arial"/>
        <family val="2"/>
      </rPr>
      <t>2005</t>
    </r>
    <r>
      <rPr>
        <sz val="8"/>
        <color rgb="FF333333"/>
        <rFont val="Arial"/>
        <family val="2"/>
      </rPr>
      <t>.</t>
    </r>
  </si>
  <si>
    <r>
      <t>5 - A quantidade produzida de </t>
    </r>
    <r>
      <rPr>
        <b/>
        <sz val="8"/>
        <color rgb="FF333333"/>
        <rFont val="Arial"/>
        <family val="2"/>
      </rPr>
      <t>abacaxi</t>
    </r>
    <r>
      <rPr>
        <sz val="8"/>
        <color rgb="FF333333"/>
        <rFont val="Arial"/>
        <family val="2"/>
      </rPr>
      <t> é expressa em </t>
    </r>
    <r>
      <rPr>
        <b/>
        <sz val="8"/>
        <color rgb="FF333333"/>
        <rFont val="Arial"/>
        <family val="2"/>
      </rPr>
      <t>mil frutos</t>
    </r>
    <r>
      <rPr>
        <sz val="8"/>
        <color rgb="FF333333"/>
        <rFont val="Arial"/>
        <family val="2"/>
      </rPr>
      <t> e o rendimento médio em </t>
    </r>
    <r>
      <rPr>
        <b/>
        <sz val="8"/>
        <color rgb="FF333333"/>
        <rFont val="Arial"/>
        <family val="2"/>
      </rPr>
      <t>frutos/ha</t>
    </r>
    <r>
      <rPr>
        <sz val="8"/>
        <color rgb="FF333333"/>
        <rFont val="Arial"/>
        <family val="2"/>
      </rPr>
      <t>.</t>
    </r>
  </si>
  <si>
    <r>
      <t>6 - Valores para a categoria </t>
    </r>
    <r>
      <rPr>
        <b/>
        <sz val="8"/>
        <color rgb="FF333333"/>
        <rFont val="Arial"/>
        <family val="2"/>
      </rPr>
      <t>Total</t>
    </r>
    <r>
      <rPr>
        <sz val="8"/>
        <color rgb="FF333333"/>
        <rFont val="Arial"/>
        <family val="2"/>
      </rPr>
      <t> indisponíveis para as variáveis </t>
    </r>
    <r>
      <rPr>
        <b/>
        <sz val="8"/>
        <color rgb="FF333333"/>
        <rFont val="Arial"/>
        <family val="2"/>
      </rPr>
      <t>Quantidade produzida </t>
    </r>
    <r>
      <rPr>
        <sz val="8"/>
        <color rgb="FF333333"/>
        <rFont val="Arial"/>
        <family val="2"/>
      </rPr>
      <t>e</t>
    </r>
    <r>
      <rPr>
        <b/>
        <sz val="8"/>
        <color rgb="FF333333"/>
        <rFont val="Arial"/>
        <family val="2"/>
      </rPr>
      <t> Rendimento médio, </t>
    </r>
    <r>
      <rPr>
        <sz val="8"/>
        <color rgb="FF333333"/>
        <rFont val="Arial"/>
        <family val="2"/>
      </rPr>
      <t>pois as unidades de medida diferem para determinados produtos.</t>
    </r>
  </si>
  <si>
    <t>7 - Subentende a possibilidade de cultivos sucessivos ou simultâneos (simples, associados e/ou intercalados) no mesmo ano e no mesmo local, podendo, por isto, a área informada da cultura exceder a área geográfica do município.</t>
  </si>
  <si>
    <r>
      <t>8 - As culturas de </t>
    </r>
    <r>
      <rPr>
        <b/>
        <sz val="8"/>
        <color rgb="FF333333"/>
        <rFont val="Arial"/>
        <family val="2"/>
      </rPr>
      <t>abacaxi, cana-de-açúcar, mamona </t>
    </r>
    <r>
      <rPr>
        <sz val="8"/>
        <color rgb="FF333333"/>
        <rFont val="Arial"/>
        <family val="2"/>
      </rPr>
      <t>e </t>
    </r>
    <r>
      <rPr>
        <b/>
        <sz val="8"/>
        <color rgb="FF333333"/>
        <rFont val="Arial"/>
        <family val="2"/>
      </rPr>
      <t>mandioca</t>
    </r>
    <r>
      <rPr>
        <sz val="8"/>
        <color rgb="FF333333"/>
        <rFont val="Arial"/>
        <family val="2"/>
      </rPr>
      <t> são consideradas culturas temporárias de longa duração. Elas costumam ter ciclo vegetativo que ultrapassa 12 meses e, por isso, as informações são computadas nas colheitas realizadas dentro de cada ano civil (12 meses).</t>
    </r>
  </si>
  <si>
    <r>
      <t>Nestas culturas a</t>
    </r>
    <r>
      <rPr>
        <b/>
        <sz val="8"/>
        <color rgb="FF333333"/>
        <rFont val="Arial"/>
        <family val="2"/>
      </rPr>
      <t> área plantada </t>
    </r>
    <r>
      <rPr>
        <sz val="8"/>
        <color rgb="FF333333"/>
        <rFont val="Arial"/>
        <family val="2"/>
      </rPr>
      <t>refere-se a</t>
    </r>
    <r>
      <rPr>
        <b/>
        <sz val="8"/>
        <color rgb="FF333333"/>
        <rFont val="Arial"/>
        <family val="2"/>
      </rPr>
      <t> área destinada à colheita no ano.</t>
    </r>
  </si>
  <si>
    <t>9 - A diferença entre a área plantada e a área colhida na lavoura temporária é considerada como área perdida.</t>
  </si>
  <si>
    <r>
      <t>10 - A variável </t>
    </r>
    <r>
      <rPr>
        <b/>
        <sz val="8"/>
        <color rgb="FF333333"/>
        <rFont val="Arial"/>
        <family val="2"/>
      </rPr>
      <t>Área plantada</t>
    </r>
    <r>
      <rPr>
        <sz val="8"/>
        <color rgb="FF333333"/>
        <rFont val="Arial"/>
        <family val="2"/>
      </rPr>
      <t> só passou a ser informada a partir de 1988.</t>
    </r>
  </si>
  <si>
    <r>
      <t>11 - </t>
    </r>
    <r>
      <rPr>
        <b/>
        <sz val="8"/>
        <color rgb="FF333333"/>
        <rFont val="Arial"/>
        <family val="2"/>
      </rPr>
      <t>Valor da produção</t>
    </r>
    <r>
      <rPr>
        <sz val="8"/>
        <color rgb="FF333333"/>
        <rFont val="Arial"/>
        <family val="2"/>
      </rPr>
      <t>: Variável derivada calculada pela média ponderada das informações de quantidade e preço médio corrente pago ao produtor, de acordo com os períodos de colheita e comercialização de cada produto. As despesas de frete, taxas e impostos não são incluídas no preço.</t>
    </r>
  </si>
  <si>
    <t>12 - Os dados do último ano divulgado são RESULTADOS PRELIMINARES e podem sofrer alterações até a próxima divulgação.</t>
  </si>
  <si>
    <t>Fonte: IBGE - Produção Agrícola Municipal</t>
  </si>
  <si>
    <t>fontes https://pmc.ncbi.nlm.nih.gov/articles/PMC8790225/table/Tab2/</t>
  </si>
  <si>
    <t>Cultura</t>
  </si>
  <si>
    <t>RPR (Média)</t>
  </si>
  <si>
    <t>Faixa de Variação</t>
  </si>
  <si>
    <t>Fonte(s) de Referência</t>
  </si>
  <si>
    <t>Soja</t>
  </si>
  <si>
    <t>1.5</t>
  </si>
  <si>
    <t>1.2 - 1.5</t>
  </si>
  <si>
    <t>• Yanli et al., citado em uma tabela de resíduos de culturas de 2022 .</t>
  </si>
  <si>
    <t>• Figura de estudo sobre disponibilidade global de resíduos agroindustriais, com dado da FAO .</t>
  </si>
  <si>
    <t>• Tabela adaptada do relatório "Agriculture as a Producer and Consumer of Energy" .</t>
  </si>
  <si>
    <t>Milho</t>
  </si>
  <si>
    <t>1.0</t>
  </si>
  <si>
    <t>0.8 - 3.5</t>
  </si>
  <si>
    <t>• IPCC Tier 1, citado na Grokipedia (valor padrão) .</t>
  </si>
  <si>
    <t>• Tabela de estimativa de emissões por queima de resíduos, publicada na Springer .</t>
  </si>
  <si>
    <t>Arroz</t>
  </si>
  <si>
    <t>1.2</t>
  </si>
  <si>
    <t>1.0 - 1.5</t>
  </si>
  <si>
    <t>• Jiang et al., citado em tabela de resíduos de culturas de 2022 .</t>
  </si>
  <si>
    <t>• IPCC Tier 1, citado na Grokipedia .</t>
  </si>
  <si>
    <t>Feijão</t>
  </si>
  <si>
    <t>0.53</t>
  </si>
  <si>
    <t>0.4 - 1.0</t>
  </si>
  <si>
    <t>• Valores para "pulses" (leguminosas) em tabela adaptada de Krausmann et al. (2008) .</t>
  </si>
  <si>
    <t>Trigo</t>
  </si>
  <si>
    <t>1.3</t>
  </si>
  <si>
    <t>1.0 - 1.7</t>
  </si>
  <si>
    <t>• Searle and Malins, citado em tabela de resíduos de culturas de 2022 .</t>
  </si>
  <si>
    <t>• Tabela adaptada do relatório "Agriculture as a Producer and Consumer of Energy" (trigo de primavera) .</t>
  </si>
  <si>
    <t>Soja (RPR = 1.5):</t>
  </si>
  <si>
    <t>Yanli et al.: Fonte citada em uma tabela da publicação Molecules (2022), baseada em dados da FAOSTAT .</t>
  </si>
  <si>
    <t>Dado da FAO (2019): Utilizado em estudo da NIH sobre disponibilidade global de resíduos para biorrefino .</t>
  </si>
  <si>
    <r>
      <t>"Agriculture as a Producer and Consumer of Energy"</t>
    </r>
    <r>
      <rPr>
        <sz val="10"/>
        <color rgb="FF0F1115"/>
        <rFont val="Segoe UI"/>
        <family val="2"/>
      </rPr>
      <t>: Relatório que apresenta tabela com razões resíduo/grão para diversas culturas .</t>
    </r>
  </si>
  <si>
    <t>Milho (RPR = 1.0):</t>
  </si>
  <si>
    <t>IPCC Tier 1: Valor padrão para cereais, mencionado na definição de RPR da Grokipedia .</t>
  </si>
  <si>
    <t>Tabela da Springer (2025): Coeficiente utilizado para estimativa de emissões por queima de resíduos .</t>
  </si>
  <si>
    <r>
      <t>Relatório "Agriculture as a Producer and Consumer of Energy"</t>
    </r>
    <r>
      <rPr>
        <sz val="10"/>
        <color rgb="FF0F1115"/>
        <rFont val="Segoe UI"/>
        <family val="2"/>
      </rPr>
      <t>: Apresenta RPR = 1.0 para milho .</t>
    </r>
  </si>
  <si>
    <t>Arroz (RPR = 1.2):</t>
  </si>
  <si>
    <t>Jiang et al.: Fonte citada na tabela da publicação Molecules (2022) .</t>
  </si>
  <si>
    <t>IPCC Tier 1: Valor mencionado na Grokipedia .</t>
  </si>
  <si>
    <t>Tabela da Springer (2025): Coeficiente para estimativa de emissões .</t>
  </si>
  <si>
    <t>Feijão (RPR = 0.53):</t>
  </si>
  <si>
    <t>Krausmann et al. (2008): Tabela adaptada em estudo do Copernicus, com valor para "pulses" (leguminosas) .</t>
  </si>
  <si>
    <t>Trigo (RPR = 1.3):</t>
  </si>
  <si>
    <t>Searle and Malins: Fonte citada na tabela da publicação Molecules (2022) .</t>
  </si>
  <si>
    <t>IPCC Tier 1: Valor padrão mencionado na Grokipedia .</t>
  </si>
  <si>
    <r>
      <t>Relatório "Agriculture as a Producer and Consumer of Energy"</t>
    </r>
    <r>
      <rPr>
        <sz val="10"/>
        <color rgb="FF0F1115"/>
        <rFont val="Segoe UI"/>
        <family val="2"/>
      </rPr>
      <t>: Valor específico para trigo de primavera .</t>
    </r>
  </si>
  <si>
    <t>Detalhamento das referências</t>
  </si>
  <si>
    <t>UF</t>
  </si>
  <si>
    <t>42</t>
  </si>
  <si>
    <t>Santa Catarina</t>
  </si>
  <si>
    <t>ME</t>
  </si>
  <si>
    <t>4201</t>
  </si>
  <si>
    <t xml:space="preserve">  Oeste Catarinense</t>
  </si>
  <si>
    <t>MI</t>
  </si>
  <si>
    <t>42001</t>
  </si>
  <si>
    <t xml:space="preserve">    São Miguel do Oeste</t>
  </si>
  <si>
    <t>-</t>
  </si>
  <si>
    <t>MU</t>
  </si>
  <si>
    <t>4200804</t>
  </si>
  <si>
    <t xml:space="preserve">      Anchieta</t>
  </si>
  <si>
    <t>4202081</t>
  </si>
  <si>
    <t xml:space="preserve">      Bandeirante</t>
  </si>
  <si>
    <t>4202099</t>
  </si>
  <si>
    <t xml:space="preserve">      Barra Bonita</t>
  </si>
  <si>
    <t>4202156</t>
  </si>
  <si>
    <t xml:space="preserve">      Belmonte</t>
  </si>
  <si>
    <t>4204905</t>
  </si>
  <si>
    <t xml:space="preserve">      Descanso</t>
  </si>
  <si>
    <t>4205001</t>
  </si>
  <si>
    <t xml:space="preserve">      Dionísio Cerqueira</t>
  </si>
  <si>
    <t>4206405</t>
  </si>
  <si>
    <t xml:space="preserve">      Guaraciaba</t>
  </si>
  <si>
    <t>4206603</t>
  </si>
  <si>
    <t xml:space="preserve">      Guarujá do Sul</t>
  </si>
  <si>
    <t>4207650</t>
  </si>
  <si>
    <t xml:space="preserve">      Iporã do Oeste</t>
  </si>
  <si>
    <t>4208401</t>
  </si>
  <si>
    <t xml:space="preserve">      Itapiranga</t>
  </si>
  <si>
    <t>4211009</t>
  </si>
  <si>
    <t xml:space="preserve">      Mondaí</t>
  </si>
  <si>
    <t>4212007</t>
  </si>
  <si>
    <t xml:space="preserve">      Palma Sola</t>
  </si>
  <si>
    <t>4212239</t>
  </si>
  <si>
    <t xml:space="preserve">      Paraíso</t>
  </si>
  <si>
    <t>4214151</t>
  </si>
  <si>
    <t xml:space="preserve">      Princesa</t>
  </si>
  <si>
    <t>4215075</t>
  </si>
  <si>
    <t xml:space="preserve">      Riqueza</t>
  </si>
  <si>
    <t>4215208</t>
  </si>
  <si>
    <t xml:space="preserve">      Romelândia</t>
  </si>
  <si>
    <t>4215554</t>
  </si>
  <si>
    <t xml:space="preserve">      Santa Helena</t>
  </si>
  <si>
    <t>4216255</t>
  </si>
  <si>
    <t xml:space="preserve">      São João do Oeste</t>
  </si>
  <si>
    <t>4216701</t>
  </si>
  <si>
    <t xml:space="preserve">      São José do Cedro</t>
  </si>
  <si>
    <t>4217204</t>
  </si>
  <si>
    <t xml:space="preserve">      São Miguel do Oeste</t>
  </si>
  <si>
    <t>4218756</t>
  </si>
  <si>
    <t xml:space="preserve">      Tunápolis</t>
  </si>
  <si>
    <t>42002</t>
  </si>
  <si>
    <t xml:space="preserve">    Chapecó</t>
  </si>
  <si>
    <t>4200507</t>
  </si>
  <si>
    <t xml:space="preserve">      Águas de Chapecó</t>
  </si>
  <si>
    <t>4200556</t>
  </si>
  <si>
    <t xml:space="preserve">      Águas Frias</t>
  </si>
  <si>
    <t>4202578</t>
  </si>
  <si>
    <t xml:space="preserve">      Bom Jesus do Oeste</t>
  </si>
  <si>
    <t>4203105</t>
  </si>
  <si>
    <t xml:space="preserve">      Caibi</t>
  </si>
  <si>
    <t>4203501</t>
  </si>
  <si>
    <t xml:space="preserve">      Campo Erê</t>
  </si>
  <si>
    <t>4204103</t>
  </si>
  <si>
    <t xml:space="preserve">      Caxambu do Sul</t>
  </si>
  <si>
    <t>4204202</t>
  </si>
  <si>
    <t xml:space="preserve">      Chapecó</t>
  </si>
  <si>
    <t>4204350</t>
  </si>
  <si>
    <t xml:space="preserve">      Cordilheira Alta</t>
  </si>
  <si>
    <t>4204400</t>
  </si>
  <si>
    <t xml:space="preserve">      Coronel Freitas</t>
  </si>
  <si>
    <t>4204707</t>
  </si>
  <si>
    <t xml:space="preserve">      Cunha Porã</t>
  </si>
  <si>
    <t>4204756</t>
  </si>
  <si>
    <t xml:space="preserve">      Cunhataí</t>
  </si>
  <si>
    <t>4205357</t>
  </si>
  <si>
    <t xml:space="preserve">      Flor do Sertão</t>
  </si>
  <si>
    <t>4205431</t>
  </si>
  <si>
    <t xml:space="preserve">      Formosa do Sul</t>
  </si>
  <si>
    <t>4206652</t>
  </si>
  <si>
    <t xml:space="preserve">      Guatambú</t>
  </si>
  <si>
    <t>4207759</t>
  </si>
  <si>
    <t xml:space="preserve">      Iraceminha</t>
  </si>
  <si>
    <t>4207858</t>
  </si>
  <si>
    <t xml:space="preserve">      Irati</t>
  </si>
  <si>
    <t>4208955</t>
  </si>
  <si>
    <t xml:space="preserve">      Jardinópolis</t>
  </si>
  <si>
    <t>4210506</t>
  </si>
  <si>
    <t xml:space="preserve">      Maravilha</t>
  </si>
  <si>
    <t>4210902</t>
  </si>
  <si>
    <t xml:space="preserve">      Modelo</t>
  </si>
  <si>
    <t>4211405</t>
  </si>
  <si>
    <t xml:space="preserve">      Nova Erechim</t>
  </si>
  <si>
    <t>4211454</t>
  </si>
  <si>
    <t xml:space="preserve">      Nova Itaberaba</t>
  </si>
  <si>
    <t>4211652</t>
  </si>
  <si>
    <t xml:space="preserve">      Novo Horizonte</t>
  </si>
  <si>
    <t>4212106</t>
  </si>
  <si>
    <t xml:space="preserve">      Palmitos</t>
  </si>
  <si>
    <t>4212908</t>
  </si>
  <si>
    <t xml:space="preserve">      Pinhalzinho</t>
  </si>
  <si>
    <t>4213153</t>
  </si>
  <si>
    <t xml:space="preserve">      Planalto Alegre</t>
  </si>
  <si>
    <t>4214201</t>
  </si>
  <si>
    <t xml:space="preserve">      Quilombo</t>
  </si>
  <si>
    <t>4215356</t>
  </si>
  <si>
    <t xml:space="preserve">      Saltinho</t>
  </si>
  <si>
    <t>4215687</t>
  </si>
  <si>
    <t xml:space="preserve">      Santa Terezinha do Progresso</t>
  </si>
  <si>
    <t>4215695</t>
  </si>
  <si>
    <t xml:space="preserve">      Santiago do Sul</t>
  </si>
  <si>
    <t>4215752</t>
  </si>
  <si>
    <t xml:space="preserve">      São Bernardino</t>
  </si>
  <si>
    <t>4216008</t>
  </si>
  <si>
    <t xml:space="preserve">      São Carlos</t>
  </si>
  <si>
    <t>4216909</t>
  </si>
  <si>
    <t xml:space="preserve">      São Lourenço do Oeste</t>
  </si>
  <si>
    <t>4217154</t>
  </si>
  <si>
    <t xml:space="preserve">      São Miguel da Boa Vista</t>
  </si>
  <si>
    <t>4217303</t>
  </si>
  <si>
    <t xml:space="preserve">      Saudades</t>
  </si>
  <si>
    <t>4217550</t>
  </si>
  <si>
    <t xml:space="preserve">      Serra Alta</t>
  </si>
  <si>
    <t>4217758</t>
  </si>
  <si>
    <t xml:space="preserve">      Sul Brasil</t>
  </si>
  <si>
    <t>4217956</t>
  </si>
  <si>
    <t xml:space="preserve">      Tigrinhos</t>
  </si>
  <si>
    <t>4218855</t>
  </si>
  <si>
    <t xml:space="preserve">      União do Oeste</t>
  </si>
  <si>
    <t>42003</t>
  </si>
  <si>
    <t xml:space="preserve">    Xanxerê</t>
  </si>
  <si>
    <t>4200101</t>
  </si>
  <si>
    <t xml:space="preserve">      Abelardo Luz</t>
  </si>
  <si>
    <t>4202537</t>
  </si>
  <si>
    <t xml:space="preserve">      Bom Jesus</t>
  </si>
  <si>
    <t>4204459</t>
  </si>
  <si>
    <t xml:space="preserve">      Coronel Martins</t>
  </si>
  <si>
    <t>4205175</t>
  </si>
  <si>
    <t xml:space="preserve">      Entre Rios</t>
  </si>
  <si>
    <t>4205308</t>
  </si>
  <si>
    <t xml:space="preserve">      Faxinal dos Guedes</t>
  </si>
  <si>
    <t>4205605</t>
  </si>
  <si>
    <t xml:space="preserve">      Galvão</t>
  </si>
  <si>
    <t>4207684</t>
  </si>
  <si>
    <t xml:space="preserve">      Ipuaçu</t>
  </si>
  <si>
    <t>4209177</t>
  </si>
  <si>
    <t xml:space="preserve">      Jupiá</t>
  </si>
  <si>
    <t>4209458</t>
  </si>
  <si>
    <t xml:space="preserve">      Lajeado Grande</t>
  </si>
  <si>
    <t>4210555</t>
  </si>
  <si>
    <t xml:space="preserve">      Marema</t>
  </si>
  <si>
    <t>4211850</t>
  </si>
  <si>
    <t xml:space="preserve">      Ouro Verde</t>
  </si>
  <si>
    <t>4212270</t>
  </si>
  <si>
    <t xml:space="preserve">      Passos Maia</t>
  </si>
  <si>
    <t>4213401</t>
  </si>
  <si>
    <t xml:space="preserve">      Ponte Serrada</t>
  </si>
  <si>
    <t>4216107</t>
  </si>
  <si>
    <t xml:space="preserve">      São Domingos</t>
  </si>
  <si>
    <t>4219101</t>
  </si>
  <si>
    <t xml:space="preserve">      Vargeão</t>
  </si>
  <si>
    <t>4219507</t>
  </si>
  <si>
    <t xml:space="preserve">      Xanxerê</t>
  </si>
  <si>
    <t>4219705</t>
  </si>
  <si>
    <t xml:space="preserve">      Xaxim</t>
  </si>
  <si>
    <t>42004</t>
  </si>
  <si>
    <t xml:space="preserve">    Joaçaba</t>
  </si>
  <si>
    <t>4200408</t>
  </si>
  <si>
    <t xml:space="preserve">      Água Doce</t>
  </si>
  <si>
    <t>4201604</t>
  </si>
  <si>
    <t xml:space="preserve">      Arroio Trinta</t>
  </si>
  <si>
    <t>4203006</t>
  </si>
  <si>
    <t xml:space="preserve">      Caçador</t>
  </si>
  <si>
    <t>4203154</t>
  </si>
  <si>
    <t xml:space="preserve">      Calmon</t>
  </si>
  <si>
    <t>4203907</t>
  </si>
  <si>
    <t xml:space="preserve">      Capinzal</t>
  </si>
  <si>
    <t>4204004</t>
  </si>
  <si>
    <t xml:space="preserve">      Catanduvas</t>
  </si>
  <si>
    <t>4205209</t>
  </si>
  <si>
    <t xml:space="preserve">      Erval Velho</t>
  </si>
  <si>
    <t>4205506</t>
  </si>
  <si>
    <t xml:space="preserve">      Fraiburgo</t>
  </si>
  <si>
    <t>4206702</t>
  </si>
  <si>
    <t xml:space="preserve">      Herval d'Oeste</t>
  </si>
  <si>
    <t>4206751</t>
  </si>
  <si>
    <t xml:space="preserve">      Ibiam</t>
  </si>
  <si>
    <t>4206801</t>
  </si>
  <si>
    <t xml:space="preserve">      Ibicaré</t>
  </si>
  <si>
    <t>4207577</t>
  </si>
  <si>
    <t xml:space="preserve">      Iomerê</t>
  </si>
  <si>
    <t>4208609</t>
  </si>
  <si>
    <t xml:space="preserve">      Jaborá</t>
  </si>
  <si>
    <t>4209003</t>
  </si>
  <si>
    <t xml:space="preserve">      Joaçaba</t>
  </si>
  <si>
    <t>4209201</t>
  </si>
  <si>
    <t xml:space="preserve">      Lacerdópolis</t>
  </si>
  <si>
    <t>4209706</t>
  </si>
  <si>
    <t xml:space="preserve">      Lebon Régis</t>
  </si>
  <si>
    <t>4210035</t>
  </si>
  <si>
    <t xml:space="preserve">      Luzerna</t>
  </si>
  <si>
    <t>4210050</t>
  </si>
  <si>
    <t xml:space="preserve">      Macieira</t>
  </si>
  <si>
    <t>4210704</t>
  </si>
  <si>
    <t xml:space="preserve">      Matos Costa</t>
  </si>
  <si>
    <t>4211801</t>
  </si>
  <si>
    <t xml:space="preserve">      Ouro</t>
  </si>
  <si>
    <t>4213005</t>
  </si>
  <si>
    <t xml:space="preserve">      Pinheiro Preto</t>
  </si>
  <si>
    <t>4214409</t>
  </si>
  <si>
    <t xml:space="preserve">      Rio das Antas</t>
  </si>
  <si>
    <t>4215406</t>
  </si>
  <si>
    <t xml:space="preserve">      Salto Veloso</t>
  </si>
  <si>
    <t>4217907</t>
  </si>
  <si>
    <t xml:space="preserve">      Tangará</t>
  </si>
  <si>
    <t>4218509</t>
  </si>
  <si>
    <t xml:space="preserve">      Treze Tílias</t>
  </si>
  <si>
    <t>4219176</t>
  </si>
  <si>
    <t xml:space="preserve">      Vargem Bonita</t>
  </si>
  <si>
    <t>4219309</t>
  </si>
  <si>
    <t xml:space="preserve">      Videira</t>
  </si>
  <si>
    <t>42005</t>
  </si>
  <si>
    <t xml:space="preserve">    Concórdia</t>
  </si>
  <si>
    <t>4200754</t>
  </si>
  <si>
    <t xml:space="preserve">      Alto Bela Vista</t>
  </si>
  <si>
    <t>4201273</t>
  </si>
  <si>
    <t xml:space="preserve">      Arabutã</t>
  </si>
  <si>
    <t>4201653</t>
  </si>
  <si>
    <t xml:space="preserve">      Arvoredo</t>
  </si>
  <si>
    <t>4204301</t>
  </si>
  <si>
    <t xml:space="preserve">      Concórdia</t>
  </si>
  <si>
    <t>4207601</t>
  </si>
  <si>
    <t xml:space="preserve">      Ipira</t>
  </si>
  <si>
    <t>4207700</t>
  </si>
  <si>
    <t xml:space="preserve">      Ipumirim</t>
  </si>
  <si>
    <t>4207809</t>
  </si>
  <si>
    <t xml:space="preserve">      Irani</t>
  </si>
  <si>
    <t>4208005</t>
  </si>
  <si>
    <t xml:space="preserve">      Itá</t>
  </si>
  <si>
    <t>4209854</t>
  </si>
  <si>
    <t xml:space="preserve">      Lindóia do Sul</t>
  </si>
  <si>
    <t>4211876</t>
  </si>
  <si>
    <t xml:space="preserve">      Paial</t>
  </si>
  <si>
    <t>4212601</t>
  </si>
  <si>
    <t xml:space="preserve">      Peritiba</t>
  </si>
  <si>
    <t>4213104</t>
  </si>
  <si>
    <t xml:space="preserve">      Piratuba</t>
  </si>
  <si>
    <t>4213906</t>
  </si>
  <si>
    <t xml:space="preserve">      Presidente Castello Branco</t>
  </si>
  <si>
    <t>4217501</t>
  </si>
  <si>
    <t xml:space="preserve">      Seara</t>
  </si>
  <si>
    <t>4219606</t>
  </si>
  <si>
    <t xml:space="preserve">      Xavantina</t>
  </si>
  <si>
    <t>4202</t>
  </si>
  <si>
    <t xml:space="preserve">  Norte Catarinense</t>
  </si>
  <si>
    <t>42006</t>
  </si>
  <si>
    <t xml:space="preserve">    Canoinhas</t>
  </si>
  <si>
    <t>4202131</t>
  </si>
  <si>
    <t xml:space="preserve">      Bela Vista do Toldo</t>
  </si>
  <si>
    <t>4203808</t>
  </si>
  <si>
    <t xml:space="preserve">      Canoinhas</t>
  </si>
  <si>
    <t>4207908</t>
  </si>
  <si>
    <t xml:space="preserve">      Irineópolis</t>
  </si>
  <si>
    <t>4208104</t>
  </si>
  <si>
    <t xml:space="preserve">      Itaiópolis</t>
  </si>
  <si>
    <t>4210100</t>
  </si>
  <si>
    <t xml:space="preserve">      Mafra</t>
  </si>
  <si>
    <t>4210308</t>
  </si>
  <si>
    <t xml:space="preserve">      Major Vieira</t>
  </si>
  <si>
    <t>4211108</t>
  </si>
  <si>
    <t xml:space="preserve">      Monte Castelo</t>
  </si>
  <si>
    <t>4212205</t>
  </si>
  <si>
    <t xml:space="preserve">      Papanduva</t>
  </si>
  <si>
    <t>4213609</t>
  </si>
  <si>
    <t xml:space="preserve">      Porto União</t>
  </si>
  <si>
    <t>4215679</t>
  </si>
  <si>
    <t xml:space="preserve">      Santa Terezinha</t>
  </si>
  <si>
    <t>4218251</t>
  </si>
  <si>
    <t xml:space="preserve">      Timbó Grande</t>
  </si>
  <si>
    <t>4218301</t>
  </si>
  <si>
    <t xml:space="preserve">      Três Barras</t>
  </si>
  <si>
    <t>42007</t>
  </si>
  <si>
    <t xml:space="preserve">    São Bento do Sul</t>
  </si>
  <si>
    <t>4203303</t>
  </si>
  <si>
    <t xml:space="preserve">      Campo Alegre</t>
  </si>
  <si>
    <t>4215000</t>
  </si>
  <si>
    <t xml:space="preserve">      Rio Negrinho</t>
  </si>
  <si>
    <t>4215802</t>
  </si>
  <si>
    <t xml:space="preserve">      São Bento do Sul</t>
  </si>
  <si>
    <t>42008</t>
  </si>
  <si>
    <t xml:space="preserve">    Joinville</t>
  </si>
  <si>
    <t>4201307</t>
  </si>
  <si>
    <t xml:space="preserve">      Araquari</t>
  </si>
  <si>
    <t>4202057</t>
  </si>
  <si>
    <t xml:space="preserve">      Balneário Barra do Sul</t>
  </si>
  <si>
    <t>4204509</t>
  </si>
  <si>
    <t xml:space="preserve">      Corupá</t>
  </si>
  <si>
    <t>4205803</t>
  </si>
  <si>
    <t xml:space="preserve">      Garuva</t>
  </si>
  <si>
    <t>4206504</t>
  </si>
  <si>
    <t xml:space="preserve">      Guaramirim</t>
  </si>
  <si>
    <t>4208450</t>
  </si>
  <si>
    <t xml:space="preserve">      Itapoá</t>
  </si>
  <si>
    <t>4208906</t>
  </si>
  <si>
    <t xml:space="preserve">      Jaraguá do Sul</t>
  </si>
  <si>
    <t>4209102</t>
  </si>
  <si>
    <t xml:space="preserve">      Joinville</t>
  </si>
  <si>
    <t>4210605</t>
  </si>
  <si>
    <t xml:space="preserve">      Massaranduba</t>
  </si>
  <si>
    <t>4216206</t>
  </si>
  <si>
    <t xml:space="preserve">      São Francisco do Sul</t>
  </si>
  <si>
    <t>4217402</t>
  </si>
  <si>
    <t xml:space="preserve">      Schroeder</t>
  </si>
  <si>
    <t>4203</t>
  </si>
  <si>
    <t xml:space="preserve">  Serrana</t>
  </si>
  <si>
    <t>42009</t>
  </si>
  <si>
    <t xml:space="preserve">    Curitibanos</t>
  </si>
  <si>
    <t>4200051</t>
  </si>
  <si>
    <t xml:space="preserve">      Abdon Batista</t>
  </si>
  <si>
    <t>4202875</t>
  </si>
  <si>
    <t xml:space="preserve">      Brunópolis</t>
  </si>
  <si>
    <t>4203600</t>
  </si>
  <si>
    <t xml:space="preserve">      Campos Novos</t>
  </si>
  <si>
    <t>4204806</t>
  </si>
  <si>
    <t xml:space="preserve">      Curitibanos</t>
  </si>
  <si>
    <t>4205555</t>
  </si>
  <si>
    <t xml:space="preserve">      Frei Rogério</t>
  </si>
  <si>
    <t>4211058</t>
  </si>
  <si>
    <t xml:space="preserve">      Monte Carlo</t>
  </si>
  <si>
    <t>4213302</t>
  </si>
  <si>
    <t xml:space="preserve">      Ponte Alta</t>
  </si>
  <si>
    <t>4213351</t>
  </si>
  <si>
    <t xml:space="preserve">      Ponte Alta do Norte</t>
  </si>
  <si>
    <t>4215505</t>
  </si>
  <si>
    <t xml:space="preserve">      Santa Cecília</t>
  </si>
  <si>
    <t>4216057</t>
  </si>
  <si>
    <t xml:space="preserve">      São Cristóvão do Sul</t>
  </si>
  <si>
    <t>4219150</t>
  </si>
  <si>
    <t xml:space="preserve">      Vargem</t>
  </si>
  <si>
    <t>4219853</t>
  </si>
  <si>
    <t xml:space="preserve">      Zortéa</t>
  </si>
  <si>
    <t>42010</t>
  </si>
  <si>
    <t xml:space="preserve">    Campos de Lages</t>
  </si>
  <si>
    <t>4201000</t>
  </si>
  <si>
    <t xml:space="preserve">      Anita Garibaldi</t>
  </si>
  <si>
    <t>4202438</t>
  </si>
  <si>
    <t xml:space="preserve">      Bocaina do Sul</t>
  </si>
  <si>
    <t>4202503</t>
  </si>
  <si>
    <t xml:space="preserve">      Bom Jardim da Serra</t>
  </si>
  <si>
    <t>4202602</t>
  </si>
  <si>
    <t xml:space="preserve">      Bom Retiro</t>
  </si>
  <si>
    <t>4203402</t>
  </si>
  <si>
    <t xml:space="preserve">      Campo Belo do Sul</t>
  </si>
  <si>
    <t>4203253</t>
  </si>
  <si>
    <t xml:space="preserve">      Capão Alto</t>
  </si>
  <si>
    <t>4204152</t>
  </si>
  <si>
    <t xml:space="preserve">      Celso Ramos</t>
  </si>
  <si>
    <t>4204178</t>
  </si>
  <si>
    <t xml:space="preserve">      Cerro Negro</t>
  </si>
  <si>
    <t>4204558</t>
  </si>
  <si>
    <t xml:space="preserve">      Correia Pinto</t>
  </si>
  <si>
    <t>4209300</t>
  </si>
  <si>
    <t xml:space="preserve">      Lages</t>
  </si>
  <si>
    <t>4211751</t>
  </si>
  <si>
    <t xml:space="preserve">      Otacílio Costa</t>
  </si>
  <si>
    <t>4211892</t>
  </si>
  <si>
    <t xml:space="preserve">      Painel</t>
  </si>
  <si>
    <t>4212056</t>
  </si>
  <si>
    <t xml:space="preserve">      Palmeira</t>
  </si>
  <si>
    <t>4215059</t>
  </si>
  <si>
    <t xml:space="preserve">      Rio Rufino</t>
  </si>
  <si>
    <t>4216503</t>
  </si>
  <si>
    <t xml:space="preserve">      São Joaquim</t>
  </si>
  <si>
    <t>4216800</t>
  </si>
  <si>
    <t xml:space="preserve">      São José do Cerrito</t>
  </si>
  <si>
    <t>4218905</t>
  </si>
  <si>
    <t xml:space="preserve">      Urubici</t>
  </si>
  <si>
    <t>4218954</t>
  </si>
  <si>
    <t xml:space="preserve">      Urupema</t>
  </si>
  <si>
    <t>4204</t>
  </si>
  <si>
    <t xml:space="preserve">  Vale do Itajaí</t>
  </si>
  <si>
    <t>42011</t>
  </si>
  <si>
    <t xml:space="preserve">    Rio do Sul</t>
  </si>
  <si>
    <t>4200309</t>
  </si>
  <si>
    <t xml:space="preserve">      Agronômica</t>
  </si>
  <si>
    <t>4201901</t>
  </si>
  <si>
    <t xml:space="preserve">      Aurora</t>
  </si>
  <si>
    <t>4202859</t>
  </si>
  <si>
    <t xml:space="preserve">      Braço do Trombudo</t>
  </si>
  <si>
    <t>4205100</t>
  </si>
  <si>
    <t xml:space="preserve">      Dona Emma</t>
  </si>
  <si>
    <t>4206900</t>
  </si>
  <si>
    <t xml:space="preserve">      Ibirama</t>
  </si>
  <si>
    <t>4209151</t>
  </si>
  <si>
    <t xml:space="preserve">      José Boiteux</t>
  </si>
  <si>
    <t>4209508</t>
  </si>
  <si>
    <t xml:space="preserve">      Laurentino</t>
  </si>
  <si>
    <t>4209904</t>
  </si>
  <si>
    <t xml:space="preserve">      Lontras</t>
  </si>
  <si>
    <t>4210852</t>
  </si>
  <si>
    <t xml:space="preserve">      Mirim Doce</t>
  </si>
  <si>
    <t>4213708</t>
  </si>
  <si>
    <t xml:space="preserve">      Pouso Redondo</t>
  </si>
  <si>
    <t>4214003</t>
  </si>
  <si>
    <t xml:space="preserve">      Presidente Getúlio</t>
  </si>
  <si>
    <t>4214102</t>
  </si>
  <si>
    <t xml:space="preserve">      Presidente Nereu</t>
  </si>
  <si>
    <t>4214508</t>
  </si>
  <si>
    <t xml:space="preserve">      Rio do Campo</t>
  </si>
  <si>
    <t>4214607</t>
  </si>
  <si>
    <t xml:space="preserve">      Rio do Oeste</t>
  </si>
  <si>
    <t>4214805</t>
  </si>
  <si>
    <t xml:space="preserve">      Rio do Sul</t>
  </si>
  <si>
    <t>4215307</t>
  </si>
  <si>
    <t xml:space="preserve">      Salete</t>
  </si>
  <si>
    <t>4217808</t>
  </si>
  <si>
    <t xml:space="preserve">      Taió</t>
  </si>
  <si>
    <t>4218608</t>
  </si>
  <si>
    <t xml:space="preserve">      Trombudo Central</t>
  </si>
  <si>
    <t>4219358</t>
  </si>
  <si>
    <t xml:space="preserve">      Vitor Meireles</t>
  </si>
  <si>
    <t>4219408</t>
  </si>
  <si>
    <t xml:space="preserve">      Witmarsum</t>
  </si>
  <si>
    <t>42012</t>
  </si>
  <si>
    <t xml:space="preserve">    Blumenau</t>
  </si>
  <si>
    <t>4201257</t>
  </si>
  <si>
    <t xml:space="preserve">      Apiúna</t>
  </si>
  <si>
    <t>4201703</t>
  </si>
  <si>
    <t xml:space="preserve">      Ascurra</t>
  </si>
  <si>
    <t>4202206</t>
  </si>
  <si>
    <t xml:space="preserve">      Benedito Novo</t>
  </si>
  <si>
    <t>4202404</t>
  </si>
  <si>
    <t xml:space="preserve">      Blumenau</t>
  </si>
  <si>
    <t>4202701</t>
  </si>
  <si>
    <t xml:space="preserve">      Botuverá</t>
  </si>
  <si>
    <t>4202909</t>
  </si>
  <si>
    <t xml:space="preserve">      Brusque</t>
  </si>
  <si>
    <t>4205159</t>
  </si>
  <si>
    <t xml:space="preserve">      Doutor Pedrinho</t>
  </si>
  <si>
    <t>4205902</t>
  </si>
  <si>
    <t xml:space="preserve">      Gaspar</t>
  </si>
  <si>
    <t>4206306</t>
  </si>
  <si>
    <t xml:space="preserve">      Guabiruba</t>
  </si>
  <si>
    <t>4207502</t>
  </si>
  <si>
    <t xml:space="preserve">      Indaial</t>
  </si>
  <si>
    <t>4210001</t>
  </si>
  <si>
    <t xml:space="preserve">      Luiz Alves</t>
  </si>
  <si>
    <t>4213203</t>
  </si>
  <si>
    <t xml:space="preserve">      Pomerode</t>
  </si>
  <si>
    <t>4214706</t>
  </si>
  <si>
    <t xml:space="preserve">      Rio dos Cedros</t>
  </si>
  <si>
    <t>4215109</t>
  </si>
  <si>
    <t xml:space="preserve">      Rodeio</t>
  </si>
  <si>
    <t>4218202</t>
  </si>
  <si>
    <t xml:space="preserve">      Timbó</t>
  </si>
  <si>
    <t>42013</t>
  </si>
  <si>
    <t xml:space="preserve">    Itajaí</t>
  </si>
  <si>
    <t>4202008</t>
  </si>
  <si>
    <t xml:space="preserve">      Balneário Camboriú</t>
  </si>
  <si>
    <t>...</t>
  </si>
  <si>
    <t>4212809</t>
  </si>
  <si>
    <t xml:space="preserve">      Balneário Piçarras</t>
  </si>
  <si>
    <t>4202107</t>
  </si>
  <si>
    <t xml:space="preserve">      Barra Velha</t>
  </si>
  <si>
    <t>4202453</t>
  </si>
  <si>
    <t xml:space="preserve">      Bombinhas</t>
  </si>
  <si>
    <t>4203204</t>
  </si>
  <si>
    <t xml:space="preserve">      Camboriú</t>
  </si>
  <si>
    <t>4207106</t>
  </si>
  <si>
    <t xml:space="preserve">      Ilhota</t>
  </si>
  <si>
    <t>4208203</t>
  </si>
  <si>
    <t xml:space="preserve">      Itajaí</t>
  </si>
  <si>
    <t>4208302</t>
  </si>
  <si>
    <t xml:space="preserve">      Itapema</t>
  </si>
  <si>
    <t>4211306</t>
  </si>
  <si>
    <t xml:space="preserve">      Navegantes</t>
  </si>
  <si>
    <t>4212502</t>
  </si>
  <si>
    <t xml:space="preserve">      Penha</t>
  </si>
  <si>
    <t>4213500</t>
  </si>
  <si>
    <t xml:space="preserve">      Porto Belo</t>
  </si>
  <si>
    <t>4216354</t>
  </si>
  <si>
    <t xml:space="preserve">      São João do Itaperiú</t>
  </si>
  <si>
    <t>42014</t>
  </si>
  <si>
    <t xml:space="preserve">    Ituporanga</t>
  </si>
  <si>
    <t>4200200</t>
  </si>
  <si>
    <t xml:space="preserve">      Agrolândia</t>
  </si>
  <si>
    <t>4201802</t>
  </si>
  <si>
    <t xml:space="preserve">      Atalanta</t>
  </si>
  <si>
    <t>4204194</t>
  </si>
  <si>
    <t xml:space="preserve">      Chapadão do Lageado</t>
  </si>
  <si>
    <t>4207403</t>
  </si>
  <si>
    <t xml:space="preserve">      Imbuia</t>
  </si>
  <si>
    <t>4208500</t>
  </si>
  <si>
    <t xml:space="preserve">      Ituporanga</t>
  </si>
  <si>
    <t>4212700</t>
  </si>
  <si>
    <t xml:space="preserve">      Petrolândia</t>
  </si>
  <si>
    <t>4219200</t>
  </si>
  <si>
    <t xml:space="preserve">      Vidal Ramos</t>
  </si>
  <si>
    <t>4205</t>
  </si>
  <si>
    <t xml:space="preserve">  Grande Florianópolis</t>
  </si>
  <si>
    <t>42015</t>
  </si>
  <si>
    <t xml:space="preserve">    Tijucas</t>
  </si>
  <si>
    <t>4200903</t>
  </si>
  <si>
    <t xml:space="preserve">      Angelina</t>
  </si>
  <si>
    <t>4203709</t>
  </si>
  <si>
    <t xml:space="preserve">      Canelinha</t>
  </si>
  <si>
    <t>4209805</t>
  </si>
  <si>
    <t xml:space="preserve">      Leoberto Leal</t>
  </si>
  <si>
    <t>4210209</t>
  </si>
  <si>
    <t xml:space="preserve">      Major Gercino</t>
  </si>
  <si>
    <t>4211504</t>
  </si>
  <si>
    <t xml:space="preserve">      Nova Trento</t>
  </si>
  <si>
    <t>4216305</t>
  </si>
  <si>
    <t xml:space="preserve">      São João Batista</t>
  </si>
  <si>
    <t>4218004</t>
  </si>
  <si>
    <t xml:space="preserve">      Tijucas</t>
  </si>
  <si>
    <t>42016</t>
  </si>
  <si>
    <t xml:space="preserve">    Florianópolis</t>
  </si>
  <si>
    <t>4201208</t>
  </si>
  <si>
    <t xml:space="preserve">      Antônio Carlos</t>
  </si>
  <si>
    <t>4202305</t>
  </si>
  <si>
    <t xml:space="preserve">      Biguaçu</t>
  </si>
  <si>
    <t>4205407</t>
  </si>
  <si>
    <t xml:space="preserve">      Florianópolis</t>
  </si>
  <si>
    <t>4206009</t>
  </si>
  <si>
    <t xml:space="preserve">      Governador Celso Ramos</t>
  </si>
  <si>
    <t>4211900</t>
  </si>
  <si>
    <t xml:space="preserve">      Palhoça</t>
  </si>
  <si>
    <t>4212304</t>
  </si>
  <si>
    <t xml:space="preserve">      Paulo Lopes</t>
  </si>
  <si>
    <t>4215703</t>
  </si>
  <si>
    <t xml:space="preserve">      Santo Amaro da Imperatriz</t>
  </si>
  <si>
    <t>4216602</t>
  </si>
  <si>
    <t xml:space="preserve">      São José</t>
  </si>
  <si>
    <t>4217253</t>
  </si>
  <si>
    <t xml:space="preserve">      São Pedro de Alcântara</t>
  </si>
  <si>
    <t>42017</t>
  </si>
  <si>
    <t xml:space="preserve">    Tabuleiro</t>
  </si>
  <si>
    <t>4200606</t>
  </si>
  <si>
    <t xml:space="preserve">      Águas Mornas</t>
  </si>
  <si>
    <t>4200705</t>
  </si>
  <si>
    <t xml:space="preserve">      Alfredo Wagner</t>
  </si>
  <si>
    <t>4201109</t>
  </si>
  <si>
    <t xml:space="preserve">      Anitápolis</t>
  </si>
  <si>
    <t>4214300</t>
  </si>
  <si>
    <t xml:space="preserve">      Rancho Queimado</t>
  </si>
  <si>
    <t>4215901</t>
  </si>
  <si>
    <t xml:space="preserve">      São Bonifácio</t>
  </si>
  <si>
    <t>4206</t>
  </si>
  <si>
    <t xml:space="preserve">  Sul Catarinense</t>
  </si>
  <si>
    <t>42018</t>
  </si>
  <si>
    <t xml:space="preserve">    Tubarão</t>
  </si>
  <si>
    <t>4201505</t>
  </si>
  <si>
    <t xml:space="preserve">      Armazém</t>
  </si>
  <si>
    <t>4202800</t>
  </si>
  <si>
    <t xml:space="preserve">      Braço do Norte</t>
  </si>
  <si>
    <t>4203956</t>
  </si>
  <si>
    <t xml:space="preserve">      Capivari de Baixo</t>
  </si>
  <si>
    <t>4205704</t>
  </si>
  <si>
    <t xml:space="preserve">      Garopaba</t>
  </si>
  <si>
    <t>4206108</t>
  </si>
  <si>
    <t xml:space="preserve">      Grão-Pará</t>
  </si>
  <si>
    <t>4206207</t>
  </si>
  <si>
    <t xml:space="preserve">      Gravatal</t>
  </si>
  <si>
    <t>4207205</t>
  </si>
  <si>
    <t xml:space="preserve">      Imaruí</t>
  </si>
  <si>
    <t>4207304</t>
  </si>
  <si>
    <t xml:space="preserve">      Imbituba</t>
  </si>
  <si>
    <t>4208807</t>
  </si>
  <si>
    <t xml:space="preserve">      Jaguaruna</t>
  </si>
  <si>
    <t>4209409</t>
  </si>
  <si>
    <t xml:space="preserve">      Laguna</t>
  </si>
  <si>
    <t>4211702</t>
  </si>
  <si>
    <t xml:space="preserve">      Orleans</t>
  </si>
  <si>
    <t>4212403</t>
  </si>
  <si>
    <t xml:space="preserve">      Pedras Grandes</t>
  </si>
  <si>
    <t>4212650</t>
  </si>
  <si>
    <t xml:space="preserve">      Pescaria Brava</t>
  </si>
  <si>
    <t>4214904</t>
  </si>
  <si>
    <t xml:space="preserve">      Rio Fortuna</t>
  </si>
  <si>
    <t>4215455</t>
  </si>
  <si>
    <t xml:space="preserve">      Sangão</t>
  </si>
  <si>
    <t>4215604</t>
  </si>
  <si>
    <t xml:space="preserve">      Santa Rosa de Lima</t>
  </si>
  <si>
    <t>4217006</t>
  </si>
  <si>
    <t xml:space="preserve">      São Ludgero</t>
  </si>
  <si>
    <t>4217105</t>
  </si>
  <si>
    <t xml:space="preserve">      São Martinho</t>
  </si>
  <si>
    <t>4218400</t>
  </si>
  <si>
    <t xml:space="preserve">      Treze de Maio</t>
  </si>
  <si>
    <t>4218707</t>
  </si>
  <si>
    <t xml:space="preserve">      Tubarão</t>
  </si>
  <si>
    <t>42019</t>
  </si>
  <si>
    <t xml:space="preserve">    Criciúma</t>
  </si>
  <si>
    <t>4220000</t>
  </si>
  <si>
    <t xml:space="preserve">      Balneário Rincão</t>
  </si>
  <si>
    <t>4204251</t>
  </si>
  <si>
    <t xml:space="preserve">      Cocal do Sul</t>
  </si>
  <si>
    <t>4204608</t>
  </si>
  <si>
    <t xml:space="preserve">      Criciúma</t>
  </si>
  <si>
    <t>4205456</t>
  </si>
  <si>
    <t xml:space="preserve">      Forquilhinha</t>
  </si>
  <si>
    <t>4207007</t>
  </si>
  <si>
    <t xml:space="preserve">      Içara</t>
  </si>
  <si>
    <t>4209607</t>
  </si>
  <si>
    <t xml:space="preserve">      Lauro Müller</t>
  </si>
  <si>
    <t>4211207</t>
  </si>
  <si>
    <t xml:space="preserve">      Morro da Fumaça</t>
  </si>
  <si>
    <t>4211603</t>
  </si>
  <si>
    <t xml:space="preserve">      Nova Veneza</t>
  </si>
  <si>
    <t>4217600</t>
  </si>
  <si>
    <t xml:space="preserve">      Siderópolis</t>
  </si>
  <si>
    <t>4218350</t>
  </si>
  <si>
    <t xml:space="preserve">      Treviso</t>
  </si>
  <si>
    <t>4219002</t>
  </si>
  <si>
    <t xml:space="preserve">      Urussanga</t>
  </si>
  <si>
    <t>42020</t>
  </si>
  <si>
    <t xml:space="preserve">    Araranguá</t>
  </si>
  <si>
    <t>4201406</t>
  </si>
  <si>
    <t xml:space="preserve">      Araranguá</t>
  </si>
  <si>
    <t>4201950</t>
  </si>
  <si>
    <t xml:space="preserve">      Balneário Arroio do Silva</t>
  </si>
  <si>
    <t>4202073</t>
  </si>
  <si>
    <t xml:space="preserve">      Balneário Gaivota</t>
  </si>
  <si>
    <t>4205191</t>
  </si>
  <si>
    <t xml:space="preserve">      Ermo</t>
  </si>
  <si>
    <t>4208708</t>
  </si>
  <si>
    <t xml:space="preserve">      Jacinto Machado</t>
  </si>
  <si>
    <t>4210407</t>
  </si>
  <si>
    <t xml:space="preserve">      Maracajá</t>
  </si>
  <si>
    <t>4210803</t>
  </si>
  <si>
    <t xml:space="preserve">      Meleiro</t>
  </si>
  <si>
    <t>4211256</t>
  </si>
  <si>
    <t xml:space="preserve">      Morro Grande</t>
  </si>
  <si>
    <t>4212254</t>
  </si>
  <si>
    <t xml:space="preserve">      Passo de Torres</t>
  </si>
  <si>
    <t>4213807</t>
  </si>
  <si>
    <t xml:space="preserve">      Praia Grande</t>
  </si>
  <si>
    <t>4215653</t>
  </si>
  <si>
    <t xml:space="preserve">      Santa Rosa do Sul</t>
  </si>
  <si>
    <t>4216404</t>
  </si>
  <si>
    <t xml:space="preserve">      São João do Sul</t>
  </si>
  <si>
    <t>4217709</t>
  </si>
  <si>
    <t xml:space="preserve">      Sombrio</t>
  </si>
  <si>
    <t>4218103</t>
  </si>
  <si>
    <t xml:space="preserve">      Timbé do Sul</t>
  </si>
  <si>
    <t>4218806</t>
  </si>
  <si>
    <t xml:space="preserve">      Turvo</t>
  </si>
  <si>
    <t>Produção em TONELADAS</t>
  </si>
  <si>
    <t>Resíduo de milho</t>
  </si>
  <si>
    <t>Resíduo de feijao</t>
  </si>
  <si>
    <t>Resíduo de Arroz</t>
  </si>
  <si>
    <t>Resíduo de TRigo</t>
  </si>
  <si>
    <t>Resíduo de soja</t>
  </si>
  <si>
    <t>RA2020</t>
  </si>
  <si>
    <t>PA2020</t>
  </si>
  <si>
    <t>PF2020</t>
  </si>
  <si>
    <t>RF2020</t>
  </si>
  <si>
    <t>PM2020</t>
  </si>
  <si>
    <t>RM2020</t>
  </si>
  <si>
    <t>PS2020</t>
  </si>
  <si>
    <t>RS2020</t>
  </si>
  <si>
    <t>PT2020</t>
  </si>
  <si>
    <t>RT2020</t>
  </si>
  <si>
    <t>PA2021</t>
  </si>
  <si>
    <t>RA2021</t>
  </si>
  <si>
    <t>PF2021</t>
  </si>
  <si>
    <t>RF2021</t>
  </si>
  <si>
    <t>PM2021</t>
  </si>
  <si>
    <t>RM2021</t>
  </si>
  <si>
    <t>PS2021</t>
  </si>
  <si>
    <t>RS2021</t>
  </si>
  <si>
    <t>PT2021</t>
  </si>
  <si>
    <t>RT2021</t>
  </si>
  <si>
    <t>PA2022</t>
  </si>
  <si>
    <t>RA2022</t>
  </si>
  <si>
    <t>PF2022</t>
  </si>
  <si>
    <t>RF2022</t>
  </si>
  <si>
    <t>PM2022</t>
  </si>
  <si>
    <t>RM2022</t>
  </si>
  <si>
    <t>PS2022</t>
  </si>
  <si>
    <t>RS2022</t>
  </si>
  <si>
    <t>PT2022</t>
  </si>
  <si>
    <t>RT2022</t>
  </si>
  <si>
    <t>PA2023</t>
  </si>
  <si>
    <t>RA2023</t>
  </si>
  <si>
    <t>PF2023</t>
  </si>
  <si>
    <t>RF2023</t>
  </si>
  <si>
    <t>PM2023</t>
  </si>
  <si>
    <t>RM2023</t>
  </si>
  <si>
    <t>PS2023</t>
  </si>
  <si>
    <t>RS2023</t>
  </si>
  <si>
    <t>PT2023</t>
  </si>
  <si>
    <t>RT2023</t>
  </si>
  <si>
    <t>PA2024</t>
  </si>
  <si>
    <t>RA2024</t>
  </si>
  <si>
    <t>PF2024</t>
  </si>
  <si>
    <t>RF2024</t>
  </si>
  <si>
    <t>PM2024</t>
  </si>
  <si>
    <t>RM2024</t>
  </si>
  <si>
    <t>PS2024</t>
  </si>
  <si>
    <t>RS2024</t>
  </si>
  <si>
    <t>PT2024</t>
  </si>
  <si>
    <t>RT2024</t>
  </si>
  <si>
    <t>Produção Arroz (em casca)</t>
  </si>
  <si>
    <t>Produção Feijão (em grão)</t>
  </si>
  <si>
    <t>Produção Milho (em grão)</t>
  </si>
  <si>
    <t>Produção Soja (em grão)</t>
  </si>
  <si>
    <t>Produção Trigo (em grão)</t>
  </si>
  <si>
    <t>Sigla</t>
  </si>
  <si>
    <t>Geocod</t>
  </si>
  <si>
    <t>nome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</si>
</sst>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13" x14ac:knownFonts="1">
    <font>
      <sz val="11"/>
      <color theme="1"/>
      <name val="Calibri"/>
      <family val="2"/>
      <scheme val="minor"/>
    </font>
    <font>
      <sz val="8"/>
      <color rgb="FF333333"/>
      <name val="Arial"/>
      <family val="2"/>
    </font>
    <font>
      <b/>
      <sz val="10"/>
      <color rgb="FF333333"/>
      <name val="Arial"/>
      <family val="2"/>
    </font>
    <font>
      <b/>
      <sz val="8"/>
      <color rgb="FF333333"/>
      <name val="Arial"/>
      <family val="2"/>
    </font>
    <font>
      <u/>
      <sz val="11"/>
      <color theme="10"/>
      <name val="Calibri"/>
      <family val="2"/>
      <scheme val="minor"/>
    </font>
    <font>
      <sz val="10"/>
      <color rgb="FF0F1115"/>
      <name val="Segoe UI"/>
      <family val="2"/>
    </font>
    <font>
      <sz val="9"/>
      <color theme="1"/>
      <name val="Segoe UI"/>
      <family val="2"/>
    </font>
    <font>
      <sz val="9"/>
      <color theme="1"/>
      <name val="Segoe UI"/>
      <family val="2"/>
    </font>
    <font>
      <sz val="9"/>
      <color theme="1"/>
      <name val="Segoe UI"/>
      <family val="2"/>
    </font>
    <font>
      <b/>
      <sz val="12"/>
      <color rgb="FF0F1115"/>
      <name val="Segoe UI"/>
      <family val="2"/>
    </font>
    <font>
      <sz val="10"/>
      <color rgb="FF0F1115"/>
      <name val="Segoe UI"/>
      <family val="2"/>
    </font>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4" fillId="0" borderId="0" applyNumberFormat="0" applyFill="0" applyBorder="0" applyAlignment="0" applyProtection="0"/>
    <xf numFmtId="43" fontId="11" fillId="0" borderId="0" applyFont="0" applyFill="0" applyBorder="0" applyAlignment="0" applyProtection="0"/>
  </cellStyleXfs>
  <cellXfs count="18">
    <xf numFmtId="0" fontId="0" fillId="0" borderId="0" xfId="0"/>
    <xf numFmtId="0" fontId="2" fillId="0" borderId="0" xfId="0" applyFont="1" applyAlignment="1">
      <alignment vertical="center" wrapText="1"/>
    </xf>
    <xf numFmtId="0" fontId="1" fillId="0" borderId="0" xfId="0" applyFont="1" applyAlignment="1">
      <alignment horizontal="left" vertical="center" wrapText="1" indent="1"/>
    </xf>
    <xf numFmtId="0" fontId="4" fillId="0" borderId="0" xfId="1" applyAlignment="1">
      <alignment horizontal="left" vertical="center" wrapText="1" indent="1"/>
    </xf>
    <xf numFmtId="0" fontId="2" fillId="0" borderId="0" xfId="0" applyFont="1" applyAlignment="1">
      <alignment horizontal="left" vertical="center" wrapText="1" indent="1"/>
    </xf>
    <xf numFmtId="0" fontId="6" fillId="0" borderId="0" xfId="0" applyFont="1" applyAlignment="1">
      <alignment horizontal="left" vertical="center" wrapText="1" indent="1"/>
    </xf>
    <xf numFmtId="0" fontId="8" fillId="0" borderId="0" xfId="0" applyFont="1" applyAlignment="1">
      <alignment horizontal="left" vertical="center" wrapText="1" indent="1"/>
    </xf>
    <xf numFmtId="0" fontId="7" fillId="0" borderId="0" xfId="0" applyFont="1" applyAlignment="1">
      <alignment horizontal="left" vertical="center" wrapText="1" indent="1"/>
    </xf>
    <xf numFmtId="0" fontId="9" fillId="0" borderId="0" xfId="0" applyFont="1" applyAlignment="1">
      <alignment vertical="center"/>
    </xf>
    <xf numFmtId="0" fontId="10" fillId="0" borderId="0" xfId="0" applyFont="1" applyAlignment="1">
      <alignment vertical="center"/>
    </xf>
    <xf numFmtId="0" fontId="4" fillId="0" borderId="0" xfId="1" applyAlignment="1">
      <alignment horizontal="left" vertical="center"/>
    </xf>
    <xf numFmtId="0" fontId="10" fillId="0" borderId="0" xfId="0" applyFont="1" applyAlignment="1">
      <alignment horizontal="left" vertical="center"/>
    </xf>
    <xf numFmtId="1" fontId="0" fillId="0" borderId="0" xfId="0" applyNumberFormat="1"/>
    <xf numFmtId="1" fontId="0" fillId="0" borderId="0" xfId="2" applyNumberFormat="1" applyFont="1"/>
    <xf numFmtId="0" fontId="8" fillId="0" borderId="0" xfId="0" applyFont="1" applyAlignment="1">
      <alignment horizontal="left" vertical="center" wrapText="1" indent="1"/>
    </xf>
    <xf numFmtId="0" fontId="7" fillId="0" borderId="0" xfId="0" applyFont="1" applyAlignment="1">
      <alignment horizontal="left" vertical="center" wrapText="1" indent="1"/>
    </xf>
    <xf numFmtId="0" fontId="0" fillId="0" borderId="0" xfId="2" applyNumberFormat="1" applyFont="1"/>
    <xf numFmtId="2" fontId="0" fillId="0" borderId="0" xfId="2" applyNumberFormat="1" applyFont="1"/>
  </cellXfs>
  <cellStyles count="3">
    <cellStyle name="Hiperlink" xfId="1" builtinId="8"/>
    <cellStyle name="Normal" xfId="0" builtinId="0"/>
    <cellStyle name="Vírgula" xfId="2" builtin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266700</xdr:colOff>
      <xdr:row>0</xdr:row>
      <xdr:rowOff>45720</xdr:rowOff>
    </xdr:from>
    <xdr:to>
      <xdr:col>1</xdr:col>
      <xdr:colOff>5105819</xdr:colOff>
      <xdr:row>14</xdr:row>
      <xdr:rowOff>61232</xdr:rowOff>
    </xdr:to>
    <xdr:pic>
      <xdr:nvPicPr>
        <xdr:cNvPr id="2" name="Imagem 1">
          <a:extLst>
            <a:ext uri="{FF2B5EF4-FFF2-40B4-BE49-F238E27FC236}">
              <a16:creationId xmlns:a16="http://schemas.microsoft.com/office/drawing/2014/main" id="{13441896-E00D-F95A-2EA1-4D7989A832EE}"/>
            </a:ext>
          </a:extLst>
        </xdr:cNvPr>
        <xdr:cNvPicPr>
          <a:picLocks noChangeAspect="1"/>
        </xdr:cNvPicPr>
      </xdr:nvPicPr>
      <xdr:blipFill>
        <a:blip xmlns:r="http://schemas.openxmlformats.org/officeDocument/2006/relationships" r:embed="rId1"/>
        <a:stretch>
          <a:fillRect/>
        </a:stretch>
      </xdr:blipFill>
      <xdr:spPr>
        <a:xfrm>
          <a:off x="8244840" y="45720"/>
          <a:ext cx="4839119" cy="3139712"/>
        </a:xfrm>
        <a:prstGeom prst="rect">
          <a:avLst/>
        </a:prstGeom>
      </xdr:spPr>
    </xdr:pic>
    <xdr:clientData/>
  </xdr:twoCellAnchor>
</xdr:wsDr>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sidra.ibge.gov.br/content/documentos/pam/AlteracoesUnidadesMedidaFrutas.pdf"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gmd.copernicus.org/preprints/gmd-2021-169/gmd-2021-169-manuscript-version4.pdf" TargetMode="External"/><Relationship Id="rId13" Type="http://schemas.openxmlformats.org/officeDocument/2006/relationships/hyperlink" Target="https://grokipedia.com/page/residue_to_product_ratio" TargetMode="External"/><Relationship Id="rId18" Type="http://schemas.openxmlformats.org/officeDocument/2006/relationships/hyperlink" Target="https://gmd.copernicus.org/preprints/gmd-2021-169/gmd-2021-169-manuscript-version4.pdf" TargetMode="External"/><Relationship Id="rId3" Type="http://schemas.openxmlformats.org/officeDocument/2006/relationships/hyperlink" Target="https://grokipedia.com/page/residue_to_product_ratio" TargetMode="External"/><Relationship Id="rId7" Type="http://schemas.openxmlformats.org/officeDocument/2006/relationships/hyperlink" Target="https://link.springer.com/article/10.1186/s42834-025-00261-1/tables/1" TargetMode="External"/><Relationship Id="rId12" Type="http://schemas.openxmlformats.org/officeDocument/2006/relationships/hyperlink" Target="https://pmc.ncbi.nlm.nih.gov/articles/PMC7295907/figure/F1/" TargetMode="External"/><Relationship Id="rId17" Type="http://schemas.openxmlformats.org/officeDocument/2006/relationships/hyperlink" Target="https://link.springer.com/article/10.1186/s42834-025-00261-1/tables/1" TargetMode="External"/><Relationship Id="rId2" Type="http://schemas.openxmlformats.org/officeDocument/2006/relationships/hyperlink" Target="https://pmc.ncbi.nlm.nih.gov/articles/PMC7295907/figure/F1/" TargetMode="External"/><Relationship Id="rId16" Type="http://schemas.openxmlformats.org/officeDocument/2006/relationships/hyperlink" Target="https://grokipedia.com/page/residue_to_product_ratio" TargetMode="External"/><Relationship Id="rId20" Type="http://schemas.openxmlformats.org/officeDocument/2006/relationships/hyperlink" Target="https://grokipedia.com/page/residue_to_product_ratio" TargetMode="External"/><Relationship Id="rId1" Type="http://schemas.openxmlformats.org/officeDocument/2006/relationships/hyperlink" Target="https://pmc.ncbi.nlm.nih.gov/articles/PMC9823944/table/molecules-28-00342-t001/" TargetMode="External"/><Relationship Id="rId6" Type="http://schemas.openxmlformats.org/officeDocument/2006/relationships/hyperlink" Target="https://grokipedia.com/page/residue_to_product_ratio" TargetMode="External"/><Relationship Id="rId11" Type="http://schemas.openxmlformats.org/officeDocument/2006/relationships/hyperlink" Target="https://pmc.ncbi.nlm.nih.gov/articles/PMC9823944/table/molecules-28-00342-t001/" TargetMode="External"/><Relationship Id="rId5" Type="http://schemas.openxmlformats.org/officeDocument/2006/relationships/hyperlink" Target="https://pmc.ncbi.nlm.nih.gov/articles/PMC9823944/table/molecules-28-00342-t001/" TargetMode="External"/><Relationship Id="rId15" Type="http://schemas.openxmlformats.org/officeDocument/2006/relationships/hyperlink" Target="https://pmc.ncbi.nlm.nih.gov/articles/PMC9823944/table/molecules-28-00342-t001/" TargetMode="External"/><Relationship Id="rId10" Type="http://schemas.openxmlformats.org/officeDocument/2006/relationships/hyperlink" Target="https://grokipedia.com/page/residue_to_product_ratio" TargetMode="External"/><Relationship Id="rId19" Type="http://schemas.openxmlformats.org/officeDocument/2006/relationships/hyperlink" Target="https://pmc.ncbi.nlm.nih.gov/articles/PMC9823944/table/molecules-28-00342-t001/" TargetMode="External"/><Relationship Id="rId4" Type="http://schemas.openxmlformats.org/officeDocument/2006/relationships/hyperlink" Target="https://link.springer.com/article/10.1186/s42834-025-00261-1/tables/1" TargetMode="External"/><Relationship Id="rId9" Type="http://schemas.openxmlformats.org/officeDocument/2006/relationships/hyperlink" Target="https://pmc.ncbi.nlm.nih.gov/articles/PMC9823944/table/molecules-28-00342-t001/" TargetMode="External"/><Relationship Id="rId14" Type="http://schemas.openxmlformats.org/officeDocument/2006/relationships/hyperlink" Target="https://link.springer.com/article/10.1186/s42834-025-00261-1/tables/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7AC29-A64C-4796-82E9-6072859FFE93}">
  <dimension ref="A1:B16"/>
  <sheetViews>
    <sheetView workbookViewId="0">
      <selection activeCell="B24" sqref="B24"/>
    </sheetView>
  </sheetViews>
  <sheetFormatPr defaultColWidth="116.33203125" defaultRowHeight="14.4" x14ac:dyDescent="0.3"/>
  <sheetData>
    <row r="1" spans="1:2" x14ac:dyDescent="0.3">
      <c r="A1" s="1" t="s">
        <v>0</v>
      </c>
    </row>
    <row r="2" spans="1:2" x14ac:dyDescent="0.3">
      <c r="A2" s="2" t="s">
        <v>1</v>
      </c>
    </row>
    <row r="3" spans="1:2" ht="20.399999999999999" x14ac:dyDescent="0.3">
      <c r="A3" s="2" t="s">
        <v>2</v>
      </c>
    </row>
    <row r="4" spans="1:2" ht="28.8" x14ac:dyDescent="0.3">
      <c r="A4" s="3" t="s">
        <v>3</v>
      </c>
    </row>
    <row r="5" spans="1:2" x14ac:dyDescent="0.3">
      <c r="A5" s="2" t="s">
        <v>4</v>
      </c>
    </row>
    <row r="6" spans="1:2" x14ac:dyDescent="0.3">
      <c r="A6" s="2" t="s">
        <v>5</v>
      </c>
    </row>
    <row r="7" spans="1:2" ht="20.399999999999999" x14ac:dyDescent="0.3">
      <c r="A7" s="2" t="s">
        <v>6</v>
      </c>
    </row>
    <row r="8" spans="1:2" ht="20.399999999999999" x14ac:dyDescent="0.3">
      <c r="A8" s="2" t="s">
        <v>7</v>
      </c>
    </row>
    <row r="9" spans="1:2" ht="20.399999999999999" x14ac:dyDescent="0.3">
      <c r="A9" s="2" t="s">
        <v>8</v>
      </c>
    </row>
    <row r="10" spans="1:2" x14ac:dyDescent="0.3">
      <c r="A10" s="2" t="s">
        <v>9</v>
      </c>
    </row>
    <row r="11" spans="1:2" x14ac:dyDescent="0.3">
      <c r="A11" s="2" t="s">
        <v>10</v>
      </c>
    </row>
    <row r="12" spans="1:2" x14ac:dyDescent="0.3">
      <c r="A12" s="2" t="s">
        <v>11</v>
      </c>
    </row>
    <row r="13" spans="1:2" ht="20.399999999999999" x14ac:dyDescent="0.3">
      <c r="A13" s="2" t="s">
        <v>12</v>
      </c>
    </row>
    <row r="14" spans="1:2" x14ac:dyDescent="0.3">
      <c r="A14" s="2" t="s">
        <v>13</v>
      </c>
    </row>
    <row r="15" spans="1:2" x14ac:dyDescent="0.3">
      <c r="A15" s="4" t="s">
        <v>14</v>
      </c>
    </row>
    <row r="16" spans="1:2" x14ac:dyDescent="0.3">
      <c r="B16" t="s">
        <v>15</v>
      </c>
    </row>
  </sheetData>
  <hyperlinks>
    <hyperlink ref="A4" r:id="rId1" display="https://sidra.ibge.gov.br/content/documentos/pam/AlteracoesUnidadesMedidaFrutas.pdf" xr:uid="{C582A5D1-D476-4E1E-8F30-1ED28A61897D}"/>
  </hyperlinks>
  <pageMargins left="0.511811024" right="0.511811024" top="0.78740157499999996" bottom="0.78740157499999996" header="0.31496062000000002" footer="0.31496062000000002"/>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9F4FD8-5553-4D4C-8488-6D1B1E8DE306}">
  <dimension ref="A2:D35"/>
  <sheetViews>
    <sheetView workbookViewId="0">
      <selection activeCell="D4" sqref="D4"/>
    </sheetView>
  </sheetViews>
  <sheetFormatPr defaultRowHeight="14.4" x14ac:dyDescent="0.3"/>
  <cols>
    <col min="2" max="2" width="38.77734375" customWidth="1"/>
    <col min="3" max="3" width="41.5546875" customWidth="1"/>
    <col min="4" max="4" width="63.33203125" customWidth="1"/>
  </cols>
  <sheetData>
    <row r="2" spans="1:4" x14ac:dyDescent="0.3">
      <c r="A2" s="5" t="s">
        <v>16</v>
      </c>
      <c r="B2" s="5" t="s">
        <v>17</v>
      </c>
      <c r="C2" s="5" t="s">
        <v>18</v>
      </c>
      <c r="D2" s="5" t="s">
        <v>19</v>
      </c>
    </row>
    <row r="3" spans="1:4" x14ac:dyDescent="0.3">
      <c r="A3" s="14" t="s">
        <v>20</v>
      </c>
      <c r="B3" s="15" t="s">
        <v>21</v>
      </c>
      <c r="C3" s="15" t="s">
        <v>22</v>
      </c>
      <c r="D3" s="3" t="s">
        <v>23</v>
      </c>
    </row>
    <row r="4" spans="1:4" ht="28.8" x14ac:dyDescent="0.3">
      <c r="A4" s="14"/>
      <c r="B4" s="15"/>
      <c r="C4" s="15"/>
      <c r="D4" s="3" t="s">
        <v>24</v>
      </c>
    </row>
    <row r="5" spans="1:4" ht="26.4" x14ac:dyDescent="0.3">
      <c r="A5" s="14"/>
      <c r="B5" s="15"/>
      <c r="C5" s="15"/>
      <c r="D5" s="7" t="s">
        <v>25</v>
      </c>
    </row>
    <row r="6" spans="1:4" x14ac:dyDescent="0.3">
      <c r="A6" s="14" t="s">
        <v>26</v>
      </c>
      <c r="B6" s="15" t="s">
        <v>27</v>
      </c>
      <c r="C6" s="15" t="s">
        <v>28</v>
      </c>
      <c r="D6" s="3" t="s">
        <v>29</v>
      </c>
    </row>
    <row r="7" spans="1:4" ht="28.8" x14ac:dyDescent="0.3">
      <c r="A7" s="14"/>
      <c r="B7" s="15"/>
      <c r="C7" s="15"/>
      <c r="D7" s="3" t="s">
        <v>30</v>
      </c>
    </row>
    <row r="8" spans="1:4" ht="26.4" x14ac:dyDescent="0.3">
      <c r="A8" s="14"/>
      <c r="B8" s="15"/>
      <c r="C8" s="15"/>
      <c r="D8" s="7" t="s">
        <v>25</v>
      </c>
    </row>
    <row r="9" spans="1:4" x14ac:dyDescent="0.3">
      <c r="A9" s="14" t="s">
        <v>31</v>
      </c>
      <c r="B9" s="15" t="s">
        <v>32</v>
      </c>
      <c r="C9" s="15" t="s">
        <v>33</v>
      </c>
      <c r="D9" s="3" t="s">
        <v>34</v>
      </c>
    </row>
    <row r="10" spans="1:4" x14ac:dyDescent="0.3">
      <c r="A10" s="14"/>
      <c r="B10" s="15"/>
      <c r="C10" s="15"/>
      <c r="D10" s="3" t="s">
        <v>35</v>
      </c>
    </row>
    <row r="11" spans="1:4" ht="28.8" x14ac:dyDescent="0.3">
      <c r="A11" s="14"/>
      <c r="B11" s="15"/>
      <c r="C11" s="15"/>
      <c r="D11" s="3" t="s">
        <v>30</v>
      </c>
    </row>
    <row r="12" spans="1:4" ht="28.8" x14ac:dyDescent="0.3">
      <c r="A12" s="6" t="s">
        <v>36</v>
      </c>
      <c r="B12" s="7" t="s">
        <v>37</v>
      </c>
      <c r="C12" s="7" t="s">
        <v>38</v>
      </c>
      <c r="D12" s="3" t="s">
        <v>39</v>
      </c>
    </row>
    <row r="13" spans="1:4" x14ac:dyDescent="0.3">
      <c r="A13" s="14" t="s">
        <v>40</v>
      </c>
      <c r="B13" s="15" t="s">
        <v>41</v>
      </c>
      <c r="C13" s="15" t="s">
        <v>42</v>
      </c>
      <c r="D13" s="3" t="s">
        <v>43</v>
      </c>
    </row>
    <row r="14" spans="1:4" x14ac:dyDescent="0.3">
      <c r="A14" s="14"/>
      <c r="B14" s="15"/>
      <c r="C14" s="15"/>
      <c r="D14" s="3" t="s">
        <v>35</v>
      </c>
    </row>
    <row r="15" spans="1:4" ht="26.4" x14ac:dyDescent="0.3">
      <c r="A15" s="14"/>
      <c r="B15" s="15"/>
      <c r="C15" s="15"/>
      <c r="D15" s="7" t="s">
        <v>44</v>
      </c>
    </row>
    <row r="17" spans="1:1" ht="19.2" x14ac:dyDescent="0.3">
      <c r="A17" s="8" t="s">
        <v>63</v>
      </c>
    </row>
    <row r="18" spans="1:1" ht="15" x14ac:dyDescent="0.3">
      <c r="A18" s="9" t="s">
        <v>45</v>
      </c>
    </row>
    <row r="19" spans="1:1" x14ac:dyDescent="0.3">
      <c r="A19" s="10" t="s">
        <v>46</v>
      </c>
    </row>
    <row r="20" spans="1:1" x14ac:dyDescent="0.3">
      <c r="A20" s="10" t="s">
        <v>47</v>
      </c>
    </row>
    <row r="21" spans="1:1" ht="15" x14ac:dyDescent="0.3">
      <c r="A21" s="11" t="s">
        <v>48</v>
      </c>
    </row>
    <row r="22" spans="1:1" ht="15" x14ac:dyDescent="0.3">
      <c r="A22" s="9" t="s">
        <v>49</v>
      </c>
    </row>
    <row r="23" spans="1:1" x14ac:dyDescent="0.3">
      <c r="A23" s="10" t="s">
        <v>50</v>
      </c>
    </row>
    <row r="24" spans="1:1" x14ac:dyDescent="0.3">
      <c r="A24" s="10" t="s">
        <v>51</v>
      </c>
    </row>
    <row r="25" spans="1:1" ht="15" x14ac:dyDescent="0.3">
      <c r="A25" s="11" t="s">
        <v>52</v>
      </c>
    </row>
    <row r="26" spans="1:1" ht="15" x14ac:dyDescent="0.3">
      <c r="A26" s="9" t="s">
        <v>53</v>
      </c>
    </row>
    <row r="27" spans="1:1" x14ac:dyDescent="0.3">
      <c r="A27" s="10" t="s">
        <v>54</v>
      </c>
    </row>
    <row r="28" spans="1:1" x14ac:dyDescent="0.3">
      <c r="A28" s="10" t="s">
        <v>55</v>
      </c>
    </row>
    <row r="29" spans="1:1" x14ac:dyDescent="0.3">
      <c r="A29" s="10" t="s">
        <v>56</v>
      </c>
    </row>
    <row r="30" spans="1:1" ht="15" x14ac:dyDescent="0.3">
      <c r="A30" s="9" t="s">
        <v>57</v>
      </c>
    </row>
    <row r="31" spans="1:1" x14ac:dyDescent="0.3">
      <c r="A31" s="10" t="s">
        <v>58</v>
      </c>
    </row>
    <row r="32" spans="1:1" ht="15" x14ac:dyDescent="0.3">
      <c r="A32" s="9" t="s">
        <v>59</v>
      </c>
    </row>
    <row r="33" spans="1:1" x14ac:dyDescent="0.3">
      <c r="A33" s="10" t="s">
        <v>60</v>
      </c>
    </row>
    <row r="34" spans="1:1" x14ac:dyDescent="0.3">
      <c r="A34" s="10" t="s">
        <v>61</v>
      </c>
    </row>
    <row r="35" spans="1:1" ht="15" x14ac:dyDescent="0.3">
      <c r="A35" s="11" t="s">
        <v>62</v>
      </c>
    </row>
  </sheetData>
  <mergeCells count="12">
    <mergeCell ref="A3:A5"/>
    <mergeCell ref="B3:B5"/>
    <mergeCell ref="C3:C5"/>
    <mergeCell ref="A6:A8"/>
    <mergeCell ref="B6:B8"/>
    <mergeCell ref="C6:C8"/>
    <mergeCell ref="A9:A11"/>
    <mergeCell ref="B9:B11"/>
    <mergeCell ref="C9:C11"/>
    <mergeCell ref="A13:A15"/>
    <mergeCell ref="B13:B15"/>
    <mergeCell ref="C13:C15"/>
  </mergeCells>
  <hyperlinks>
    <hyperlink ref="D3" r:id="rId1" display="https://pmc.ncbi.nlm.nih.gov/articles/PMC9823944/table/molecules-28-00342-t001/" xr:uid="{0810CA19-4E18-4E45-BFC3-5EAFDBF0FDF4}"/>
    <hyperlink ref="D4" r:id="rId2" display="https://pmc.ncbi.nlm.nih.gov/articles/PMC7295907/figure/F1/" xr:uid="{A587289F-3DC2-4F68-80A5-D2EE39D4A307}"/>
    <hyperlink ref="D6" r:id="rId3" display="https://grokipedia.com/page/residue_to_product_ratio" xr:uid="{08586659-2191-4A5B-94F8-DEFFBD9C53EE}"/>
    <hyperlink ref="D7" r:id="rId4" display="https://link.springer.com/article/10.1186/s42834-025-00261-1/tables/1" xr:uid="{6288C685-FCD5-476E-A29E-7D6CECE41466}"/>
    <hyperlink ref="D9" r:id="rId5" display="https://pmc.ncbi.nlm.nih.gov/articles/PMC9823944/table/molecules-28-00342-t001/" xr:uid="{8258981E-7405-4C80-ACDE-268224ED02AB}"/>
    <hyperlink ref="D10" r:id="rId6" display="https://grokipedia.com/page/residue_to_product_ratio" xr:uid="{A58815AA-757F-4C59-A491-EEB8468F0B1D}"/>
    <hyperlink ref="D11" r:id="rId7" display="https://link.springer.com/article/10.1186/s42834-025-00261-1/tables/1" xr:uid="{41C0B791-4ADF-4E8B-AD47-6303D9C5965A}"/>
    <hyperlink ref="D12" r:id="rId8" location="8#5" display="https://gmd.copernicus.org/preprints/gmd-2021-169/gmd-2021-169-manuscript-version4.pdf - 8#5" xr:uid="{1F359C9E-625E-4351-B30F-82803114A21F}"/>
    <hyperlink ref="D13" r:id="rId9" display="https://pmc.ncbi.nlm.nih.gov/articles/PMC9823944/table/molecules-28-00342-t001/" xr:uid="{742A4430-D471-4A00-A4BC-ED71547596E0}"/>
    <hyperlink ref="D14" r:id="rId10" display="https://grokipedia.com/page/residue_to_product_ratio" xr:uid="{79E8CB79-725A-472F-A865-B4276191FD21}"/>
    <hyperlink ref="A19" r:id="rId11" display="https://pmc.ncbi.nlm.nih.gov/articles/PMC9823944/table/molecules-28-00342-t001/" xr:uid="{13A54D5D-3596-4E4C-A286-737E592E66CE}"/>
    <hyperlink ref="A20" r:id="rId12" display="https://pmc.ncbi.nlm.nih.gov/articles/PMC7295907/figure/F1/" xr:uid="{4EA89940-4D7F-49D3-BC29-5D826D328F06}"/>
    <hyperlink ref="A23" r:id="rId13" display="https://grokipedia.com/page/residue_to_product_ratio" xr:uid="{E1885B0B-674E-4EE6-BB03-4B58711E05EF}"/>
    <hyperlink ref="A24" r:id="rId14" display="https://link.springer.com/article/10.1186/s42834-025-00261-1/tables/1" xr:uid="{02607EEA-791C-4D77-B9BA-C2CDAD3832D2}"/>
    <hyperlink ref="A27" r:id="rId15" display="https://pmc.ncbi.nlm.nih.gov/articles/PMC9823944/table/molecules-28-00342-t001/" xr:uid="{47A91022-298F-4BB3-97A0-3B063A3EC945}"/>
    <hyperlink ref="A28" r:id="rId16" display="https://grokipedia.com/page/residue_to_product_ratio" xr:uid="{121BBD87-4377-4DA9-892B-EF50F782B9FE}"/>
    <hyperlink ref="A29" r:id="rId17" display="https://link.springer.com/article/10.1186/s42834-025-00261-1/tables/1" xr:uid="{1A266D7F-1A7B-4E65-8CE7-328E492DDF8E}"/>
    <hyperlink ref="A31" r:id="rId18" location="8#5" display="https://gmd.copernicus.org/preprints/gmd-2021-169/gmd-2021-169-manuscript-version4.pdf - 8#5" xr:uid="{88186F57-ABD0-4590-91B9-C38D19BBFC3B}"/>
    <hyperlink ref="A33" r:id="rId19" display="https://pmc.ncbi.nlm.nih.gov/articles/PMC9823944/table/molecules-28-00342-t001/" xr:uid="{A1AE06AE-06DD-4EAE-AE16-F8D86838692A}"/>
    <hyperlink ref="A34" r:id="rId20" display="https://grokipedia.com/page/residue_to_product_ratio" xr:uid="{93A788AE-9612-4499-B61C-E997D6A6FA0E}"/>
  </hyperlinks>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36ABE7-85E1-4981-83A7-E91E09E5BC47}">
  <dimension ref="A1:BA325"/>
  <sheetViews>
    <sheetView workbookViewId="0">
      <selection sqref="A1:XFD1048576"/>
    </sheetView>
  </sheetViews>
  <sheetFormatPr defaultRowHeight="14.4" x14ac:dyDescent="0.3"/>
  <cols>
    <col min="3" max="3" width="28" bestFit="1" customWidth="1"/>
    <col min="11" max="11" width="10.77734375" bestFit="1" customWidth="1"/>
    <col min="21" max="21" width="10.77734375" bestFit="1" customWidth="1"/>
    <col min="31" max="31" width="10.77734375" bestFit="1" customWidth="1"/>
    <col min="41" max="41" width="10.77734375" bestFit="1" customWidth="1"/>
    <col min="51" max="51" width="10.77734375" bestFit="1" customWidth="1"/>
  </cols>
  <sheetData>
    <row r="1" spans="1:53" x14ac:dyDescent="0.3">
      <c r="A1" t="s">
        <v>714</v>
      </c>
    </row>
    <row r="2" spans="1:53" x14ac:dyDescent="0.3">
      <c r="D2" t="s">
        <v>721</v>
      </c>
      <c r="E2" t="s">
        <v>720</v>
      </c>
      <c r="F2" t="s">
        <v>722</v>
      </c>
      <c r="G2" t="s">
        <v>723</v>
      </c>
      <c r="H2" t="s">
        <v>724</v>
      </c>
      <c r="I2" t="s">
        <v>725</v>
      </c>
      <c r="J2" t="s">
        <v>726</v>
      </c>
      <c r="K2" t="s">
        <v>727</v>
      </c>
      <c r="L2" t="s">
        <v>728</v>
      </c>
      <c r="M2" t="s">
        <v>729</v>
      </c>
      <c r="N2" t="s">
        <v>730</v>
      </c>
      <c r="O2" t="s">
        <v>731</v>
      </c>
      <c r="P2" t="s">
        <v>732</v>
      </c>
      <c r="Q2" t="s">
        <v>733</v>
      </c>
      <c r="R2" t="s">
        <v>734</v>
      </c>
      <c r="S2" t="s">
        <v>735</v>
      </c>
      <c r="T2" t="s">
        <v>736</v>
      </c>
      <c r="U2" t="s">
        <v>737</v>
      </c>
      <c r="V2" t="s">
        <v>738</v>
      </c>
      <c r="W2" t="s">
        <v>739</v>
      </c>
      <c r="X2" t="s">
        <v>740</v>
      </c>
      <c r="Y2" t="s">
        <v>741</v>
      </c>
      <c r="Z2" t="s">
        <v>742</v>
      </c>
      <c r="AA2" t="s">
        <v>743</v>
      </c>
      <c r="AB2" t="s">
        <v>744</v>
      </c>
      <c r="AC2" t="s">
        <v>745</v>
      </c>
      <c r="AD2" t="s">
        <v>746</v>
      </c>
      <c r="AE2" t="s">
        <v>747</v>
      </c>
      <c r="AF2" t="s">
        <v>748</v>
      </c>
      <c r="AG2" t="s">
        <v>749</v>
      </c>
      <c r="AH2" t="s">
        <v>750</v>
      </c>
      <c r="AI2" t="s">
        <v>751</v>
      </c>
      <c r="AJ2" t="s">
        <v>752</v>
      </c>
      <c r="AK2" t="s">
        <v>753</v>
      </c>
      <c r="AL2" t="s">
        <v>754</v>
      </c>
      <c r="AM2" t="s">
        <v>755</v>
      </c>
      <c r="AN2" t="s">
        <v>756</v>
      </c>
      <c r="AO2" t="s">
        <v>757</v>
      </c>
      <c r="AP2" t="s">
        <v>758</v>
      </c>
      <c r="AQ2" t="s">
        <v>759</v>
      </c>
      <c r="AR2" t="s">
        <v>760</v>
      </c>
      <c r="AS2" t="s">
        <v>761</v>
      </c>
      <c r="AT2" t="s">
        <v>762</v>
      </c>
      <c r="AU2" t="s">
        <v>763</v>
      </c>
      <c r="AV2" t="s">
        <v>764</v>
      </c>
      <c r="AW2" t="s">
        <v>765</v>
      </c>
      <c r="AX2" t="s">
        <v>766</v>
      </c>
      <c r="AY2" t="s">
        <v>767</v>
      </c>
      <c r="AZ2" t="s">
        <v>768</v>
      </c>
      <c r="BA2" t="s">
        <v>769</v>
      </c>
    </row>
    <row r="4" spans="1:53" x14ac:dyDescent="0.3">
      <c r="A4" t="s">
        <v>64</v>
      </c>
      <c r="B4" t="s">
        <v>65</v>
      </c>
      <c r="C4" t="s">
        <v>66</v>
      </c>
      <c r="D4">
        <v>1215651</v>
      </c>
      <c r="E4">
        <f>D4*1.2</f>
        <v>1458781.2</v>
      </c>
      <c r="F4">
        <v>98608</v>
      </c>
      <c r="G4">
        <f>F4*0.53</f>
        <v>52262.240000000005</v>
      </c>
      <c r="H4">
        <v>2701935</v>
      </c>
      <c r="I4">
        <f>H4</f>
        <v>2701935</v>
      </c>
      <c r="J4">
        <v>2243989</v>
      </c>
      <c r="K4">
        <f>J4*1.5</f>
        <v>3365983.5</v>
      </c>
      <c r="L4">
        <v>171727</v>
      </c>
      <c r="M4">
        <f>L4*1.3</f>
        <v>223245.1</v>
      </c>
      <c r="N4">
        <v>1195939</v>
      </c>
      <c r="O4">
        <f>N4*1.2</f>
        <v>1435126.8</v>
      </c>
      <c r="P4">
        <v>98334</v>
      </c>
      <c r="Q4">
        <f>P4*0.53</f>
        <v>52117.020000000004</v>
      </c>
      <c r="R4">
        <v>2006694</v>
      </c>
      <c r="S4">
        <f>R4</f>
        <v>2006694</v>
      </c>
      <c r="T4">
        <v>2323735</v>
      </c>
      <c r="U4">
        <f>T4*1.5</f>
        <v>3485602.5</v>
      </c>
      <c r="V4">
        <v>317969</v>
      </c>
      <c r="W4">
        <f>V4*1.3</f>
        <v>413359.7</v>
      </c>
      <c r="X4">
        <v>1194481</v>
      </c>
      <c r="Y4">
        <f>X4*1.2</f>
        <v>1433377.2</v>
      </c>
      <c r="Z4">
        <v>108105</v>
      </c>
      <c r="AA4">
        <f>Z4*0.53</f>
        <v>57295.65</v>
      </c>
      <c r="AB4">
        <v>2138770</v>
      </c>
      <c r="AC4">
        <f>AB4</f>
        <v>2138770</v>
      </c>
      <c r="AD4">
        <v>2159405</v>
      </c>
      <c r="AE4">
        <f>AD4*1.5</f>
        <v>3239107.5</v>
      </c>
      <c r="AF4">
        <v>438902</v>
      </c>
      <c r="AG4">
        <f>AF4*1.3</f>
        <v>570572.6</v>
      </c>
      <c r="AH4">
        <v>1176285</v>
      </c>
      <c r="AI4">
        <f>AH4*1.2</f>
        <v>1411542</v>
      </c>
      <c r="AJ4">
        <v>109530</v>
      </c>
      <c r="AK4">
        <f>AJ4*0.53</f>
        <v>58050.9</v>
      </c>
      <c r="AL4">
        <v>2586339</v>
      </c>
      <c r="AM4">
        <f>AL4</f>
        <v>2586339</v>
      </c>
      <c r="AN4">
        <v>2951678</v>
      </c>
      <c r="AO4">
        <f>AN4*1.5</f>
        <v>4427517</v>
      </c>
      <c r="AP4">
        <v>288123</v>
      </c>
      <c r="AQ4">
        <f>AP4*1.3</f>
        <v>374559.9</v>
      </c>
      <c r="AR4">
        <v>1127814</v>
      </c>
      <c r="AS4">
        <f>AR4*1.2</f>
        <v>1353376.8</v>
      </c>
      <c r="AT4">
        <v>105443</v>
      </c>
      <c r="AU4">
        <f>AT4*0.53</f>
        <v>55884.79</v>
      </c>
      <c r="AV4">
        <v>1824156</v>
      </c>
      <c r="AW4">
        <f>AV4</f>
        <v>1824156</v>
      </c>
      <c r="AX4">
        <v>2733806</v>
      </c>
      <c r="AY4">
        <f>AX4*1.5</f>
        <v>4100709</v>
      </c>
      <c r="AZ4">
        <v>421315</v>
      </c>
      <c r="BA4">
        <f>AZ4*1.3</f>
        <v>547709.5</v>
      </c>
    </row>
    <row r="5" spans="1:53" x14ac:dyDescent="0.3">
      <c r="A5" t="s">
        <v>67</v>
      </c>
      <c r="B5" t="s">
        <v>68</v>
      </c>
      <c r="C5" t="s">
        <v>69</v>
      </c>
      <c r="D5">
        <v>53</v>
      </c>
      <c r="E5">
        <f t="shared" ref="E5:E68" si="0">D5*1.2</f>
        <v>63.599999999999994</v>
      </c>
      <c r="F5">
        <v>51230</v>
      </c>
      <c r="G5">
        <f t="shared" ref="G5:G68" si="1">F5*0.53</f>
        <v>27151.9</v>
      </c>
      <c r="H5">
        <v>1697196</v>
      </c>
      <c r="I5">
        <f t="shared" ref="I5:I68" si="2">H5</f>
        <v>1697196</v>
      </c>
      <c r="J5">
        <v>1200017</v>
      </c>
      <c r="K5">
        <f t="shared" ref="K5:K68" si="3">J5*1.5</f>
        <v>1800025.5</v>
      </c>
      <c r="L5">
        <v>96142</v>
      </c>
      <c r="M5">
        <f t="shared" ref="M5:M68" si="4">L5*1.3</f>
        <v>124984.6</v>
      </c>
      <c r="N5">
        <v>21</v>
      </c>
      <c r="O5">
        <f t="shared" ref="O5:O68" si="5">N5*1.2</f>
        <v>25.2</v>
      </c>
      <c r="P5">
        <v>41982</v>
      </c>
      <c r="Q5">
        <f t="shared" ref="Q5:Q68" si="6">P5*0.53</f>
        <v>22250.460000000003</v>
      </c>
      <c r="R5">
        <v>872970</v>
      </c>
      <c r="S5">
        <f t="shared" ref="S5:S68" si="7">R5</f>
        <v>872970</v>
      </c>
      <c r="T5">
        <v>1085213</v>
      </c>
      <c r="U5">
        <f t="shared" ref="U5:U68" si="8">T5*1.5</f>
        <v>1627819.5</v>
      </c>
      <c r="V5">
        <v>171295</v>
      </c>
      <c r="W5">
        <f t="shared" ref="W5" si="9">V5*1.3</f>
        <v>222683.5</v>
      </c>
      <c r="X5">
        <v>22</v>
      </c>
      <c r="Y5">
        <f t="shared" ref="Y5:Y68" si="10">X5*1.2</f>
        <v>26.4</v>
      </c>
      <c r="Z5">
        <v>60875</v>
      </c>
      <c r="AA5">
        <f t="shared" ref="AA5:AA68" si="11">Z5*0.53</f>
        <v>32263.75</v>
      </c>
      <c r="AB5">
        <v>1090657</v>
      </c>
      <c r="AC5">
        <f t="shared" ref="AC5:AC68" si="12">AB5</f>
        <v>1090657</v>
      </c>
      <c r="AD5">
        <v>912693</v>
      </c>
      <c r="AE5">
        <f t="shared" ref="AE5:AE68" si="13">AD5*1.5</f>
        <v>1369039.5</v>
      </c>
      <c r="AF5">
        <v>248901</v>
      </c>
      <c r="AG5">
        <f t="shared" ref="AG5:AG68" si="14">AF5*1.3</f>
        <v>323571.3</v>
      </c>
      <c r="AH5">
        <v>25</v>
      </c>
      <c r="AI5">
        <f t="shared" ref="AI5:AI68" si="15">AH5*1.2</f>
        <v>30</v>
      </c>
      <c r="AJ5">
        <v>62773</v>
      </c>
      <c r="AK5">
        <f t="shared" ref="AK5:AK68" si="16">AJ5*0.53</f>
        <v>33269.69</v>
      </c>
      <c r="AL5">
        <v>1417442</v>
      </c>
      <c r="AM5">
        <f t="shared" ref="AM5:AM68" si="17">AL5</f>
        <v>1417442</v>
      </c>
      <c r="AN5">
        <v>1442457</v>
      </c>
      <c r="AO5">
        <f t="shared" ref="AO5:AO68" si="18">AN5*1.5</f>
        <v>2163685.5</v>
      </c>
      <c r="AP5">
        <v>196934</v>
      </c>
      <c r="AQ5">
        <f t="shared" ref="AQ5:AQ68" si="19">AP5*1.3</f>
        <v>256014.2</v>
      </c>
      <c r="AR5">
        <v>25</v>
      </c>
      <c r="AS5">
        <f t="shared" ref="AS5:AS68" si="20">AR5*1.2</f>
        <v>30</v>
      </c>
      <c r="AT5">
        <v>67533</v>
      </c>
      <c r="AU5">
        <f t="shared" ref="AU5:AU68" si="21">AT5*0.53</f>
        <v>35792.490000000005</v>
      </c>
      <c r="AV5">
        <v>996043</v>
      </c>
      <c r="AW5">
        <f t="shared" ref="AW5:AW68" si="22">AV5</f>
        <v>996043</v>
      </c>
      <c r="AX5">
        <v>1369528</v>
      </c>
      <c r="AY5">
        <f t="shared" ref="AY5:AY68" si="23">AX5*1.5</f>
        <v>2054292</v>
      </c>
      <c r="AZ5">
        <v>267335</v>
      </c>
      <c r="BA5">
        <f t="shared" ref="BA5:BA68" si="24">AZ5*1.3</f>
        <v>347535.5</v>
      </c>
    </row>
    <row r="6" spans="1:53" x14ac:dyDescent="0.3">
      <c r="A6" t="s">
        <v>70</v>
      </c>
      <c r="B6" t="s">
        <v>71</v>
      </c>
      <c r="C6" t="s">
        <v>72</v>
      </c>
      <c r="D6" t="s">
        <v>73</v>
      </c>
      <c r="E6" t="e">
        <f t="shared" si="0"/>
        <v>#VALUE!</v>
      </c>
      <c r="F6">
        <v>4450</v>
      </c>
      <c r="G6">
        <f t="shared" si="1"/>
        <v>2358.5</v>
      </c>
      <c r="H6">
        <v>285343</v>
      </c>
      <c r="I6">
        <f t="shared" si="2"/>
        <v>285343</v>
      </c>
      <c r="J6">
        <v>143465</v>
      </c>
      <c r="K6">
        <f t="shared" si="3"/>
        <v>215197.5</v>
      </c>
      <c r="L6">
        <v>9212</v>
      </c>
      <c r="M6">
        <f t="shared" si="4"/>
        <v>11975.6</v>
      </c>
      <c r="N6" t="s">
        <v>73</v>
      </c>
      <c r="O6" t="e">
        <f t="shared" si="5"/>
        <v>#VALUE!</v>
      </c>
      <c r="P6">
        <v>3603</v>
      </c>
      <c r="Q6">
        <f t="shared" si="6"/>
        <v>1909.5900000000001</v>
      </c>
      <c r="R6">
        <v>95885</v>
      </c>
      <c r="S6">
        <f t="shared" si="7"/>
        <v>95885</v>
      </c>
      <c r="T6">
        <v>123453</v>
      </c>
      <c r="U6">
        <f t="shared" si="8"/>
        <v>185179.5</v>
      </c>
      <c r="V6">
        <v>24693</v>
      </c>
      <c r="W6">
        <f t="shared" ref="W6" si="25">V6*1.3</f>
        <v>32100.9</v>
      </c>
      <c r="X6" t="s">
        <v>73</v>
      </c>
      <c r="Y6" t="e">
        <f t="shared" si="10"/>
        <v>#VALUE!</v>
      </c>
      <c r="Z6">
        <v>6050</v>
      </c>
      <c r="AA6">
        <f t="shared" si="11"/>
        <v>3206.5</v>
      </c>
      <c r="AB6">
        <v>129354</v>
      </c>
      <c r="AC6">
        <f t="shared" si="12"/>
        <v>129354</v>
      </c>
      <c r="AD6">
        <v>69480</v>
      </c>
      <c r="AE6">
        <f t="shared" si="13"/>
        <v>104220</v>
      </c>
      <c r="AF6">
        <v>27916</v>
      </c>
      <c r="AG6">
        <f t="shared" si="14"/>
        <v>36290.800000000003</v>
      </c>
      <c r="AH6" t="s">
        <v>73</v>
      </c>
      <c r="AI6" t="e">
        <f t="shared" si="15"/>
        <v>#VALUE!</v>
      </c>
      <c r="AJ6">
        <v>5844</v>
      </c>
      <c r="AK6">
        <f t="shared" si="16"/>
        <v>3097.32</v>
      </c>
      <c r="AL6">
        <v>208107</v>
      </c>
      <c r="AM6">
        <f t="shared" si="17"/>
        <v>208107</v>
      </c>
      <c r="AN6">
        <v>180748</v>
      </c>
      <c r="AO6">
        <f t="shared" si="18"/>
        <v>271122</v>
      </c>
      <c r="AP6">
        <v>31013</v>
      </c>
      <c r="AQ6">
        <f t="shared" si="19"/>
        <v>40316.9</v>
      </c>
      <c r="AR6" t="s">
        <v>73</v>
      </c>
      <c r="AS6" t="e">
        <f t="shared" si="20"/>
        <v>#VALUE!</v>
      </c>
      <c r="AT6">
        <v>6179</v>
      </c>
      <c r="AU6">
        <f t="shared" si="21"/>
        <v>3274.8700000000003</v>
      </c>
      <c r="AV6">
        <v>151999</v>
      </c>
      <c r="AW6">
        <f t="shared" si="22"/>
        <v>151999</v>
      </c>
      <c r="AX6">
        <v>172261</v>
      </c>
      <c r="AY6">
        <f t="shared" si="23"/>
        <v>258391.5</v>
      </c>
      <c r="AZ6">
        <v>36935</v>
      </c>
      <c r="BA6">
        <f t="shared" si="24"/>
        <v>48015.5</v>
      </c>
    </row>
    <row r="7" spans="1:53" x14ac:dyDescent="0.3">
      <c r="A7" t="s">
        <v>74</v>
      </c>
      <c r="B7" t="s">
        <v>75</v>
      </c>
      <c r="C7" t="s">
        <v>76</v>
      </c>
      <c r="D7" t="s">
        <v>73</v>
      </c>
      <c r="E7" t="e">
        <f t="shared" si="0"/>
        <v>#VALUE!</v>
      </c>
      <c r="F7">
        <v>48</v>
      </c>
      <c r="G7">
        <f t="shared" si="1"/>
        <v>25.44</v>
      </c>
      <c r="H7">
        <v>8700</v>
      </c>
      <c r="I7">
        <f t="shared" si="2"/>
        <v>8700</v>
      </c>
      <c r="J7">
        <v>2792</v>
      </c>
      <c r="K7">
        <f t="shared" si="3"/>
        <v>4188</v>
      </c>
      <c r="L7">
        <v>105</v>
      </c>
      <c r="M7">
        <f t="shared" si="4"/>
        <v>136.5</v>
      </c>
      <c r="N7" t="s">
        <v>73</v>
      </c>
      <c r="O7" t="e">
        <f t="shared" si="5"/>
        <v>#VALUE!</v>
      </c>
      <c r="P7">
        <v>66</v>
      </c>
      <c r="Q7">
        <f t="shared" si="6"/>
        <v>34.980000000000004</v>
      </c>
      <c r="R7">
        <v>3240</v>
      </c>
      <c r="S7">
        <f t="shared" si="7"/>
        <v>3240</v>
      </c>
      <c r="T7">
        <v>2640</v>
      </c>
      <c r="U7">
        <f t="shared" si="8"/>
        <v>3960</v>
      </c>
      <c r="V7">
        <v>270</v>
      </c>
      <c r="W7">
        <f t="shared" ref="W7" si="26">V7*1.3</f>
        <v>351</v>
      </c>
      <c r="X7" t="s">
        <v>73</v>
      </c>
      <c r="Y7" t="e">
        <f t="shared" si="10"/>
        <v>#VALUE!</v>
      </c>
      <c r="Z7">
        <v>47</v>
      </c>
      <c r="AA7">
        <f t="shared" si="11"/>
        <v>24.91</v>
      </c>
      <c r="AB7">
        <v>2808</v>
      </c>
      <c r="AC7">
        <f t="shared" si="12"/>
        <v>2808</v>
      </c>
      <c r="AD7">
        <v>2160</v>
      </c>
      <c r="AE7">
        <f t="shared" si="13"/>
        <v>3240</v>
      </c>
      <c r="AF7">
        <v>410</v>
      </c>
      <c r="AG7">
        <f t="shared" si="14"/>
        <v>533</v>
      </c>
      <c r="AH7" t="s">
        <v>73</v>
      </c>
      <c r="AI7" t="e">
        <f t="shared" si="15"/>
        <v>#VALUE!</v>
      </c>
      <c r="AJ7">
        <v>90</v>
      </c>
      <c r="AK7">
        <f t="shared" si="16"/>
        <v>47.7</v>
      </c>
      <c r="AL7">
        <v>4980</v>
      </c>
      <c r="AM7">
        <f t="shared" si="17"/>
        <v>4980</v>
      </c>
      <c r="AN7">
        <v>2880</v>
      </c>
      <c r="AO7">
        <f t="shared" si="18"/>
        <v>4320</v>
      </c>
      <c r="AP7">
        <v>540</v>
      </c>
      <c r="AQ7">
        <f t="shared" si="19"/>
        <v>702</v>
      </c>
      <c r="AR7" t="s">
        <v>73</v>
      </c>
      <c r="AS7" t="e">
        <f t="shared" si="20"/>
        <v>#VALUE!</v>
      </c>
      <c r="AT7">
        <v>186</v>
      </c>
      <c r="AU7">
        <f t="shared" si="21"/>
        <v>98.58</v>
      </c>
      <c r="AV7">
        <v>3360</v>
      </c>
      <c r="AW7">
        <f t="shared" si="22"/>
        <v>3360</v>
      </c>
      <c r="AX7">
        <v>3480</v>
      </c>
      <c r="AY7">
        <f t="shared" si="23"/>
        <v>5220</v>
      </c>
      <c r="AZ7">
        <v>450</v>
      </c>
      <c r="BA7">
        <f t="shared" si="24"/>
        <v>585</v>
      </c>
    </row>
    <row r="8" spans="1:53" x14ac:dyDescent="0.3">
      <c r="A8" t="s">
        <v>74</v>
      </c>
      <c r="B8" t="s">
        <v>77</v>
      </c>
      <c r="C8" t="s">
        <v>78</v>
      </c>
      <c r="D8" t="s">
        <v>73</v>
      </c>
      <c r="E8" t="e">
        <f t="shared" si="0"/>
        <v>#VALUE!</v>
      </c>
      <c r="F8">
        <v>32</v>
      </c>
      <c r="G8">
        <f t="shared" si="1"/>
        <v>16.96</v>
      </c>
      <c r="H8">
        <v>9781</v>
      </c>
      <c r="I8">
        <f t="shared" si="2"/>
        <v>9781</v>
      </c>
      <c r="J8">
        <v>2220</v>
      </c>
      <c r="K8">
        <f t="shared" si="3"/>
        <v>3330</v>
      </c>
      <c r="L8">
        <v>240</v>
      </c>
      <c r="M8">
        <f t="shared" si="4"/>
        <v>312</v>
      </c>
      <c r="N8" t="s">
        <v>73</v>
      </c>
      <c r="O8" t="e">
        <f t="shared" si="5"/>
        <v>#VALUE!</v>
      </c>
      <c r="P8">
        <v>15</v>
      </c>
      <c r="Q8">
        <f t="shared" si="6"/>
        <v>7.95</v>
      </c>
      <c r="R8">
        <v>4104</v>
      </c>
      <c r="S8">
        <f t="shared" si="7"/>
        <v>4104</v>
      </c>
      <c r="T8">
        <v>1907</v>
      </c>
      <c r="U8">
        <f t="shared" si="8"/>
        <v>2860.5</v>
      </c>
      <c r="V8">
        <v>450</v>
      </c>
      <c r="W8">
        <f t="shared" ref="W8" si="27">V8*1.3</f>
        <v>585</v>
      </c>
      <c r="X8" t="s">
        <v>73</v>
      </c>
      <c r="Y8" t="e">
        <f t="shared" si="10"/>
        <v>#VALUE!</v>
      </c>
      <c r="Z8">
        <v>20</v>
      </c>
      <c r="AA8">
        <f t="shared" si="11"/>
        <v>10.600000000000001</v>
      </c>
      <c r="AB8">
        <v>5400</v>
      </c>
      <c r="AC8">
        <f t="shared" si="12"/>
        <v>5400</v>
      </c>
      <c r="AD8">
        <v>1170</v>
      </c>
      <c r="AE8">
        <f t="shared" si="13"/>
        <v>1755</v>
      </c>
      <c r="AF8">
        <v>540</v>
      </c>
      <c r="AG8">
        <f t="shared" si="14"/>
        <v>702</v>
      </c>
      <c r="AH8" t="s">
        <v>73</v>
      </c>
      <c r="AI8" t="e">
        <f t="shared" si="15"/>
        <v>#VALUE!</v>
      </c>
      <c r="AJ8">
        <v>39</v>
      </c>
      <c r="AK8">
        <f t="shared" si="16"/>
        <v>20.67</v>
      </c>
      <c r="AL8">
        <v>10800</v>
      </c>
      <c r="AM8">
        <f t="shared" si="17"/>
        <v>10800</v>
      </c>
      <c r="AN8">
        <v>2850</v>
      </c>
      <c r="AO8">
        <f t="shared" si="18"/>
        <v>4275</v>
      </c>
      <c r="AP8">
        <v>495</v>
      </c>
      <c r="AQ8">
        <f t="shared" si="19"/>
        <v>643.5</v>
      </c>
      <c r="AR8" t="s">
        <v>73</v>
      </c>
      <c r="AS8" t="e">
        <f t="shared" si="20"/>
        <v>#VALUE!</v>
      </c>
      <c r="AT8">
        <v>18</v>
      </c>
      <c r="AU8">
        <f t="shared" si="21"/>
        <v>9.5400000000000009</v>
      </c>
      <c r="AV8">
        <v>2820</v>
      </c>
      <c r="AW8">
        <f t="shared" si="22"/>
        <v>2820</v>
      </c>
      <c r="AX8">
        <v>3690</v>
      </c>
      <c r="AY8">
        <f t="shared" si="23"/>
        <v>5535</v>
      </c>
      <c r="AZ8">
        <v>728</v>
      </c>
      <c r="BA8">
        <f t="shared" si="24"/>
        <v>946.4</v>
      </c>
    </row>
    <row r="9" spans="1:53" x14ac:dyDescent="0.3">
      <c r="A9" t="s">
        <v>74</v>
      </c>
      <c r="B9" t="s">
        <v>79</v>
      </c>
      <c r="C9" t="s">
        <v>80</v>
      </c>
      <c r="D9" t="s">
        <v>73</v>
      </c>
      <c r="E9" t="e">
        <f t="shared" si="0"/>
        <v>#VALUE!</v>
      </c>
      <c r="F9">
        <v>16</v>
      </c>
      <c r="G9">
        <f t="shared" si="1"/>
        <v>8.48</v>
      </c>
      <c r="H9">
        <v>6330</v>
      </c>
      <c r="I9">
        <f t="shared" si="2"/>
        <v>6330</v>
      </c>
      <c r="J9">
        <v>227</v>
      </c>
      <c r="K9">
        <f t="shared" si="3"/>
        <v>340.5</v>
      </c>
      <c r="L9" t="s">
        <v>73</v>
      </c>
      <c r="M9" t="e">
        <f t="shared" si="4"/>
        <v>#VALUE!</v>
      </c>
      <c r="N9" t="s">
        <v>73</v>
      </c>
      <c r="O9" t="e">
        <f t="shared" si="5"/>
        <v>#VALUE!</v>
      </c>
      <c r="P9">
        <v>8</v>
      </c>
      <c r="Q9">
        <f t="shared" si="6"/>
        <v>4.24</v>
      </c>
      <c r="R9">
        <v>2005</v>
      </c>
      <c r="S9">
        <f t="shared" si="7"/>
        <v>2005</v>
      </c>
      <c r="T9">
        <v>378</v>
      </c>
      <c r="U9">
        <f t="shared" si="8"/>
        <v>567</v>
      </c>
      <c r="V9">
        <v>192</v>
      </c>
      <c r="W9">
        <f t="shared" ref="W9" si="28">V9*1.3</f>
        <v>249.60000000000002</v>
      </c>
      <c r="X9" t="s">
        <v>73</v>
      </c>
      <c r="Y9" t="e">
        <f t="shared" si="10"/>
        <v>#VALUE!</v>
      </c>
      <c r="Z9">
        <v>6</v>
      </c>
      <c r="AA9">
        <f t="shared" si="11"/>
        <v>3.18</v>
      </c>
      <c r="AB9">
        <v>3654</v>
      </c>
      <c r="AC9">
        <f t="shared" si="12"/>
        <v>3654</v>
      </c>
      <c r="AD9">
        <v>275</v>
      </c>
      <c r="AE9">
        <f t="shared" si="13"/>
        <v>412.5</v>
      </c>
      <c r="AF9">
        <v>156</v>
      </c>
      <c r="AG9">
        <f t="shared" si="14"/>
        <v>202.8</v>
      </c>
      <c r="AH9" t="s">
        <v>73</v>
      </c>
      <c r="AI9" t="e">
        <f t="shared" si="15"/>
        <v>#VALUE!</v>
      </c>
      <c r="AJ9">
        <v>12</v>
      </c>
      <c r="AK9">
        <f t="shared" si="16"/>
        <v>6.36</v>
      </c>
      <c r="AL9">
        <v>5616</v>
      </c>
      <c r="AM9">
        <f t="shared" si="17"/>
        <v>5616</v>
      </c>
      <c r="AN9">
        <v>460</v>
      </c>
      <c r="AO9">
        <f t="shared" si="18"/>
        <v>690</v>
      </c>
      <c r="AP9">
        <v>173</v>
      </c>
      <c r="AQ9">
        <f t="shared" si="19"/>
        <v>224.9</v>
      </c>
      <c r="AR9" t="s">
        <v>73</v>
      </c>
      <c r="AS9" t="e">
        <f t="shared" si="20"/>
        <v>#VALUE!</v>
      </c>
      <c r="AT9">
        <v>30</v>
      </c>
      <c r="AU9">
        <f t="shared" si="21"/>
        <v>15.9</v>
      </c>
      <c r="AV9">
        <v>3024</v>
      </c>
      <c r="AW9">
        <f t="shared" si="22"/>
        <v>3024</v>
      </c>
      <c r="AX9">
        <v>768</v>
      </c>
      <c r="AY9">
        <f t="shared" si="23"/>
        <v>1152</v>
      </c>
      <c r="AZ9">
        <v>525</v>
      </c>
      <c r="BA9">
        <f t="shared" si="24"/>
        <v>682.5</v>
      </c>
    </row>
    <row r="10" spans="1:53" x14ac:dyDescent="0.3">
      <c r="A10" t="s">
        <v>74</v>
      </c>
      <c r="B10" t="s">
        <v>81</v>
      </c>
      <c r="C10" t="s">
        <v>82</v>
      </c>
      <c r="D10" t="s">
        <v>73</v>
      </c>
      <c r="E10" t="e">
        <f t="shared" si="0"/>
        <v>#VALUE!</v>
      </c>
      <c r="F10" t="s">
        <v>73</v>
      </c>
      <c r="G10" t="e">
        <f t="shared" si="1"/>
        <v>#VALUE!</v>
      </c>
      <c r="H10">
        <v>15264</v>
      </c>
      <c r="I10">
        <f t="shared" si="2"/>
        <v>15264</v>
      </c>
      <c r="J10">
        <v>3215</v>
      </c>
      <c r="K10">
        <f t="shared" si="3"/>
        <v>4822.5</v>
      </c>
      <c r="L10">
        <v>42</v>
      </c>
      <c r="M10">
        <f t="shared" si="4"/>
        <v>54.6</v>
      </c>
      <c r="N10" t="s">
        <v>73</v>
      </c>
      <c r="O10" t="e">
        <f t="shared" si="5"/>
        <v>#VALUE!</v>
      </c>
      <c r="P10" t="s">
        <v>73</v>
      </c>
      <c r="Q10" t="e">
        <f t="shared" si="6"/>
        <v>#VALUE!</v>
      </c>
      <c r="R10">
        <v>900</v>
      </c>
      <c r="S10">
        <f t="shared" si="7"/>
        <v>900</v>
      </c>
      <c r="T10">
        <v>3114</v>
      </c>
      <c r="U10">
        <f t="shared" si="8"/>
        <v>4671</v>
      </c>
      <c r="V10">
        <v>240</v>
      </c>
      <c r="W10">
        <f t="shared" ref="W10" si="29">V10*1.3</f>
        <v>312</v>
      </c>
      <c r="X10" t="s">
        <v>73</v>
      </c>
      <c r="Y10" t="e">
        <f t="shared" si="10"/>
        <v>#VALUE!</v>
      </c>
      <c r="Z10">
        <v>35</v>
      </c>
      <c r="AA10">
        <f t="shared" si="11"/>
        <v>18.55</v>
      </c>
      <c r="AB10">
        <v>7140</v>
      </c>
      <c r="AC10">
        <f t="shared" si="12"/>
        <v>7140</v>
      </c>
      <c r="AD10">
        <v>1164</v>
      </c>
      <c r="AE10">
        <f t="shared" si="13"/>
        <v>1746</v>
      </c>
      <c r="AF10">
        <v>1008</v>
      </c>
      <c r="AG10">
        <f t="shared" si="14"/>
        <v>1310.4000000000001</v>
      </c>
      <c r="AH10" t="s">
        <v>73</v>
      </c>
      <c r="AI10" t="e">
        <f t="shared" si="15"/>
        <v>#VALUE!</v>
      </c>
      <c r="AJ10" t="s">
        <v>73</v>
      </c>
      <c r="AK10" t="e">
        <f t="shared" si="16"/>
        <v>#VALUE!</v>
      </c>
      <c r="AL10">
        <v>8850</v>
      </c>
      <c r="AM10">
        <f t="shared" si="17"/>
        <v>8850</v>
      </c>
      <c r="AN10">
        <v>2700</v>
      </c>
      <c r="AO10">
        <f t="shared" si="18"/>
        <v>4050</v>
      </c>
      <c r="AP10">
        <v>588</v>
      </c>
      <c r="AQ10">
        <f t="shared" si="19"/>
        <v>764.4</v>
      </c>
      <c r="AR10" t="s">
        <v>73</v>
      </c>
      <c r="AS10" t="e">
        <f t="shared" si="20"/>
        <v>#VALUE!</v>
      </c>
      <c r="AT10">
        <v>81</v>
      </c>
      <c r="AU10">
        <f t="shared" si="21"/>
        <v>42.93</v>
      </c>
      <c r="AV10">
        <v>8805</v>
      </c>
      <c r="AW10">
        <f t="shared" si="22"/>
        <v>8805</v>
      </c>
      <c r="AX10">
        <v>3780</v>
      </c>
      <c r="AY10">
        <f t="shared" si="23"/>
        <v>5670</v>
      </c>
      <c r="AZ10">
        <v>1552</v>
      </c>
      <c r="BA10">
        <f t="shared" si="24"/>
        <v>2017.6000000000001</v>
      </c>
    </row>
    <row r="11" spans="1:53" x14ac:dyDescent="0.3">
      <c r="A11" t="s">
        <v>74</v>
      </c>
      <c r="B11" t="s">
        <v>83</v>
      </c>
      <c r="C11" t="s">
        <v>84</v>
      </c>
      <c r="D11" t="s">
        <v>73</v>
      </c>
      <c r="E11" t="e">
        <f t="shared" si="0"/>
        <v>#VALUE!</v>
      </c>
      <c r="F11">
        <v>180</v>
      </c>
      <c r="G11">
        <f t="shared" si="1"/>
        <v>95.4</v>
      </c>
      <c r="H11">
        <v>36660</v>
      </c>
      <c r="I11">
        <f t="shared" si="2"/>
        <v>36660</v>
      </c>
      <c r="J11">
        <v>8910</v>
      </c>
      <c r="K11">
        <f t="shared" si="3"/>
        <v>13365</v>
      </c>
      <c r="L11">
        <v>231</v>
      </c>
      <c r="M11">
        <f t="shared" si="4"/>
        <v>300.3</v>
      </c>
      <c r="N11" t="s">
        <v>73</v>
      </c>
      <c r="O11" t="e">
        <f t="shared" si="5"/>
        <v>#VALUE!</v>
      </c>
      <c r="P11">
        <v>180</v>
      </c>
      <c r="Q11">
        <f t="shared" si="6"/>
        <v>95.4</v>
      </c>
      <c r="R11">
        <v>21956</v>
      </c>
      <c r="S11">
        <f t="shared" si="7"/>
        <v>21956</v>
      </c>
      <c r="T11">
        <v>7380</v>
      </c>
      <c r="U11">
        <f t="shared" si="8"/>
        <v>11070</v>
      </c>
      <c r="V11">
        <v>252</v>
      </c>
      <c r="W11">
        <f t="shared" ref="W11" si="30">V11*1.3</f>
        <v>327.60000000000002</v>
      </c>
      <c r="X11" t="s">
        <v>73</v>
      </c>
      <c r="Y11" t="e">
        <f t="shared" si="10"/>
        <v>#VALUE!</v>
      </c>
      <c r="Z11">
        <v>120</v>
      </c>
      <c r="AA11">
        <f t="shared" si="11"/>
        <v>63.6</v>
      </c>
      <c r="AB11">
        <v>19437</v>
      </c>
      <c r="AC11">
        <f t="shared" si="12"/>
        <v>19437</v>
      </c>
      <c r="AD11">
        <v>3120</v>
      </c>
      <c r="AE11">
        <f t="shared" si="13"/>
        <v>4680</v>
      </c>
      <c r="AF11">
        <v>1980</v>
      </c>
      <c r="AG11">
        <f t="shared" si="14"/>
        <v>2574</v>
      </c>
      <c r="AH11" t="s">
        <v>73</v>
      </c>
      <c r="AI11" t="e">
        <f t="shared" si="15"/>
        <v>#VALUE!</v>
      </c>
      <c r="AJ11">
        <v>120</v>
      </c>
      <c r="AK11">
        <f t="shared" si="16"/>
        <v>63.6</v>
      </c>
      <c r="AL11">
        <v>27660</v>
      </c>
      <c r="AM11">
        <f t="shared" si="17"/>
        <v>27660</v>
      </c>
      <c r="AN11">
        <v>11190</v>
      </c>
      <c r="AO11">
        <f t="shared" si="18"/>
        <v>16785</v>
      </c>
      <c r="AP11">
        <v>4500</v>
      </c>
      <c r="AQ11">
        <f t="shared" si="19"/>
        <v>5850</v>
      </c>
      <c r="AR11" t="s">
        <v>73</v>
      </c>
      <c r="AS11" t="e">
        <f t="shared" si="20"/>
        <v>#VALUE!</v>
      </c>
      <c r="AT11">
        <v>474</v>
      </c>
      <c r="AU11">
        <f t="shared" si="21"/>
        <v>251.22</v>
      </c>
      <c r="AV11">
        <v>25500</v>
      </c>
      <c r="AW11">
        <f t="shared" si="22"/>
        <v>25500</v>
      </c>
      <c r="AX11">
        <v>12675</v>
      </c>
      <c r="AY11">
        <f t="shared" si="23"/>
        <v>19012.5</v>
      </c>
      <c r="AZ11">
        <v>6120</v>
      </c>
      <c r="BA11">
        <f t="shared" si="24"/>
        <v>7956</v>
      </c>
    </row>
    <row r="12" spans="1:53" x14ac:dyDescent="0.3">
      <c r="A12" t="s">
        <v>74</v>
      </c>
      <c r="B12" t="s">
        <v>85</v>
      </c>
      <c r="C12" t="s">
        <v>86</v>
      </c>
      <c r="D12" t="s">
        <v>73</v>
      </c>
      <c r="E12" t="e">
        <f t="shared" si="0"/>
        <v>#VALUE!</v>
      </c>
      <c r="F12">
        <v>492</v>
      </c>
      <c r="G12">
        <f t="shared" si="1"/>
        <v>260.76</v>
      </c>
      <c r="H12">
        <v>10349</v>
      </c>
      <c r="I12">
        <f t="shared" si="2"/>
        <v>10349</v>
      </c>
      <c r="J12">
        <v>27036</v>
      </c>
      <c r="K12">
        <f t="shared" si="3"/>
        <v>40554</v>
      </c>
      <c r="L12">
        <v>2016</v>
      </c>
      <c r="M12">
        <f t="shared" si="4"/>
        <v>2620.8000000000002</v>
      </c>
      <c r="N12" t="s">
        <v>73</v>
      </c>
      <c r="O12" t="e">
        <f t="shared" si="5"/>
        <v>#VALUE!</v>
      </c>
      <c r="P12">
        <v>600</v>
      </c>
      <c r="Q12">
        <f t="shared" si="6"/>
        <v>318</v>
      </c>
      <c r="R12">
        <v>4734</v>
      </c>
      <c r="S12">
        <f t="shared" si="7"/>
        <v>4734</v>
      </c>
      <c r="T12">
        <v>23760</v>
      </c>
      <c r="U12">
        <f t="shared" si="8"/>
        <v>35640</v>
      </c>
      <c r="V12">
        <v>4620</v>
      </c>
      <c r="W12">
        <f t="shared" ref="W12" si="31">V12*1.3</f>
        <v>6006</v>
      </c>
      <c r="X12" t="s">
        <v>73</v>
      </c>
      <c r="Y12" t="e">
        <f t="shared" si="10"/>
        <v>#VALUE!</v>
      </c>
      <c r="Z12">
        <v>1182</v>
      </c>
      <c r="AA12">
        <f t="shared" si="11"/>
        <v>626.46</v>
      </c>
      <c r="AB12">
        <v>4955</v>
      </c>
      <c r="AC12">
        <f t="shared" si="12"/>
        <v>4955</v>
      </c>
      <c r="AD12">
        <v>16686</v>
      </c>
      <c r="AE12">
        <f t="shared" si="13"/>
        <v>25029</v>
      </c>
      <c r="AF12">
        <v>3900</v>
      </c>
      <c r="AG12">
        <f t="shared" si="14"/>
        <v>5070</v>
      </c>
      <c r="AH12" t="s">
        <v>73</v>
      </c>
      <c r="AI12" t="e">
        <f t="shared" si="15"/>
        <v>#VALUE!</v>
      </c>
      <c r="AJ12">
        <v>615</v>
      </c>
      <c r="AK12">
        <f t="shared" si="16"/>
        <v>325.95</v>
      </c>
      <c r="AL12">
        <v>6000</v>
      </c>
      <c r="AM12">
        <f t="shared" si="17"/>
        <v>6000</v>
      </c>
      <c r="AN12">
        <v>30210</v>
      </c>
      <c r="AO12">
        <f t="shared" si="18"/>
        <v>45315</v>
      </c>
      <c r="AP12">
        <v>4500</v>
      </c>
      <c r="AQ12">
        <f t="shared" si="19"/>
        <v>5850</v>
      </c>
      <c r="AR12" t="s">
        <v>73</v>
      </c>
      <c r="AS12" t="e">
        <f t="shared" si="20"/>
        <v>#VALUE!</v>
      </c>
      <c r="AT12">
        <v>495</v>
      </c>
      <c r="AU12">
        <f t="shared" si="21"/>
        <v>262.35000000000002</v>
      </c>
      <c r="AV12">
        <v>5040</v>
      </c>
      <c r="AW12">
        <f t="shared" si="22"/>
        <v>5040</v>
      </c>
      <c r="AX12">
        <v>28080</v>
      </c>
      <c r="AY12">
        <f t="shared" si="23"/>
        <v>42120</v>
      </c>
      <c r="AZ12">
        <v>3300</v>
      </c>
      <c r="BA12">
        <f t="shared" si="24"/>
        <v>4290</v>
      </c>
    </row>
    <row r="13" spans="1:53" x14ac:dyDescent="0.3">
      <c r="A13" t="s">
        <v>74</v>
      </c>
      <c r="B13" t="s">
        <v>87</v>
      </c>
      <c r="C13" t="s">
        <v>88</v>
      </c>
      <c r="D13" t="s">
        <v>73</v>
      </c>
      <c r="E13" t="e">
        <f t="shared" si="0"/>
        <v>#VALUE!</v>
      </c>
      <c r="F13">
        <v>452</v>
      </c>
      <c r="G13">
        <f t="shared" si="1"/>
        <v>239.56</v>
      </c>
      <c r="H13">
        <v>21421</v>
      </c>
      <c r="I13">
        <f t="shared" si="2"/>
        <v>21421</v>
      </c>
      <c r="J13">
        <v>19056</v>
      </c>
      <c r="K13">
        <f t="shared" si="3"/>
        <v>28584</v>
      </c>
      <c r="L13">
        <v>830</v>
      </c>
      <c r="M13">
        <f t="shared" si="4"/>
        <v>1079</v>
      </c>
      <c r="N13" t="s">
        <v>73</v>
      </c>
      <c r="O13" t="e">
        <f t="shared" si="5"/>
        <v>#VALUE!</v>
      </c>
      <c r="P13">
        <v>411</v>
      </c>
      <c r="Q13">
        <f t="shared" si="6"/>
        <v>217.83</v>
      </c>
      <c r="R13">
        <v>10560</v>
      </c>
      <c r="S13">
        <f t="shared" si="7"/>
        <v>10560</v>
      </c>
      <c r="T13">
        <v>16920</v>
      </c>
      <c r="U13">
        <f t="shared" si="8"/>
        <v>25380</v>
      </c>
      <c r="V13">
        <v>3960</v>
      </c>
      <c r="W13">
        <f t="shared" ref="W13" si="32">V13*1.3</f>
        <v>5148</v>
      </c>
      <c r="X13" t="s">
        <v>73</v>
      </c>
      <c r="Y13" t="e">
        <f t="shared" si="10"/>
        <v>#VALUE!</v>
      </c>
      <c r="Z13">
        <v>603</v>
      </c>
      <c r="AA13">
        <f t="shared" si="11"/>
        <v>319.59000000000003</v>
      </c>
      <c r="AB13">
        <v>12419</v>
      </c>
      <c r="AC13">
        <f t="shared" si="12"/>
        <v>12419</v>
      </c>
      <c r="AD13">
        <v>8028</v>
      </c>
      <c r="AE13">
        <f t="shared" si="13"/>
        <v>12042</v>
      </c>
      <c r="AF13">
        <v>4320</v>
      </c>
      <c r="AG13">
        <f t="shared" si="14"/>
        <v>5616</v>
      </c>
      <c r="AH13" t="s">
        <v>73</v>
      </c>
      <c r="AI13" t="e">
        <f t="shared" si="15"/>
        <v>#VALUE!</v>
      </c>
      <c r="AJ13">
        <v>704</v>
      </c>
      <c r="AK13">
        <f t="shared" si="16"/>
        <v>373.12</v>
      </c>
      <c r="AL13">
        <v>20448</v>
      </c>
      <c r="AM13">
        <f t="shared" si="17"/>
        <v>20448</v>
      </c>
      <c r="AN13">
        <v>23520</v>
      </c>
      <c r="AO13">
        <f t="shared" si="18"/>
        <v>35280</v>
      </c>
      <c r="AP13">
        <v>3300</v>
      </c>
      <c r="AQ13">
        <f t="shared" si="19"/>
        <v>4290</v>
      </c>
      <c r="AR13" t="s">
        <v>73</v>
      </c>
      <c r="AS13" t="e">
        <f t="shared" si="20"/>
        <v>#VALUE!</v>
      </c>
      <c r="AT13">
        <v>599</v>
      </c>
      <c r="AU13">
        <f t="shared" si="21"/>
        <v>317.47000000000003</v>
      </c>
      <c r="AV13">
        <v>16009</v>
      </c>
      <c r="AW13">
        <f t="shared" si="22"/>
        <v>16009</v>
      </c>
      <c r="AX13">
        <v>21300</v>
      </c>
      <c r="AY13">
        <f t="shared" si="23"/>
        <v>31950</v>
      </c>
      <c r="AZ13">
        <v>2970</v>
      </c>
      <c r="BA13">
        <f t="shared" si="24"/>
        <v>3861</v>
      </c>
    </row>
    <row r="14" spans="1:53" x14ac:dyDescent="0.3">
      <c r="A14" t="s">
        <v>74</v>
      </c>
      <c r="B14" t="s">
        <v>89</v>
      </c>
      <c r="C14" t="s">
        <v>90</v>
      </c>
      <c r="D14" t="s">
        <v>73</v>
      </c>
      <c r="E14" t="e">
        <f t="shared" si="0"/>
        <v>#VALUE!</v>
      </c>
      <c r="F14">
        <v>77</v>
      </c>
      <c r="G14">
        <f t="shared" si="1"/>
        <v>40.81</v>
      </c>
      <c r="H14">
        <v>3848</v>
      </c>
      <c r="I14">
        <f t="shared" si="2"/>
        <v>3848</v>
      </c>
      <c r="J14">
        <v>3952</v>
      </c>
      <c r="K14">
        <f t="shared" si="3"/>
        <v>5928</v>
      </c>
      <c r="L14">
        <v>420</v>
      </c>
      <c r="M14">
        <f t="shared" si="4"/>
        <v>546</v>
      </c>
      <c r="N14" t="s">
        <v>73</v>
      </c>
      <c r="O14" t="e">
        <f t="shared" si="5"/>
        <v>#VALUE!</v>
      </c>
      <c r="P14">
        <v>153</v>
      </c>
      <c r="Q14">
        <f t="shared" si="6"/>
        <v>81.09</v>
      </c>
      <c r="R14">
        <v>1476</v>
      </c>
      <c r="S14">
        <f t="shared" si="7"/>
        <v>1476</v>
      </c>
      <c r="T14">
        <v>4199</v>
      </c>
      <c r="U14">
        <f t="shared" si="8"/>
        <v>6298.5</v>
      </c>
      <c r="V14">
        <v>783</v>
      </c>
      <c r="W14">
        <f t="shared" ref="W14" si="33">V14*1.3</f>
        <v>1017.9000000000001</v>
      </c>
      <c r="X14" t="s">
        <v>73</v>
      </c>
      <c r="Y14" t="e">
        <f t="shared" si="10"/>
        <v>#VALUE!</v>
      </c>
      <c r="Z14">
        <v>90</v>
      </c>
      <c r="AA14">
        <f t="shared" si="11"/>
        <v>47.7</v>
      </c>
      <c r="AB14">
        <v>1479</v>
      </c>
      <c r="AC14">
        <f t="shared" si="12"/>
        <v>1479</v>
      </c>
      <c r="AD14">
        <v>2955</v>
      </c>
      <c r="AE14">
        <f t="shared" si="13"/>
        <v>4432.5</v>
      </c>
      <c r="AF14">
        <v>609</v>
      </c>
      <c r="AG14">
        <f t="shared" si="14"/>
        <v>791.7</v>
      </c>
      <c r="AH14" t="s">
        <v>73</v>
      </c>
      <c r="AI14" t="e">
        <f t="shared" si="15"/>
        <v>#VALUE!</v>
      </c>
      <c r="AJ14">
        <v>294</v>
      </c>
      <c r="AK14">
        <f t="shared" si="16"/>
        <v>155.82000000000002</v>
      </c>
      <c r="AL14">
        <v>3354</v>
      </c>
      <c r="AM14">
        <f t="shared" si="17"/>
        <v>3354</v>
      </c>
      <c r="AN14">
        <v>7281</v>
      </c>
      <c r="AO14">
        <f t="shared" si="18"/>
        <v>10921.5</v>
      </c>
      <c r="AP14">
        <v>750</v>
      </c>
      <c r="AQ14">
        <f t="shared" si="19"/>
        <v>975</v>
      </c>
      <c r="AR14" t="s">
        <v>73</v>
      </c>
      <c r="AS14" t="e">
        <f t="shared" si="20"/>
        <v>#VALUE!</v>
      </c>
      <c r="AT14">
        <v>318</v>
      </c>
      <c r="AU14">
        <f t="shared" si="21"/>
        <v>168.54000000000002</v>
      </c>
      <c r="AV14">
        <v>2920</v>
      </c>
      <c r="AW14">
        <f t="shared" si="22"/>
        <v>2920</v>
      </c>
      <c r="AX14">
        <v>6946</v>
      </c>
      <c r="AY14">
        <f t="shared" si="23"/>
        <v>10419</v>
      </c>
      <c r="AZ14">
        <v>1320</v>
      </c>
      <c r="BA14">
        <f t="shared" si="24"/>
        <v>1716</v>
      </c>
    </row>
    <row r="15" spans="1:53" x14ac:dyDescent="0.3">
      <c r="A15" t="s">
        <v>74</v>
      </c>
      <c r="B15" t="s">
        <v>91</v>
      </c>
      <c r="C15" t="s">
        <v>92</v>
      </c>
      <c r="D15" t="s">
        <v>73</v>
      </c>
      <c r="E15" t="e">
        <f t="shared" si="0"/>
        <v>#VALUE!</v>
      </c>
      <c r="F15">
        <v>182</v>
      </c>
      <c r="G15">
        <f t="shared" si="1"/>
        <v>96.460000000000008</v>
      </c>
      <c r="H15">
        <v>16150</v>
      </c>
      <c r="I15">
        <f t="shared" si="2"/>
        <v>16150</v>
      </c>
      <c r="J15">
        <v>3172</v>
      </c>
      <c r="K15">
        <f t="shared" si="3"/>
        <v>4758</v>
      </c>
      <c r="L15">
        <v>900</v>
      </c>
      <c r="M15">
        <f t="shared" si="4"/>
        <v>1170</v>
      </c>
      <c r="N15" t="s">
        <v>73</v>
      </c>
      <c r="O15" t="e">
        <f t="shared" si="5"/>
        <v>#VALUE!</v>
      </c>
      <c r="P15">
        <v>273</v>
      </c>
      <c r="Q15">
        <f t="shared" si="6"/>
        <v>144.69</v>
      </c>
      <c r="R15">
        <v>5214</v>
      </c>
      <c r="S15">
        <f t="shared" si="7"/>
        <v>5214</v>
      </c>
      <c r="T15">
        <v>2843</v>
      </c>
      <c r="U15">
        <f t="shared" si="8"/>
        <v>4264.5</v>
      </c>
      <c r="V15">
        <v>1350</v>
      </c>
      <c r="W15">
        <f t="shared" ref="W15" si="34">V15*1.3</f>
        <v>1755</v>
      </c>
      <c r="X15" t="s">
        <v>73</v>
      </c>
      <c r="Y15" t="e">
        <f t="shared" si="10"/>
        <v>#VALUE!</v>
      </c>
      <c r="Z15">
        <v>69</v>
      </c>
      <c r="AA15">
        <f t="shared" si="11"/>
        <v>36.57</v>
      </c>
      <c r="AB15">
        <v>9029</v>
      </c>
      <c r="AC15">
        <f t="shared" si="12"/>
        <v>9029</v>
      </c>
      <c r="AD15">
        <v>1875</v>
      </c>
      <c r="AE15">
        <f t="shared" si="13"/>
        <v>2812.5</v>
      </c>
      <c r="AF15">
        <v>1485</v>
      </c>
      <c r="AG15">
        <f t="shared" si="14"/>
        <v>1930.5</v>
      </c>
      <c r="AH15" t="s">
        <v>73</v>
      </c>
      <c r="AI15" t="e">
        <f t="shared" si="15"/>
        <v>#VALUE!</v>
      </c>
      <c r="AJ15">
        <v>240</v>
      </c>
      <c r="AK15">
        <f t="shared" si="16"/>
        <v>127.2</v>
      </c>
      <c r="AL15">
        <v>13350</v>
      </c>
      <c r="AM15">
        <f t="shared" si="17"/>
        <v>13350</v>
      </c>
      <c r="AN15">
        <v>4080</v>
      </c>
      <c r="AO15">
        <f t="shared" si="18"/>
        <v>6120</v>
      </c>
      <c r="AP15">
        <v>1680</v>
      </c>
      <c r="AQ15">
        <f t="shared" si="19"/>
        <v>2184</v>
      </c>
      <c r="AR15" t="s">
        <v>73</v>
      </c>
      <c r="AS15" t="e">
        <f t="shared" si="20"/>
        <v>#VALUE!</v>
      </c>
      <c r="AT15">
        <v>210</v>
      </c>
      <c r="AU15">
        <f t="shared" si="21"/>
        <v>111.30000000000001</v>
      </c>
      <c r="AV15">
        <v>8580</v>
      </c>
      <c r="AW15">
        <f t="shared" si="22"/>
        <v>8580</v>
      </c>
      <c r="AX15">
        <v>5430</v>
      </c>
      <c r="AY15">
        <f t="shared" si="23"/>
        <v>8145</v>
      </c>
      <c r="AZ15">
        <v>3240</v>
      </c>
      <c r="BA15">
        <f t="shared" si="24"/>
        <v>4212</v>
      </c>
    </row>
    <row r="16" spans="1:53" x14ac:dyDescent="0.3">
      <c r="A16" t="s">
        <v>74</v>
      </c>
      <c r="B16" t="s">
        <v>93</v>
      </c>
      <c r="C16" t="s">
        <v>94</v>
      </c>
      <c r="D16" t="s">
        <v>73</v>
      </c>
      <c r="E16" t="e">
        <f t="shared" si="0"/>
        <v>#VALUE!</v>
      </c>
      <c r="F16">
        <v>73</v>
      </c>
      <c r="G16">
        <f t="shared" si="1"/>
        <v>38.690000000000005</v>
      </c>
      <c r="H16">
        <v>16110</v>
      </c>
      <c r="I16">
        <f t="shared" si="2"/>
        <v>16110</v>
      </c>
      <c r="J16">
        <v>2772</v>
      </c>
      <c r="K16">
        <f t="shared" si="3"/>
        <v>4158</v>
      </c>
      <c r="L16">
        <v>432</v>
      </c>
      <c r="M16">
        <f t="shared" si="4"/>
        <v>561.6</v>
      </c>
      <c r="N16" t="s">
        <v>73</v>
      </c>
      <c r="O16" t="e">
        <f t="shared" si="5"/>
        <v>#VALUE!</v>
      </c>
      <c r="P16">
        <v>15</v>
      </c>
      <c r="Q16">
        <f t="shared" si="6"/>
        <v>7.95</v>
      </c>
      <c r="R16">
        <v>3878</v>
      </c>
      <c r="S16">
        <f t="shared" si="7"/>
        <v>3878</v>
      </c>
      <c r="T16">
        <v>2829</v>
      </c>
      <c r="U16">
        <f t="shared" si="8"/>
        <v>4243.5</v>
      </c>
      <c r="V16">
        <v>1320</v>
      </c>
      <c r="W16">
        <f t="shared" ref="W16" si="35">V16*1.3</f>
        <v>1716</v>
      </c>
      <c r="X16" t="s">
        <v>73</v>
      </c>
      <c r="Y16" t="e">
        <f t="shared" si="10"/>
        <v>#VALUE!</v>
      </c>
      <c r="Z16">
        <v>15</v>
      </c>
      <c r="AA16">
        <f t="shared" si="11"/>
        <v>7.95</v>
      </c>
      <c r="AB16">
        <v>3900</v>
      </c>
      <c r="AC16">
        <f t="shared" si="12"/>
        <v>3900</v>
      </c>
      <c r="AD16">
        <v>2259</v>
      </c>
      <c r="AE16">
        <f t="shared" si="13"/>
        <v>3388.5</v>
      </c>
      <c r="AF16">
        <v>1200</v>
      </c>
      <c r="AG16">
        <f t="shared" si="14"/>
        <v>1560</v>
      </c>
      <c r="AH16" t="s">
        <v>73</v>
      </c>
      <c r="AI16" t="e">
        <f t="shared" si="15"/>
        <v>#VALUE!</v>
      </c>
      <c r="AJ16">
        <v>8</v>
      </c>
      <c r="AK16">
        <f t="shared" si="16"/>
        <v>4.24</v>
      </c>
      <c r="AL16">
        <v>9075</v>
      </c>
      <c r="AM16">
        <f t="shared" si="17"/>
        <v>9075</v>
      </c>
      <c r="AN16">
        <v>4380</v>
      </c>
      <c r="AO16">
        <f t="shared" si="18"/>
        <v>6570</v>
      </c>
      <c r="AP16">
        <v>1260</v>
      </c>
      <c r="AQ16">
        <f t="shared" si="19"/>
        <v>1638</v>
      </c>
      <c r="AR16" t="s">
        <v>73</v>
      </c>
      <c r="AS16" t="e">
        <f t="shared" si="20"/>
        <v>#VALUE!</v>
      </c>
      <c r="AT16">
        <v>8</v>
      </c>
      <c r="AU16">
        <f t="shared" si="21"/>
        <v>4.24</v>
      </c>
      <c r="AV16">
        <v>5733</v>
      </c>
      <c r="AW16">
        <f t="shared" si="22"/>
        <v>5733</v>
      </c>
      <c r="AX16">
        <v>6090</v>
      </c>
      <c r="AY16">
        <f t="shared" si="23"/>
        <v>9135</v>
      </c>
      <c r="AZ16">
        <v>1800</v>
      </c>
      <c r="BA16">
        <f t="shared" si="24"/>
        <v>2340</v>
      </c>
    </row>
    <row r="17" spans="1:53" x14ac:dyDescent="0.3">
      <c r="A17" t="s">
        <v>74</v>
      </c>
      <c r="B17" t="s">
        <v>95</v>
      </c>
      <c r="C17" t="s">
        <v>96</v>
      </c>
      <c r="D17" t="s">
        <v>73</v>
      </c>
      <c r="E17" t="e">
        <f t="shared" si="0"/>
        <v>#VALUE!</v>
      </c>
      <c r="F17">
        <v>36</v>
      </c>
      <c r="G17">
        <f t="shared" si="1"/>
        <v>19.080000000000002</v>
      </c>
      <c r="H17">
        <v>8640</v>
      </c>
      <c r="I17">
        <f t="shared" si="2"/>
        <v>8640</v>
      </c>
      <c r="J17">
        <v>740</v>
      </c>
      <c r="K17">
        <f t="shared" si="3"/>
        <v>1110</v>
      </c>
      <c r="L17" t="s">
        <v>73</v>
      </c>
      <c r="M17" t="e">
        <f t="shared" si="4"/>
        <v>#VALUE!</v>
      </c>
      <c r="N17" t="s">
        <v>73</v>
      </c>
      <c r="O17" t="e">
        <f t="shared" si="5"/>
        <v>#VALUE!</v>
      </c>
      <c r="P17">
        <v>22</v>
      </c>
      <c r="Q17">
        <f t="shared" si="6"/>
        <v>11.66</v>
      </c>
      <c r="R17">
        <v>2619</v>
      </c>
      <c r="S17">
        <f t="shared" si="7"/>
        <v>2619</v>
      </c>
      <c r="T17">
        <v>1464</v>
      </c>
      <c r="U17">
        <f t="shared" si="8"/>
        <v>2196</v>
      </c>
      <c r="V17">
        <v>198</v>
      </c>
      <c r="W17">
        <f t="shared" ref="W17" si="36">V17*1.3</f>
        <v>257.40000000000003</v>
      </c>
      <c r="X17" t="s">
        <v>73</v>
      </c>
      <c r="Y17" t="e">
        <f t="shared" si="10"/>
        <v>#VALUE!</v>
      </c>
      <c r="Z17">
        <v>36</v>
      </c>
      <c r="AA17">
        <f t="shared" si="11"/>
        <v>19.080000000000002</v>
      </c>
      <c r="AB17">
        <v>7200</v>
      </c>
      <c r="AC17">
        <f t="shared" si="12"/>
        <v>7200</v>
      </c>
      <c r="AD17">
        <v>869</v>
      </c>
      <c r="AE17">
        <f t="shared" si="13"/>
        <v>1303.5</v>
      </c>
      <c r="AF17">
        <v>198</v>
      </c>
      <c r="AG17">
        <f t="shared" si="14"/>
        <v>257.40000000000003</v>
      </c>
      <c r="AH17" t="s">
        <v>73</v>
      </c>
      <c r="AI17" t="e">
        <f t="shared" si="15"/>
        <v>#VALUE!</v>
      </c>
      <c r="AJ17">
        <v>12</v>
      </c>
      <c r="AK17">
        <f t="shared" si="16"/>
        <v>6.36</v>
      </c>
      <c r="AL17">
        <v>4410</v>
      </c>
      <c r="AM17">
        <f t="shared" si="17"/>
        <v>4410</v>
      </c>
      <c r="AN17">
        <v>1449</v>
      </c>
      <c r="AO17">
        <f t="shared" si="18"/>
        <v>2173.5</v>
      </c>
      <c r="AP17">
        <v>84</v>
      </c>
      <c r="AQ17">
        <f t="shared" si="19"/>
        <v>109.2</v>
      </c>
      <c r="AR17" t="s">
        <v>73</v>
      </c>
      <c r="AS17" t="e">
        <f t="shared" si="20"/>
        <v>#VALUE!</v>
      </c>
      <c r="AT17" t="s">
        <v>73</v>
      </c>
      <c r="AU17" t="e">
        <f t="shared" si="21"/>
        <v>#VALUE!</v>
      </c>
      <c r="AV17">
        <v>3456</v>
      </c>
      <c r="AW17">
        <f t="shared" si="22"/>
        <v>3456</v>
      </c>
      <c r="AX17">
        <v>1449</v>
      </c>
      <c r="AY17">
        <f t="shared" si="23"/>
        <v>2173.5</v>
      </c>
      <c r="AZ17">
        <v>200</v>
      </c>
      <c r="BA17">
        <f t="shared" si="24"/>
        <v>260</v>
      </c>
    </row>
    <row r="18" spans="1:53" x14ac:dyDescent="0.3">
      <c r="A18" t="s">
        <v>74</v>
      </c>
      <c r="B18" t="s">
        <v>97</v>
      </c>
      <c r="C18" t="s">
        <v>98</v>
      </c>
      <c r="D18" t="s">
        <v>73</v>
      </c>
      <c r="E18" t="e">
        <f t="shared" si="0"/>
        <v>#VALUE!</v>
      </c>
      <c r="F18">
        <v>1341</v>
      </c>
      <c r="G18">
        <f t="shared" si="1"/>
        <v>710.73</v>
      </c>
      <c r="H18">
        <v>18360</v>
      </c>
      <c r="I18">
        <f t="shared" si="2"/>
        <v>18360</v>
      </c>
      <c r="J18">
        <v>40290</v>
      </c>
      <c r="K18">
        <f t="shared" si="3"/>
        <v>60435</v>
      </c>
      <c r="L18">
        <v>1840</v>
      </c>
      <c r="M18">
        <f t="shared" si="4"/>
        <v>2392</v>
      </c>
      <c r="N18" t="s">
        <v>73</v>
      </c>
      <c r="O18" t="e">
        <f t="shared" si="5"/>
        <v>#VALUE!</v>
      </c>
      <c r="P18">
        <v>948</v>
      </c>
      <c r="Q18">
        <f t="shared" si="6"/>
        <v>502.44</v>
      </c>
      <c r="R18">
        <v>5520</v>
      </c>
      <c r="S18">
        <f t="shared" si="7"/>
        <v>5520</v>
      </c>
      <c r="T18">
        <v>34375</v>
      </c>
      <c r="U18">
        <f t="shared" si="8"/>
        <v>51562.5</v>
      </c>
      <c r="V18">
        <v>4200</v>
      </c>
      <c r="W18">
        <f t="shared" ref="W18" si="37">V18*1.3</f>
        <v>5460</v>
      </c>
      <c r="X18" t="s">
        <v>73</v>
      </c>
      <c r="Y18" t="e">
        <f t="shared" si="10"/>
        <v>#VALUE!</v>
      </c>
      <c r="Z18">
        <v>2646</v>
      </c>
      <c r="AA18">
        <f t="shared" si="11"/>
        <v>1402.38</v>
      </c>
      <c r="AB18">
        <v>8700</v>
      </c>
      <c r="AC18">
        <f t="shared" si="12"/>
        <v>8700</v>
      </c>
      <c r="AD18">
        <v>15330</v>
      </c>
      <c r="AE18">
        <f t="shared" si="13"/>
        <v>22995</v>
      </c>
      <c r="AF18">
        <v>4860</v>
      </c>
      <c r="AG18">
        <f t="shared" si="14"/>
        <v>6318</v>
      </c>
      <c r="AH18" t="s">
        <v>73</v>
      </c>
      <c r="AI18" t="e">
        <f t="shared" si="15"/>
        <v>#VALUE!</v>
      </c>
      <c r="AJ18">
        <v>2502</v>
      </c>
      <c r="AK18">
        <f t="shared" si="16"/>
        <v>1326.0600000000002</v>
      </c>
      <c r="AL18">
        <v>10200</v>
      </c>
      <c r="AM18">
        <f t="shared" si="17"/>
        <v>10200</v>
      </c>
      <c r="AN18">
        <v>42360</v>
      </c>
      <c r="AO18">
        <f t="shared" si="18"/>
        <v>63540</v>
      </c>
      <c r="AP18">
        <v>6600</v>
      </c>
      <c r="AQ18">
        <f t="shared" si="19"/>
        <v>8580</v>
      </c>
      <c r="AR18" t="s">
        <v>73</v>
      </c>
      <c r="AS18" t="e">
        <f t="shared" si="20"/>
        <v>#VALUE!</v>
      </c>
      <c r="AT18">
        <v>2316</v>
      </c>
      <c r="AU18">
        <f t="shared" si="21"/>
        <v>1227.48</v>
      </c>
      <c r="AV18">
        <v>8880</v>
      </c>
      <c r="AW18">
        <f t="shared" si="22"/>
        <v>8880</v>
      </c>
      <c r="AX18">
        <v>36105</v>
      </c>
      <c r="AY18">
        <f t="shared" si="23"/>
        <v>54157.5</v>
      </c>
      <c r="AZ18">
        <v>6000</v>
      </c>
      <c r="BA18">
        <f t="shared" si="24"/>
        <v>7800</v>
      </c>
    </row>
    <row r="19" spans="1:53" x14ac:dyDescent="0.3">
      <c r="A19" t="s">
        <v>74</v>
      </c>
      <c r="B19" t="s">
        <v>99</v>
      </c>
      <c r="C19" t="s">
        <v>100</v>
      </c>
      <c r="D19" t="s">
        <v>73</v>
      </c>
      <c r="E19" t="e">
        <f t="shared" si="0"/>
        <v>#VALUE!</v>
      </c>
      <c r="F19">
        <v>45</v>
      </c>
      <c r="G19">
        <f t="shared" si="1"/>
        <v>23.85</v>
      </c>
      <c r="H19">
        <v>8663</v>
      </c>
      <c r="I19">
        <f t="shared" si="2"/>
        <v>8663</v>
      </c>
      <c r="J19">
        <v>5958</v>
      </c>
      <c r="K19">
        <f t="shared" si="3"/>
        <v>8937</v>
      </c>
      <c r="L19">
        <v>113</v>
      </c>
      <c r="M19">
        <f t="shared" si="4"/>
        <v>146.9</v>
      </c>
      <c r="N19" t="s">
        <v>73</v>
      </c>
      <c r="O19" t="e">
        <f t="shared" si="5"/>
        <v>#VALUE!</v>
      </c>
      <c r="P19">
        <v>30</v>
      </c>
      <c r="Q19">
        <f t="shared" si="6"/>
        <v>15.9</v>
      </c>
      <c r="R19">
        <v>3208</v>
      </c>
      <c r="S19">
        <f t="shared" si="7"/>
        <v>3208</v>
      </c>
      <c r="T19">
        <v>5200</v>
      </c>
      <c r="U19">
        <f t="shared" si="8"/>
        <v>7800</v>
      </c>
      <c r="V19">
        <v>1800</v>
      </c>
      <c r="W19">
        <f t="shared" ref="W19" si="38">V19*1.3</f>
        <v>2340</v>
      </c>
      <c r="X19" t="s">
        <v>73</v>
      </c>
      <c r="Y19" t="e">
        <f t="shared" si="10"/>
        <v>#VALUE!</v>
      </c>
      <c r="Z19">
        <v>122</v>
      </c>
      <c r="AA19">
        <f t="shared" si="11"/>
        <v>64.66</v>
      </c>
      <c r="AB19">
        <v>4140</v>
      </c>
      <c r="AC19">
        <f t="shared" si="12"/>
        <v>4140</v>
      </c>
      <c r="AD19">
        <v>2820</v>
      </c>
      <c r="AE19">
        <f t="shared" si="13"/>
        <v>4230</v>
      </c>
      <c r="AF19">
        <v>1290</v>
      </c>
      <c r="AG19">
        <f t="shared" si="14"/>
        <v>1677</v>
      </c>
      <c r="AH19" t="s">
        <v>73</v>
      </c>
      <c r="AI19" t="e">
        <f t="shared" si="15"/>
        <v>#VALUE!</v>
      </c>
      <c r="AJ19">
        <v>102</v>
      </c>
      <c r="AK19">
        <f t="shared" si="16"/>
        <v>54.06</v>
      </c>
      <c r="AL19">
        <v>5670</v>
      </c>
      <c r="AM19">
        <f t="shared" si="17"/>
        <v>5670</v>
      </c>
      <c r="AN19">
        <v>10160</v>
      </c>
      <c r="AO19">
        <f t="shared" si="18"/>
        <v>15240</v>
      </c>
      <c r="AP19">
        <v>450</v>
      </c>
      <c r="AQ19">
        <f t="shared" si="19"/>
        <v>585</v>
      </c>
      <c r="AR19" t="s">
        <v>73</v>
      </c>
      <c r="AS19" t="e">
        <f t="shared" si="20"/>
        <v>#VALUE!</v>
      </c>
      <c r="AT19">
        <v>243</v>
      </c>
      <c r="AU19">
        <f t="shared" si="21"/>
        <v>128.79000000000002</v>
      </c>
      <c r="AV19">
        <v>4158</v>
      </c>
      <c r="AW19">
        <f t="shared" si="22"/>
        <v>4158</v>
      </c>
      <c r="AX19">
        <v>7125</v>
      </c>
      <c r="AY19">
        <f t="shared" si="23"/>
        <v>10687.5</v>
      </c>
      <c r="AZ19">
        <v>1320</v>
      </c>
      <c r="BA19">
        <f t="shared" si="24"/>
        <v>1716</v>
      </c>
    </row>
    <row r="20" spans="1:53" x14ac:dyDescent="0.3">
      <c r="A20" t="s">
        <v>74</v>
      </c>
      <c r="B20" t="s">
        <v>101</v>
      </c>
      <c r="C20" t="s">
        <v>102</v>
      </c>
      <c r="D20" t="s">
        <v>73</v>
      </c>
      <c r="E20" t="e">
        <f t="shared" si="0"/>
        <v>#VALUE!</v>
      </c>
      <c r="F20">
        <v>162</v>
      </c>
      <c r="G20">
        <f t="shared" si="1"/>
        <v>85.86</v>
      </c>
      <c r="H20">
        <v>9008</v>
      </c>
      <c r="I20">
        <f t="shared" si="2"/>
        <v>9008</v>
      </c>
      <c r="J20">
        <v>1890</v>
      </c>
      <c r="K20">
        <f t="shared" si="3"/>
        <v>2835</v>
      </c>
      <c r="L20">
        <v>126</v>
      </c>
      <c r="M20">
        <f t="shared" si="4"/>
        <v>163.80000000000001</v>
      </c>
      <c r="N20" t="s">
        <v>73</v>
      </c>
      <c r="O20" t="e">
        <f t="shared" si="5"/>
        <v>#VALUE!</v>
      </c>
      <c r="P20">
        <v>120</v>
      </c>
      <c r="Q20">
        <f t="shared" si="6"/>
        <v>63.6</v>
      </c>
      <c r="R20">
        <v>3528</v>
      </c>
      <c r="S20">
        <f t="shared" si="7"/>
        <v>3528</v>
      </c>
      <c r="T20">
        <v>1932</v>
      </c>
      <c r="U20">
        <f t="shared" si="8"/>
        <v>2898</v>
      </c>
      <c r="V20">
        <v>360</v>
      </c>
      <c r="W20">
        <f t="shared" ref="W20" si="39">V20*1.3</f>
        <v>468</v>
      </c>
      <c r="X20" t="s">
        <v>73</v>
      </c>
      <c r="Y20" t="e">
        <f t="shared" si="10"/>
        <v>#VALUE!</v>
      </c>
      <c r="Z20">
        <v>114</v>
      </c>
      <c r="AA20">
        <f t="shared" si="11"/>
        <v>60.42</v>
      </c>
      <c r="AB20">
        <v>4719</v>
      </c>
      <c r="AC20">
        <f t="shared" si="12"/>
        <v>4719</v>
      </c>
      <c r="AD20">
        <v>1020</v>
      </c>
      <c r="AE20">
        <f t="shared" si="13"/>
        <v>1530</v>
      </c>
      <c r="AF20">
        <v>800</v>
      </c>
      <c r="AG20">
        <f t="shared" si="14"/>
        <v>1040</v>
      </c>
      <c r="AH20" t="s">
        <v>73</v>
      </c>
      <c r="AI20" t="e">
        <f t="shared" si="15"/>
        <v>#VALUE!</v>
      </c>
      <c r="AJ20">
        <v>200</v>
      </c>
      <c r="AK20">
        <f t="shared" si="16"/>
        <v>106</v>
      </c>
      <c r="AL20">
        <v>7680</v>
      </c>
      <c r="AM20">
        <f t="shared" si="17"/>
        <v>7680</v>
      </c>
      <c r="AN20">
        <v>3480</v>
      </c>
      <c r="AO20">
        <f t="shared" si="18"/>
        <v>5220</v>
      </c>
      <c r="AP20">
        <v>540</v>
      </c>
      <c r="AQ20">
        <f t="shared" si="19"/>
        <v>702</v>
      </c>
      <c r="AR20" t="s">
        <v>73</v>
      </c>
      <c r="AS20" t="e">
        <f t="shared" si="20"/>
        <v>#VALUE!</v>
      </c>
      <c r="AT20">
        <v>155</v>
      </c>
      <c r="AU20">
        <f t="shared" si="21"/>
        <v>82.15</v>
      </c>
      <c r="AV20">
        <v>6210</v>
      </c>
      <c r="AW20">
        <f t="shared" si="22"/>
        <v>6210</v>
      </c>
      <c r="AX20">
        <v>2745</v>
      </c>
      <c r="AY20">
        <f t="shared" si="23"/>
        <v>4117.5</v>
      </c>
      <c r="AZ20">
        <v>1200</v>
      </c>
      <c r="BA20">
        <f t="shared" si="24"/>
        <v>1560</v>
      </c>
    </row>
    <row r="21" spans="1:53" x14ac:dyDescent="0.3">
      <c r="A21" t="s">
        <v>74</v>
      </c>
      <c r="B21" t="s">
        <v>103</v>
      </c>
      <c r="C21" t="s">
        <v>104</v>
      </c>
      <c r="D21" t="s">
        <v>73</v>
      </c>
      <c r="E21" t="e">
        <f t="shared" si="0"/>
        <v>#VALUE!</v>
      </c>
      <c r="F21">
        <v>48</v>
      </c>
      <c r="G21">
        <f t="shared" si="1"/>
        <v>25.44</v>
      </c>
      <c r="H21">
        <v>9000</v>
      </c>
      <c r="I21">
        <f t="shared" si="2"/>
        <v>9000</v>
      </c>
      <c r="J21">
        <v>1656</v>
      </c>
      <c r="K21">
        <f t="shared" si="3"/>
        <v>2484</v>
      </c>
      <c r="L21" t="s">
        <v>73</v>
      </c>
      <c r="M21" t="e">
        <f t="shared" si="4"/>
        <v>#VALUE!</v>
      </c>
      <c r="N21" t="s">
        <v>73</v>
      </c>
      <c r="O21" t="e">
        <f t="shared" si="5"/>
        <v>#VALUE!</v>
      </c>
      <c r="P21">
        <v>20</v>
      </c>
      <c r="Q21">
        <f t="shared" si="6"/>
        <v>10.600000000000001</v>
      </c>
      <c r="R21">
        <v>1700</v>
      </c>
      <c r="S21">
        <f t="shared" si="7"/>
        <v>1700</v>
      </c>
      <c r="T21">
        <v>1260</v>
      </c>
      <c r="U21">
        <f t="shared" si="8"/>
        <v>1890</v>
      </c>
      <c r="V21">
        <v>189</v>
      </c>
      <c r="W21">
        <f t="shared" ref="W21" si="40">V21*1.3</f>
        <v>245.70000000000002</v>
      </c>
      <c r="X21" t="s">
        <v>73</v>
      </c>
      <c r="Y21" t="e">
        <f t="shared" si="10"/>
        <v>#VALUE!</v>
      </c>
      <c r="Z21">
        <v>48</v>
      </c>
      <c r="AA21">
        <f t="shared" si="11"/>
        <v>25.44</v>
      </c>
      <c r="AB21">
        <v>7260</v>
      </c>
      <c r="AC21">
        <f t="shared" si="12"/>
        <v>7260</v>
      </c>
      <c r="AD21">
        <v>990</v>
      </c>
      <c r="AE21">
        <f t="shared" si="13"/>
        <v>1485</v>
      </c>
      <c r="AF21" t="s">
        <v>73</v>
      </c>
      <c r="AG21" t="e">
        <f t="shared" si="14"/>
        <v>#VALUE!</v>
      </c>
      <c r="AH21" t="s">
        <v>73</v>
      </c>
      <c r="AI21" t="e">
        <f t="shared" si="15"/>
        <v>#VALUE!</v>
      </c>
      <c r="AJ21">
        <v>24</v>
      </c>
      <c r="AK21">
        <f t="shared" si="16"/>
        <v>12.72</v>
      </c>
      <c r="AL21">
        <v>5280</v>
      </c>
      <c r="AM21">
        <f t="shared" si="17"/>
        <v>5280</v>
      </c>
      <c r="AN21">
        <v>2580</v>
      </c>
      <c r="AO21">
        <f t="shared" si="18"/>
        <v>3870</v>
      </c>
      <c r="AP21">
        <v>105</v>
      </c>
      <c r="AQ21">
        <f t="shared" si="19"/>
        <v>136.5</v>
      </c>
      <c r="AR21" t="s">
        <v>73</v>
      </c>
      <c r="AS21" t="e">
        <f t="shared" si="20"/>
        <v>#VALUE!</v>
      </c>
      <c r="AT21">
        <v>24</v>
      </c>
      <c r="AU21">
        <f t="shared" si="21"/>
        <v>12.72</v>
      </c>
      <c r="AV21">
        <v>5520</v>
      </c>
      <c r="AW21">
        <f t="shared" si="22"/>
        <v>5520</v>
      </c>
      <c r="AX21">
        <v>2310</v>
      </c>
      <c r="AY21">
        <f t="shared" si="23"/>
        <v>3465</v>
      </c>
      <c r="AZ21">
        <v>330</v>
      </c>
      <c r="BA21">
        <f t="shared" si="24"/>
        <v>429</v>
      </c>
    </row>
    <row r="22" spans="1:53" x14ac:dyDescent="0.3">
      <c r="A22" t="s">
        <v>74</v>
      </c>
      <c r="B22" t="s">
        <v>105</v>
      </c>
      <c r="C22" t="s">
        <v>106</v>
      </c>
      <c r="D22" t="s">
        <v>73</v>
      </c>
      <c r="E22" t="e">
        <f t="shared" si="0"/>
        <v>#VALUE!</v>
      </c>
      <c r="F22">
        <v>273</v>
      </c>
      <c r="G22">
        <f t="shared" si="1"/>
        <v>144.69</v>
      </c>
      <c r="H22">
        <v>8625</v>
      </c>
      <c r="I22">
        <f t="shared" si="2"/>
        <v>8625</v>
      </c>
      <c r="J22">
        <v>824</v>
      </c>
      <c r="K22">
        <f t="shared" si="3"/>
        <v>1236</v>
      </c>
      <c r="L22">
        <v>63</v>
      </c>
      <c r="M22">
        <f t="shared" si="4"/>
        <v>81.900000000000006</v>
      </c>
      <c r="N22" t="s">
        <v>73</v>
      </c>
      <c r="O22" t="e">
        <f t="shared" si="5"/>
        <v>#VALUE!</v>
      </c>
      <c r="P22">
        <v>147</v>
      </c>
      <c r="Q22">
        <f t="shared" si="6"/>
        <v>77.910000000000011</v>
      </c>
      <c r="R22">
        <v>1821</v>
      </c>
      <c r="S22">
        <f t="shared" si="7"/>
        <v>1821</v>
      </c>
      <c r="T22">
        <v>662</v>
      </c>
      <c r="U22">
        <f t="shared" si="8"/>
        <v>993</v>
      </c>
      <c r="V22">
        <v>336</v>
      </c>
      <c r="W22">
        <f t="shared" ref="W22" si="41">V22*1.3</f>
        <v>436.8</v>
      </c>
      <c r="X22" t="s">
        <v>73</v>
      </c>
      <c r="Y22" t="e">
        <f t="shared" si="10"/>
        <v>#VALUE!</v>
      </c>
      <c r="Z22">
        <v>180</v>
      </c>
      <c r="AA22">
        <f t="shared" si="11"/>
        <v>95.4</v>
      </c>
      <c r="AB22">
        <v>1923</v>
      </c>
      <c r="AC22">
        <f t="shared" si="12"/>
        <v>1923</v>
      </c>
      <c r="AD22">
        <v>954</v>
      </c>
      <c r="AE22">
        <f t="shared" si="13"/>
        <v>1431</v>
      </c>
      <c r="AF22">
        <v>360</v>
      </c>
      <c r="AG22">
        <f t="shared" si="14"/>
        <v>468</v>
      </c>
      <c r="AH22" t="s">
        <v>73</v>
      </c>
      <c r="AI22" t="e">
        <f t="shared" si="15"/>
        <v>#VALUE!</v>
      </c>
      <c r="AJ22">
        <v>114</v>
      </c>
      <c r="AK22">
        <f t="shared" si="16"/>
        <v>60.42</v>
      </c>
      <c r="AL22">
        <v>5280</v>
      </c>
      <c r="AM22">
        <f t="shared" si="17"/>
        <v>5280</v>
      </c>
      <c r="AN22">
        <v>3300</v>
      </c>
      <c r="AO22">
        <f t="shared" si="18"/>
        <v>4950</v>
      </c>
      <c r="AP22">
        <v>480</v>
      </c>
      <c r="AQ22">
        <f t="shared" si="19"/>
        <v>624</v>
      </c>
      <c r="AR22" t="s">
        <v>73</v>
      </c>
      <c r="AS22" t="e">
        <f t="shared" si="20"/>
        <v>#VALUE!</v>
      </c>
      <c r="AT22">
        <v>57</v>
      </c>
      <c r="AU22">
        <f t="shared" si="21"/>
        <v>30.21</v>
      </c>
      <c r="AV22">
        <v>4320</v>
      </c>
      <c r="AW22">
        <f t="shared" si="22"/>
        <v>4320</v>
      </c>
      <c r="AX22">
        <v>3240</v>
      </c>
      <c r="AY22">
        <f t="shared" si="23"/>
        <v>4860</v>
      </c>
      <c r="AZ22">
        <v>420</v>
      </c>
      <c r="BA22">
        <f t="shared" si="24"/>
        <v>546</v>
      </c>
    </row>
    <row r="23" spans="1:53" x14ac:dyDescent="0.3">
      <c r="A23" t="s">
        <v>74</v>
      </c>
      <c r="B23" t="s">
        <v>107</v>
      </c>
      <c r="C23" t="s">
        <v>108</v>
      </c>
      <c r="D23" t="s">
        <v>73</v>
      </c>
      <c r="E23" t="e">
        <f t="shared" si="0"/>
        <v>#VALUE!</v>
      </c>
      <c r="F23">
        <v>180</v>
      </c>
      <c r="G23">
        <f t="shared" si="1"/>
        <v>95.4</v>
      </c>
      <c r="H23">
        <v>5940</v>
      </c>
      <c r="I23">
        <f t="shared" si="2"/>
        <v>5940</v>
      </c>
      <c r="J23">
        <v>1260</v>
      </c>
      <c r="K23">
        <f t="shared" si="3"/>
        <v>1890</v>
      </c>
      <c r="L23">
        <v>100</v>
      </c>
      <c r="M23">
        <f t="shared" si="4"/>
        <v>130</v>
      </c>
      <c r="N23" t="s">
        <v>73</v>
      </c>
      <c r="O23" t="e">
        <f t="shared" si="5"/>
        <v>#VALUE!</v>
      </c>
      <c r="P23">
        <v>180</v>
      </c>
      <c r="Q23">
        <f t="shared" si="6"/>
        <v>95.4</v>
      </c>
      <c r="R23">
        <v>1352</v>
      </c>
      <c r="S23">
        <f t="shared" si="7"/>
        <v>1352</v>
      </c>
      <c r="T23">
        <v>1260</v>
      </c>
      <c r="U23">
        <f t="shared" si="8"/>
        <v>1890</v>
      </c>
      <c r="V23">
        <v>288</v>
      </c>
      <c r="W23">
        <f t="shared" ref="W23" si="42">V23*1.3</f>
        <v>374.40000000000003</v>
      </c>
      <c r="X23" t="s">
        <v>73</v>
      </c>
      <c r="Y23" t="e">
        <f t="shared" si="10"/>
        <v>#VALUE!</v>
      </c>
      <c r="Z23">
        <v>162</v>
      </c>
      <c r="AA23">
        <f t="shared" si="11"/>
        <v>85.86</v>
      </c>
      <c r="AB23">
        <v>2790</v>
      </c>
      <c r="AC23">
        <f t="shared" si="12"/>
        <v>2790</v>
      </c>
      <c r="AD23">
        <v>540</v>
      </c>
      <c r="AE23">
        <f t="shared" si="13"/>
        <v>810</v>
      </c>
      <c r="AF23">
        <v>210</v>
      </c>
      <c r="AG23">
        <f t="shared" si="14"/>
        <v>273</v>
      </c>
      <c r="AH23" t="s">
        <v>73</v>
      </c>
      <c r="AI23" t="e">
        <f t="shared" si="15"/>
        <v>#VALUE!</v>
      </c>
      <c r="AJ23">
        <v>84</v>
      </c>
      <c r="AK23">
        <f t="shared" si="16"/>
        <v>44.52</v>
      </c>
      <c r="AL23">
        <v>5670</v>
      </c>
      <c r="AM23">
        <f t="shared" si="17"/>
        <v>5670</v>
      </c>
      <c r="AN23">
        <v>1870</v>
      </c>
      <c r="AO23">
        <f t="shared" si="18"/>
        <v>2805</v>
      </c>
      <c r="AP23">
        <v>192</v>
      </c>
      <c r="AQ23">
        <f t="shared" si="19"/>
        <v>249.60000000000002</v>
      </c>
      <c r="AR23" t="s">
        <v>73</v>
      </c>
      <c r="AS23" t="e">
        <f t="shared" si="20"/>
        <v>#VALUE!</v>
      </c>
      <c r="AT23">
        <v>126</v>
      </c>
      <c r="AU23">
        <f t="shared" si="21"/>
        <v>66.78</v>
      </c>
      <c r="AV23">
        <v>3150</v>
      </c>
      <c r="AW23">
        <f t="shared" si="22"/>
        <v>3150</v>
      </c>
      <c r="AX23">
        <v>1884</v>
      </c>
      <c r="AY23">
        <f t="shared" si="23"/>
        <v>2826</v>
      </c>
      <c r="AZ23">
        <v>720</v>
      </c>
      <c r="BA23">
        <f t="shared" si="24"/>
        <v>936</v>
      </c>
    </row>
    <row r="24" spans="1:53" x14ac:dyDescent="0.3">
      <c r="A24" t="s">
        <v>74</v>
      </c>
      <c r="B24" t="s">
        <v>109</v>
      </c>
      <c r="C24" t="s">
        <v>110</v>
      </c>
      <c r="D24" t="s">
        <v>73</v>
      </c>
      <c r="E24" t="e">
        <f t="shared" si="0"/>
        <v>#VALUE!</v>
      </c>
      <c r="F24">
        <v>30</v>
      </c>
      <c r="G24">
        <f t="shared" si="1"/>
        <v>15.9</v>
      </c>
      <c r="H24">
        <v>10851</v>
      </c>
      <c r="I24">
        <f t="shared" si="2"/>
        <v>10851</v>
      </c>
      <c r="J24">
        <v>600</v>
      </c>
      <c r="K24">
        <f t="shared" si="3"/>
        <v>900</v>
      </c>
      <c r="L24">
        <v>144</v>
      </c>
      <c r="M24">
        <f t="shared" si="4"/>
        <v>187.20000000000002</v>
      </c>
      <c r="N24" t="s">
        <v>73</v>
      </c>
      <c r="O24" t="e">
        <f t="shared" si="5"/>
        <v>#VALUE!</v>
      </c>
      <c r="P24">
        <v>39</v>
      </c>
      <c r="Q24">
        <f t="shared" si="6"/>
        <v>20.67</v>
      </c>
      <c r="R24">
        <v>2099</v>
      </c>
      <c r="S24">
        <f t="shared" si="7"/>
        <v>2099</v>
      </c>
      <c r="T24">
        <v>356</v>
      </c>
      <c r="U24">
        <f t="shared" si="8"/>
        <v>534</v>
      </c>
      <c r="V24">
        <v>15</v>
      </c>
      <c r="W24">
        <f t="shared" ref="W24" si="43">V24*1.3</f>
        <v>19.5</v>
      </c>
      <c r="X24" t="s">
        <v>73</v>
      </c>
      <c r="Y24" t="e">
        <f t="shared" si="10"/>
        <v>#VALUE!</v>
      </c>
      <c r="Z24">
        <v>16</v>
      </c>
      <c r="AA24">
        <f t="shared" si="11"/>
        <v>8.48</v>
      </c>
      <c r="AB24">
        <v>5040</v>
      </c>
      <c r="AC24">
        <f t="shared" si="12"/>
        <v>5040</v>
      </c>
      <c r="AD24">
        <v>660</v>
      </c>
      <c r="AE24">
        <f t="shared" si="13"/>
        <v>990</v>
      </c>
      <c r="AF24">
        <v>240</v>
      </c>
      <c r="AG24">
        <f t="shared" si="14"/>
        <v>312</v>
      </c>
      <c r="AH24" t="s">
        <v>73</v>
      </c>
      <c r="AI24" t="e">
        <f t="shared" si="15"/>
        <v>#VALUE!</v>
      </c>
      <c r="AJ24">
        <v>28</v>
      </c>
      <c r="AK24">
        <f t="shared" si="16"/>
        <v>14.84</v>
      </c>
      <c r="AL24">
        <v>4860</v>
      </c>
      <c r="AM24">
        <f t="shared" si="17"/>
        <v>4860</v>
      </c>
      <c r="AN24">
        <v>2460</v>
      </c>
      <c r="AO24">
        <f t="shared" si="18"/>
        <v>3690</v>
      </c>
      <c r="AP24">
        <v>216</v>
      </c>
      <c r="AQ24">
        <f t="shared" si="19"/>
        <v>280.8</v>
      </c>
      <c r="AR24" t="s">
        <v>73</v>
      </c>
      <c r="AS24" t="e">
        <f t="shared" si="20"/>
        <v>#VALUE!</v>
      </c>
      <c r="AT24">
        <v>17</v>
      </c>
      <c r="AU24">
        <f t="shared" si="21"/>
        <v>9.01</v>
      </c>
      <c r="AV24">
        <v>4650</v>
      </c>
      <c r="AW24">
        <f t="shared" si="22"/>
        <v>4650</v>
      </c>
      <c r="AX24">
        <v>3000</v>
      </c>
      <c r="AY24">
        <f t="shared" si="23"/>
        <v>4500</v>
      </c>
      <c r="AZ24">
        <v>300</v>
      </c>
      <c r="BA24">
        <f t="shared" si="24"/>
        <v>390</v>
      </c>
    </row>
    <row r="25" spans="1:53" x14ac:dyDescent="0.3">
      <c r="A25" t="s">
        <v>74</v>
      </c>
      <c r="B25" t="s">
        <v>111</v>
      </c>
      <c r="C25" t="s">
        <v>112</v>
      </c>
      <c r="D25" t="s">
        <v>73</v>
      </c>
      <c r="E25" t="e">
        <f t="shared" si="0"/>
        <v>#VALUE!</v>
      </c>
      <c r="F25">
        <v>590</v>
      </c>
      <c r="G25">
        <f t="shared" si="1"/>
        <v>312.7</v>
      </c>
      <c r="H25">
        <v>34320</v>
      </c>
      <c r="I25">
        <f t="shared" si="2"/>
        <v>34320</v>
      </c>
      <c r="J25">
        <v>12840</v>
      </c>
      <c r="K25">
        <f t="shared" si="3"/>
        <v>19260</v>
      </c>
      <c r="L25">
        <v>780</v>
      </c>
      <c r="M25">
        <f t="shared" si="4"/>
        <v>1014</v>
      </c>
      <c r="N25" t="s">
        <v>73</v>
      </c>
      <c r="O25" t="e">
        <f t="shared" si="5"/>
        <v>#VALUE!</v>
      </c>
      <c r="P25">
        <v>300</v>
      </c>
      <c r="Q25">
        <f t="shared" si="6"/>
        <v>159</v>
      </c>
      <c r="R25">
        <v>10498</v>
      </c>
      <c r="S25">
        <f t="shared" si="7"/>
        <v>10498</v>
      </c>
      <c r="T25">
        <v>8200</v>
      </c>
      <c r="U25">
        <f t="shared" si="8"/>
        <v>12300</v>
      </c>
      <c r="V25">
        <v>2340</v>
      </c>
      <c r="W25">
        <f t="shared" ref="W25" si="44">V25*1.3</f>
        <v>3042</v>
      </c>
      <c r="X25" t="s">
        <v>73</v>
      </c>
      <c r="Y25" t="e">
        <f t="shared" si="10"/>
        <v>#VALUE!</v>
      </c>
      <c r="Z25">
        <v>510</v>
      </c>
      <c r="AA25">
        <f t="shared" si="11"/>
        <v>270.3</v>
      </c>
      <c r="AB25">
        <v>12600</v>
      </c>
      <c r="AC25">
        <f t="shared" si="12"/>
        <v>12600</v>
      </c>
      <c r="AD25">
        <v>4830</v>
      </c>
      <c r="AE25">
        <f t="shared" si="13"/>
        <v>7245</v>
      </c>
      <c r="AF25">
        <v>1800</v>
      </c>
      <c r="AG25">
        <f t="shared" si="14"/>
        <v>2340</v>
      </c>
      <c r="AH25" t="s">
        <v>73</v>
      </c>
      <c r="AI25" t="e">
        <f t="shared" si="15"/>
        <v>#VALUE!</v>
      </c>
      <c r="AJ25">
        <v>600</v>
      </c>
      <c r="AK25">
        <f t="shared" si="16"/>
        <v>318</v>
      </c>
      <c r="AL25">
        <v>30000</v>
      </c>
      <c r="AM25">
        <f t="shared" si="17"/>
        <v>30000</v>
      </c>
      <c r="AN25">
        <v>15240</v>
      </c>
      <c r="AO25">
        <f t="shared" si="18"/>
        <v>22860</v>
      </c>
      <c r="AP25">
        <v>1800</v>
      </c>
      <c r="AQ25">
        <f t="shared" si="19"/>
        <v>2340</v>
      </c>
      <c r="AR25" t="s">
        <v>73</v>
      </c>
      <c r="AS25" t="e">
        <f t="shared" si="20"/>
        <v>#VALUE!</v>
      </c>
      <c r="AT25">
        <v>798</v>
      </c>
      <c r="AU25">
        <f t="shared" si="21"/>
        <v>422.94</v>
      </c>
      <c r="AV25">
        <v>22580</v>
      </c>
      <c r="AW25">
        <f t="shared" si="22"/>
        <v>22580</v>
      </c>
      <c r="AX25">
        <v>13120</v>
      </c>
      <c r="AY25">
        <f t="shared" si="23"/>
        <v>19680</v>
      </c>
      <c r="AZ25">
        <v>1800</v>
      </c>
      <c r="BA25">
        <f t="shared" si="24"/>
        <v>2340</v>
      </c>
    </row>
    <row r="26" spans="1:53" x14ac:dyDescent="0.3">
      <c r="A26" t="s">
        <v>74</v>
      </c>
      <c r="B26" t="s">
        <v>113</v>
      </c>
      <c r="C26" t="s">
        <v>114</v>
      </c>
      <c r="D26" t="s">
        <v>73</v>
      </c>
      <c r="E26" t="e">
        <f t="shared" si="0"/>
        <v>#VALUE!</v>
      </c>
      <c r="F26">
        <v>163</v>
      </c>
      <c r="G26">
        <f t="shared" si="1"/>
        <v>86.39</v>
      </c>
      <c r="H26">
        <v>19727</v>
      </c>
      <c r="I26">
        <f t="shared" si="2"/>
        <v>19727</v>
      </c>
      <c r="J26">
        <v>2906</v>
      </c>
      <c r="K26">
        <f t="shared" si="3"/>
        <v>4359</v>
      </c>
      <c r="L26">
        <v>600</v>
      </c>
      <c r="M26">
        <f t="shared" si="4"/>
        <v>780</v>
      </c>
      <c r="N26" t="s">
        <v>73</v>
      </c>
      <c r="O26" t="e">
        <f t="shared" si="5"/>
        <v>#VALUE!</v>
      </c>
      <c r="P26">
        <v>66</v>
      </c>
      <c r="Q26">
        <f t="shared" si="6"/>
        <v>34.980000000000004</v>
      </c>
      <c r="R26">
        <v>3206</v>
      </c>
      <c r="S26">
        <f t="shared" si="7"/>
        <v>3206</v>
      </c>
      <c r="T26">
        <v>2079</v>
      </c>
      <c r="U26">
        <f t="shared" si="8"/>
        <v>3118.5</v>
      </c>
      <c r="V26">
        <v>1350</v>
      </c>
      <c r="W26">
        <f t="shared" ref="W26" si="45">V26*1.3</f>
        <v>1755</v>
      </c>
      <c r="X26" t="s">
        <v>73</v>
      </c>
      <c r="Y26" t="e">
        <f t="shared" si="10"/>
        <v>#VALUE!</v>
      </c>
      <c r="Z26">
        <v>15</v>
      </c>
      <c r="AA26">
        <f t="shared" si="11"/>
        <v>7.95</v>
      </c>
      <c r="AB26">
        <v>1836</v>
      </c>
      <c r="AC26">
        <f t="shared" si="12"/>
        <v>1836</v>
      </c>
      <c r="AD26">
        <v>1080</v>
      </c>
      <c r="AE26">
        <f t="shared" si="13"/>
        <v>1620</v>
      </c>
      <c r="AF26">
        <v>1650</v>
      </c>
      <c r="AG26">
        <f t="shared" si="14"/>
        <v>2145</v>
      </c>
      <c r="AH26" t="s">
        <v>73</v>
      </c>
      <c r="AI26" t="e">
        <f t="shared" si="15"/>
        <v>#VALUE!</v>
      </c>
      <c r="AJ26">
        <v>36</v>
      </c>
      <c r="AK26">
        <f t="shared" si="16"/>
        <v>19.080000000000002</v>
      </c>
      <c r="AL26">
        <v>14424</v>
      </c>
      <c r="AM26">
        <f t="shared" si="17"/>
        <v>14424</v>
      </c>
      <c r="AN26">
        <v>3528</v>
      </c>
      <c r="AO26">
        <f t="shared" si="18"/>
        <v>5292</v>
      </c>
      <c r="AP26">
        <v>1320</v>
      </c>
      <c r="AQ26">
        <f t="shared" si="19"/>
        <v>1716</v>
      </c>
      <c r="AR26" t="s">
        <v>73</v>
      </c>
      <c r="AS26" t="e">
        <f t="shared" si="20"/>
        <v>#VALUE!</v>
      </c>
      <c r="AT26">
        <v>13</v>
      </c>
      <c r="AU26">
        <f t="shared" si="21"/>
        <v>6.8900000000000006</v>
      </c>
      <c r="AV26">
        <v>5784</v>
      </c>
      <c r="AW26">
        <f t="shared" si="22"/>
        <v>5784</v>
      </c>
      <c r="AX26">
        <v>5424</v>
      </c>
      <c r="AY26">
        <f t="shared" si="23"/>
        <v>8136</v>
      </c>
      <c r="AZ26">
        <v>1800</v>
      </c>
      <c r="BA26">
        <f t="shared" si="24"/>
        <v>2340</v>
      </c>
    </row>
    <row r="27" spans="1:53" x14ac:dyDescent="0.3">
      <c r="A27" t="s">
        <v>74</v>
      </c>
      <c r="B27" t="s">
        <v>115</v>
      </c>
      <c r="C27" t="s">
        <v>116</v>
      </c>
      <c r="D27" t="s">
        <v>73</v>
      </c>
      <c r="E27" t="e">
        <f t="shared" si="0"/>
        <v>#VALUE!</v>
      </c>
      <c r="F27">
        <v>30</v>
      </c>
      <c r="G27">
        <f t="shared" si="1"/>
        <v>15.9</v>
      </c>
      <c r="H27">
        <v>7596</v>
      </c>
      <c r="I27">
        <f t="shared" si="2"/>
        <v>7596</v>
      </c>
      <c r="J27">
        <v>1149</v>
      </c>
      <c r="K27">
        <f t="shared" si="3"/>
        <v>1723.5</v>
      </c>
      <c r="L27">
        <v>230</v>
      </c>
      <c r="M27">
        <f t="shared" si="4"/>
        <v>299</v>
      </c>
      <c r="N27" t="s">
        <v>73</v>
      </c>
      <c r="O27" t="e">
        <f t="shared" si="5"/>
        <v>#VALUE!</v>
      </c>
      <c r="P27">
        <v>10</v>
      </c>
      <c r="Q27">
        <f t="shared" si="6"/>
        <v>5.3000000000000007</v>
      </c>
      <c r="R27">
        <v>2267</v>
      </c>
      <c r="S27">
        <f t="shared" si="7"/>
        <v>2267</v>
      </c>
      <c r="T27">
        <v>695</v>
      </c>
      <c r="U27">
        <f t="shared" si="8"/>
        <v>1042.5</v>
      </c>
      <c r="V27">
        <v>180</v>
      </c>
      <c r="W27">
        <f t="shared" ref="W27" si="46">V27*1.3</f>
        <v>234</v>
      </c>
      <c r="X27" t="s">
        <v>73</v>
      </c>
      <c r="Y27" t="e">
        <f t="shared" si="10"/>
        <v>#VALUE!</v>
      </c>
      <c r="Z27">
        <v>14</v>
      </c>
      <c r="AA27">
        <f t="shared" si="11"/>
        <v>7.42</v>
      </c>
      <c r="AB27">
        <v>2925</v>
      </c>
      <c r="AC27">
        <f t="shared" si="12"/>
        <v>2925</v>
      </c>
      <c r="AD27">
        <v>695</v>
      </c>
      <c r="AE27">
        <f t="shared" si="13"/>
        <v>1042.5</v>
      </c>
      <c r="AF27">
        <v>900</v>
      </c>
      <c r="AG27">
        <f t="shared" si="14"/>
        <v>1170</v>
      </c>
      <c r="AH27" t="s">
        <v>73</v>
      </c>
      <c r="AI27" t="e">
        <f t="shared" si="15"/>
        <v>#VALUE!</v>
      </c>
      <c r="AJ27">
        <v>20</v>
      </c>
      <c r="AK27">
        <f t="shared" si="16"/>
        <v>10.600000000000001</v>
      </c>
      <c r="AL27">
        <v>4500</v>
      </c>
      <c r="AM27">
        <f t="shared" si="17"/>
        <v>4500</v>
      </c>
      <c r="AN27">
        <v>4770</v>
      </c>
      <c r="AO27">
        <f t="shared" si="18"/>
        <v>7155</v>
      </c>
      <c r="AP27">
        <v>1440</v>
      </c>
      <c r="AQ27">
        <f t="shared" si="19"/>
        <v>1872</v>
      </c>
      <c r="AR27" t="s">
        <v>73</v>
      </c>
      <c r="AS27" t="e">
        <f t="shared" si="20"/>
        <v>#VALUE!</v>
      </c>
      <c r="AT27">
        <v>11</v>
      </c>
      <c r="AU27">
        <f t="shared" si="21"/>
        <v>5.83</v>
      </c>
      <c r="AV27">
        <v>1500</v>
      </c>
      <c r="AW27">
        <f t="shared" si="22"/>
        <v>1500</v>
      </c>
      <c r="AX27">
        <v>3620</v>
      </c>
      <c r="AY27">
        <f t="shared" si="23"/>
        <v>5430</v>
      </c>
      <c r="AZ27">
        <v>840</v>
      </c>
      <c r="BA27">
        <f t="shared" si="24"/>
        <v>1092</v>
      </c>
    </row>
    <row r="28" spans="1:53" x14ac:dyDescent="0.3">
      <c r="A28" t="s">
        <v>70</v>
      </c>
      <c r="B28" t="s">
        <v>117</v>
      </c>
      <c r="C28" t="s">
        <v>118</v>
      </c>
      <c r="D28">
        <v>49</v>
      </c>
      <c r="E28">
        <f t="shared" si="0"/>
        <v>58.8</v>
      </c>
      <c r="F28">
        <v>8259</v>
      </c>
      <c r="G28">
        <f t="shared" si="1"/>
        <v>4377.2700000000004</v>
      </c>
      <c r="H28">
        <v>417674</v>
      </c>
      <c r="I28">
        <f t="shared" si="2"/>
        <v>417674</v>
      </c>
      <c r="J28">
        <v>333682</v>
      </c>
      <c r="K28">
        <f t="shared" si="3"/>
        <v>500523</v>
      </c>
      <c r="L28">
        <v>40305</v>
      </c>
      <c r="M28">
        <f t="shared" si="4"/>
        <v>52396.5</v>
      </c>
      <c r="N28">
        <v>18</v>
      </c>
      <c r="O28">
        <f t="shared" si="5"/>
        <v>21.599999999999998</v>
      </c>
      <c r="P28">
        <v>4588</v>
      </c>
      <c r="Q28">
        <f t="shared" si="6"/>
        <v>2431.6400000000003</v>
      </c>
      <c r="R28">
        <v>170220</v>
      </c>
      <c r="S28">
        <f t="shared" si="7"/>
        <v>170220</v>
      </c>
      <c r="T28">
        <v>297316</v>
      </c>
      <c r="U28">
        <f t="shared" si="8"/>
        <v>445974</v>
      </c>
      <c r="V28">
        <v>76266</v>
      </c>
      <c r="W28">
        <f t="shared" ref="W28" si="47">V28*1.3</f>
        <v>99145.8</v>
      </c>
      <c r="X28">
        <v>18</v>
      </c>
      <c r="Y28">
        <f t="shared" si="10"/>
        <v>21.599999999999998</v>
      </c>
      <c r="Z28">
        <v>12185</v>
      </c>
      <c r="AA28">
        <f t="shared" si="11"/>
        <v>6458.05</v>
      </c>
      <c r="AB28">
        <v>246342</v>
      </c>
      <c r="AC28">
        <f t="shared" si="12"/>
        <v>246342</v>
      </c>
      <c r="AD28">
        <v>195181</v>
      </c>
      <c r="AE28">
        <f t="shared" si="13"/>
        <v>292771.5</v>
      </c>
      <c r="AF28">
        <v>95499</v>
      </c>
      <c r="AG28">
        <f t="shared" si="14"/>
        <v>124148.7</v>
      </c>
      <c r="AH28">
        <v>24</v>
      </c>
      <c r="AI28">
        <f t="shared" si="15"/>
        <v>28.799999999999997</v>
      </c>
      <c r="AJ28">
        <v>10657</v>
      </c>
      <c r="AK28">
        <f t="shared" si="16"/>
        <v>5648.21</v>
      </c>
      <c r="AL28">
        <v>367300</v>
      </c>
      <c r="AM28">
        <f t="shared" si="17"/>
        <v>367300</v>
      </c>
      <c r="AN28">
        <v>374394</v>
      </c>
      <c r="AO28">
        <f t="shared" si="18"/>
        <v>561591</v>
      </c>
      <c r="AP28">
        <v>74305</v>
      </c>
      <c r="AQ28">
        <f t="shared" si="19"/>
        <v>96596.5</v>
      </c>
      <c r="AR28">
        <v>24</v>
      </c>
      <c r="AS28">
        <f t="shared" si="20"/>
        <v>28.799999999999997</v>
      </c>
      <c r="AT28">
        <v>13352</v>
      </c>
      <c r="AU28">
        <f t="shared" si="21"/>
        <v>7076.56</v>
      </c>
      <c r="AV28">
        <v>256103</v>
      </c>
      <c r="AW28">
        <f t="shared" si="22"/>
        <v>256103</v>
      </c>
      <c r="AX28">
        <v>380941</v>
      </c>
      <c r="AY28">
        <f t="shared" si="23"/>
        <v>571411.5</v>
      </c>
      <c r="AZ28">
        <v>114085</v>
      </c>
      <c r="BA28">
        <f t="shared" si="24"/>
        <v>148310.5</v>
      </c>
    </row>
    <row r="29" spans="1:53" x14ac:dyDescent="0.3">
      <c r="A29" t="s">
        <v>74</v>
      </c>
      <c r="B29" t="s">
        <v>119</v>
      </c>
      <c r="C29" t="s">
        <v>120</v>
      </c>
      <c r="D29" t="s">
        <v>73</v>
      </c>
      <c r="E29" t="e">
        <f t="shared" si="0"/>
        <v>#VALUE!</v>
      </c>
      <c r="F29">
        <v>54</v>
      </c>
      <c r="G29">
        <f t="shared" si="1"/>
        <v>28.62</v>
      </c>
      <c r="H29">
        <v>10080</v>
      </c>
      <c r="I29">
        <f t="shared" si="2"/>
        <v>10080</v>
      </c>
      <c r="J29">
        <v>2280</v>
      </c>
      <c r="K29">
        <f t="shared" si="3"/>
        <v>3420</v>
      </c>
      <c r="L29">
        <v>1320</v>
      </c>
      <c r="M29">
        <f t="shared" si="4"/>
        <v>1716</v>
      </c>
      <c r="N29" t="s">
        <v>73</v>
      </c>
      <c r="O29" t="e">
        <f t="shared" si="5"/>
        <v>#VALUE!</v>
      </c>
      <c r="P29">
        <v>120</v>
      </c>
      <c r="Q29">
        <f t="shared" si="6"/>
        <v>63.6</v>
      </c>
      <c r="R29">
        <v>1764</v>
      </c>
      <c r="S29">
        <f t="shared" si="7"/>
        <v>1764</v>
      </c>
      <c r="T29">
        <v>4410</v>
      </c>
      <c r="U29">
        <f t="shared" si="8"/>
        <v>6615</v>
      </c>
      <c r="V29">
        <v>1620</v>
      </c>
      <c r="W29">
        <f t="shared" ref="W29" si="48">V29*1.3</f>
        <v>2106</v>
      </c>
      <c r="X29" t="s">
        <v>73</v>
      </c>
      <c r="Y29" t="e">
        <f t="shared" si="10"/>
        <v>#VALUE!</v>
      </c>
      <c r="Z29">
        <v>60</v>
      </c>
      <c r="AA29">
        <f t="shared" si="11"/>
        <v>31.8</v>
      </c>
      <c r="AB29">
        <v>6200</v>
      </c>
      <c r="AC29">
        <f t="shared" si="12"/>
        <v>6200</v>
      </c>
      <c r="AD29">
        <v>3330</v>
      </c>
      <c r="AE29">
        <f t="shared" si="13"/>
        <v>4995</v>
      </c>
      <c r="AF29">
        <v>1680</v>
      </c>
      <c r="AG29">
        <f t="shared" si="14"/>
        <v>2184</v>
      </c>
      <c r="AH29" t="s">
        <v>73</v>
      </c>
      <c r="AI29" t="e">
        <f t="shared" si="15"/>
        <v>#VALUE!</v>
      </c>
      <c r="AJ29">
        <v>84</v>
      </c>
      <c r="AK29">
        <f t="shared" si="16"/>
        <v>44.52</v>
      </c>
      <c r="AL29">
        <v>4800</v>
      </c>
      <c r="AM29">
        <f t="shared" si="17"/>
        <v>4800</v>
      </c>
      <c r="AN29">
        <v>4690</v>
      </c>
      <c r="AO29">
        <f t="shared" si="18"/>
        <v>7035</v>
      </c>
      <c r="AP29">
        <v>2100</v>
      </c>
      <c r="AQ29">
        <f t="shared" si="19"/>
        <v>2730</v>
      </c>
      <c r="AR29" t="s">
        <v>73</v>
      </c>
      <c r="AS29" t="e">
        <f t="shared" si="20"/>
        <v>#VALUE!</v>
      </c>
      <c r="AT29">
        <v>36</v>
      </c>
      <c r="AU29">
        <f t="shared" si="21"/>
        <v>19.080000000000002</v>
      </c>
      <c r="AV29">
        <v>2800</v>
      </c>
      <c r="AW29">
        <f t="shared" si="22"/>
        <v>2800</v>
      </c>
      <c r="AX29">
        <v>3336</v>
      </c>
      <c r="AY29">
        <f t="shared" si="23"/>
        <v>5004</v>
      </c>
      <c r="AZ29">
        <v>1620</v>
      </c>
      <c r="BA29">
        <f t="shared" si="24"/>
        <v>2106</v>
      </c>
    </row>
    <row r="30" spans="1:53" x14ac:dyDescent="0.3">
      <c r="A30" t="s">
        <v>74</v>
      </c>
      <c r="B30" t="s">
        <v>121</v>
      </c>
      <c r="C30" t="s">
        <v>122</v>
      </c>
      <c r="D30" t="s">
        <v>73</v>
      </c>
      <c r="E30" t="e">
        <f t="shared" si="0"/>
        <v>#VALUE!</v>
      </c>
      <c r="F30">
        <v>72</v>
      </c>
      <c r="G30">
        <f t="shared" si="1"/>
        <v>38.160000000000004</v>
      </c>
      <c r="H30">
        <v>5760</v>
      </c>
      <c r="I30">
        <f t="shared" si="2"/>
        <v>5760</v>
      </c>
      <c r="J30">
        <v>2940</v>
      </c>
      <c r="K30">
        <f t="shared" si="3"/>
        <v>4410</v>
      </c>
      <c r="L30">
        <v>420</v>
      </c>
      <c r="M30">
        <f t="shared" si="4"/>
        <v>546</v>
      </c>
      <c r="N30" t="s">
        <v>73</v>
      </c>
      <c r="O30" t="e">
        <f t="shared" si="5"/>
        <v>#VALUE!</v>
      </c>
      <c r="P30">
        <v>21</v>
      </c>
      <c r="Q30">
        <f t="shared" si="6"/>
        <v>11.13</v>
      </c>
      <c r="R30">
        <v>900</v>
      </c>
      <c r="S30">
        <f t="shared" si="7"/>
        <v>900</v>
      </c>
      <c r="T30">
        <v>1230</v>
      </c>
      <c r="U30">
        <f t="shared" si="8"/>
        <v>1845</v>
      </c>
      <c r="V30">
        <v>1050</v>
      </c>
      <c r="W30">
        <f t="shared" ref="W30" si="49">V30*1.3</f>
        <v>1365</v>
      </c>
      <c r="X30" t="s">
        <v>73</v>
      </c>
      <c r="Y30" t="e">
        <f t="shared" si="10"/>
        <v>#VALUE!</v>
      </c>
      <c r="Z30">
        <v>45</v>
      </c>
      <c r="AA30">
        <f t="shared" si="11"/>
        <v>23.85</v>
      </c>
      <c r="AB30">
        <v>4050</v>
      </c>
      <c r="AC30">
        <f t="shared" si="12"/>
        <v>4050</v>
      </c>
      <c r="AD30">
        <v>1494</v>
      </c>
      <c r="AE30">
        <f t="shared" si="13"/>
        <v>2241</v>
      </c>
      <c r="AF30">
        <v>945</v>
      </c>
      <c r="AG30">
        <f t="shared" si="14"/>
        <v>1228.5</v>
      </c>
      <c r="AH30" t="s">
        <v>73</v>
      </c>
      <c r="AI30" t="e">
        <f t="shared" si="15"/>
        <v>#VALUE!</v>
      </c>
      <c r="AJ30">
        <v>35</v>
      </c>
      <c r="AK30">
        <f t="shared" si="16"/>
        <v>18.55</v>
      </c>
      <c r="AL30">
        <v>6156</v>
      </c>
      <c r="AM30">
        <f t="shared" si="17"/>
        <v>6156</v>
      </c>
      <c r="AN30">
        <v>2763</v>
      </c>
      <c r="AO30">
        <f t="shared" si="18"/>
        <v>4144.5</v>
      </c>
      <c r="AP30">
        <v>675</v>
      </c>
      <c r="AQ30">
        <f t="shared" si="19"/>
        <v>877.5</v>
      </c>
      <c r="AR30" t="s">
        <v>73</v>
      </c>
      <c r="AS30" t="e">
        <f t="shared" si="20"/>
        <v>#VALUE!</v>
      </c>
      <c r="AT30">
        <v>39</v>
      </c>
      <c r="AU30">
        <f t="shared" si="21"/>
        <v>20.67</v>
      </c>
      <c r="AV30">
        <v>5016</v>
      </c>
      <c r="AW30">
        <f t="shared" si="22"/>
        <v>5016</v>
      </c>
      <c r="AX30">
        <v>2820</v>
      </c>
      <c r="AY30">
        <f t="shared" si="23"/>
        <v>4230</v>
      </c>
      <c r="AZ30">
        <v>1088</v>
      </c>
      <c r="BA30">
        <f t="shared" si="24"/>
        <v>1414.4</v>
      </c>
    </row>
    <row r="31" spans="1:53" x14ac:dyDescent="0.3">
      <c r="A31" t="s">
        <v>74</v>
      </c>
      <c r="B31" t="s">
        <v>123</v>
      </c>
      <c r="C31" t="s">
        <v>124</v>
      </c>
      <c r="D31" t="s">
        <v>73</v>
      </c>
      <c r="E31" t="e">
        <f t="shared" si="0"/>
        <v>#VALUE!</v>
      </c>
      <c r="F31" t="s">
        <v>73</v>
      </c>
      <c r="G31" t="e">
        <f t="shared" si="1"/>
        <v>#VALUE!</v>
      </c>
      <c r="H31">
        <v>2700</v>
      </c>
      <c r="I31">
        <f t="shared" si="2"/>
        <v>2700</v>
      </c>
      <c r="J31">
        <v>7800</v>
      </c>
      <c r="K31">
        <f t="shared" si="3"/>
        <v>11700</v>
      </c>
      <c r="L31">
        <v>2145</v>
      </c>
      <c r="M31">
        <f t="shared" si="4"/>
        <v>2788.5</v>
      </c>
      <c r="N31" t="s">
        <v>73</v>
      </c>
      <c r="O31" t="e">
        <f t="shared" si="5"/>
        <v>#VALUE!</v>
      </c>
      <c r="P31" t="s">
        <v>73</v>
      </c>
      <c r="Q31" t="e">
        <f t="shared" si="6"/>
        <v>#VALUE!</v>
      </c>
      <c r="R31">
        <v>2790</v>
      </c>
      <c r="S31">
        <f t="shared" si="7"/>
        <v>2790</v>
      </c>
      <c r="T31">
        <v>5700</v>
      </c>
      <c r="U31">
        <f t="shared" si="8"/>
        <v>8550</v>
      </c>
      <c r="V31">
        <v>3300</v>
      </c>
      <c r="W31">
        <f t="shared" ref="W31" si="50">V31*1.3</f>
        <v>4290</v>
      </c>
      <c r="X31" t="s">
        <v>73</v>
      </c>
      <c r="Y31" t="e">
        <f t="shared" si="10"/>
        <v>#VALUE!</v>
      </c>
      <c r="Z31" t="s">
        <v>73</v>
      </c>
      <c r="AA31" t="e">
        <f t="shared" si="11"/>
        <v>#VALUE!</v>
      </c>
      <c r="AB31">
        <v>2400</v>
      </c>
      <c r="AC31">
        <f t="shared" si="12"/>
        <v>2400</v>
      </c>
      <c r="AD31">
        <v>5520</v>
      </c>
      <c r="AE31">
        <f t="shared" si="13"/>
        <v>8280</v>
      </c>
      <c r="AF31">
        <v>3000</v>
      </c>
      <c r="AG31">
        <f t="shared" si="14"/>
        <v>3900</v>
      </c>
      <c r="AH31" t="s">
        <v>73</v>
      </c>
      <c r="AI31" t="e">
        <f t="shared" si="15"/>
        <v>#VALUE!</v>
      </c>
      <c r="AJ31" t="s">
        <v>73</v>
      </c>
      <c r="AK31" t="e">
        <f t="shared" si="16"/>
        <v>#VALUE!</v>
      </c>
      <c r="AL31">
        <v>4680</v>
      </c>
      <c r="AM31">
        <f t="shared" si="17"/>
        <v>4680</v>
      </c>
      <c r="AN31">
        <v>8070</v>
      </c>
      <c r="AO31">
        <f t="shared" si="18"/>
        <v>12105</v>
      </c>
      <c r="AP31">
        <v>1920</v>
      </c>
      <c r="AQ31">
        <f t="shared" si="19"/>
        <v>2496</v>
      </c>
      <c r="AR31" t="s">
        <v>73</v>
      </c>
      <c r="AS31" t="e">
        <f t="shared" si="20"/>
        <v>#VALUE!</v>
      </c>
      <c r="AT31" t="s">
        <v>73</v>
      </c>
      <c r="AU31" t="e">
        <f t="shared" si="21"/>
        <v>#VALUE!</v>
      </c>
      <c r="AV31">
        <v>4320</v>
      </c>
      <c r="AW31">
        <f t="shared" si="22"/>
        <v>4320</v>
      </c>
      <c r="AX31">
        <v>6750</v>
      </c>
      <c r="AY31">
        <f t="shared" si="23"/>
        <v>10125</v>
      </c>
      <c r="AZ31">
        <v>3960</v>
      </c>
      <c r="BA31">
        <f t="shared" si="24"/>
        <v>5148</v>
      </c>
    </row>
    <row r="32" spans="1:53" x14ac:dyDescent="0.3">
      <c r="A32" t="s">
        <v>74</v>
      </c>
      <c r="B32" t="s">
        <v>125</v>
      </c>
      <c r="C32" t="s">
        <v>126</v>
      </c>
      <c r="D32" t="s">
        <v>73</v>
      </c>
      <c r="E32" t="e">
        <f t="shared" si="0"/>
        <v>#VALUE!</v>
      </c>
      <c r="F32">
        <v>48</v>
      </c>
      <c r="G32">
        <f t="shared" si="1"/>
        <v>25.44</v>
      </c>
      <c r="H32">
        <v>9000</v>
      </c>
      <c r="I32">
        <f t="shared" si="2"/>
        <v>9000</v>
      </c>
      <c r="J32">
        <v>3480</v>
      </c>
      <c r="K32">
        <f t="shared" si="3"/>
        <v>5220</v>
      </c>
      <c r="L32">
        <v>600</v>
      </c>
      <c r="M32">
        <f t="shared" si="4"/>
        <v>780</v>
      </c>
      <c r="N32" t="s">
        <v>73</v>
      </c>
      <c r="O32" t="e">
        <f t="shared" si="5"/>
        <v>#VALUE!</v>
      </c>
      <c r="P32">
        <v>10</v>
      </c>
      <c r="Q32">
        <f t="shared" si="6"/>
        <v>5.3000000000000007</v>
      </c>
      <c r="R32">
        <v>2100</v>
      </c>
      <c r="S32">
        <f t="shared" si="7"/>
        <v>2100</v>
      </c>
      <c r="T32">
        <v>2640</v>
      </c>
      <c r="U32">
        <f t="shared" si="8"/>
        <v>3960</v>
      </c>
      <c r="V32">
        <v>900</v>
      </c>
      <c r="W32">
        <f t="shared" ref="W32" si="51">V32*1.3</f>
        <v>1170</v>
      </c>
      <c r="X32" t="s">
        <v>73</v>
      </c>
      <c r="Y32" t="e">
        <f t="shared" si="10"/>
        <v>#VALUE!</v>
      </c>
      <c r="Z32">
        <v>6</v>
      </c>
      <c r="AA32">
        <f t="shared" si="11"/>
        <v>3.18</v>
      </c>
      <c r="AB32">
        <v>6000</v>
      </c>
      <c r="AC32">
        <f t="shared" si="12"/>
        <v>6000</v>
      </c>
      <c r="AD32">
        <v>1260</v>
      </c>
      <c r="AE32">
        <f t="shared" si="13"/>
        <v>1890</v>
      </c>
      <c r="AF32">
        <v>640</v>
      </c>
      <c r="AG32">
        <f t="shared" si="14"/>
        <v>832</v>
      </c>
      <c r="AH32" t="s">
        <v>73</v>
      </c>
      <c r="AI32" t="e">
        <f t="shared" si="15"/>
        <v>#VALUE!</v>
      </c>
      <c r="AJ32">
        <v>8</v>
      </c>
      <c r="AK32">
        <f t="shared" si="16"/>
        <v>4.24</v>
      </c>
      <c r="AL32">
        <v>6860</v>
      </c>
      <c r="AM32">
        <f t="shared" si="17"/>
        <v>6860</v>
      </c>
      <c r="AN32">
        <v>2900</v>
      </c>
      <c r="AO32">
        <f t="shared" si="18"/>
        <v>4350</v>
      </c>
      <c r="AP32">
        <v>240</v>
      </c>
      <c r="AQ32">
        <f t="shared" si="19"/>
        <v>312</v>
      </c>
      <c r="AR32" t="s">
        <v>73</v>
      </c>
      <c r="AS32" t="e">
        <f t="shared" si="20"/>
        <v>#VALUE!</v>
      </c>
      <c r="AT32">
        <v>8</v>
      </c>
      <c r="AU32">
        <f t="shared" si="21"/>
        <v>4.24</v>
      </c>
      <c r="AV32">
        <v>6000</v>
      </c>
      <c r="AW32">
        <f t="shared" si="22"/>
        <v>6000</v>
      </c>
      <c r="AX32">
        <v>2580</v>
      </c>
      <c r="AY32">
        <f t="shared" si="23"/>
        <v>3870</v>
      </c>
      <c r="AZ32">
        <v>720</v>
      </c>
      <c r="BA32">
        <f t="shared" si="24"/>
        <v>936</v>
      </c>
    </row>
    <row r="33" spans="1:53" x14ac:dyDescent="0.3">
      <c r="A33" t="s">
        <v>74</v>
      </c>
      <c r="B33" t="s">
        <v>127</v>
      </c>
      <c r="C33" t="s">
        <v>128</v>
      </c>
      <c r="D33" t="s">
        <v>73</v>
      </c>
      <c r="E33" t="e">
        <f t="shared" si="0"/>
        <v>#VALUE!</v>
      </c>
      <c r="F33">
        <v>1953</v>
      </c>
      <c r="G33">
        <f t="shared" si="1"/>
        <v>1035.0900000000001</v>
      </c>
      <c r="H33">
        <v>40320</v>
      </c>
      <c r="I33">
        <f t="shared" si="2"/>
        <v>40320</v>
      </c>
      <c r="J33">
        <v>86040</v>
      </c>
      <c r="K33">
        <f t="shared" si="3"/>
        <v>129060</v>
      </c>
      <c r="L33">
        <v>4050</v>
      </c>
      <c r="M33">
        <f t="shared" si="4"/>
        <v>5265</v>
      </c>
      <c r="N33" t="s">
        <v>73</v>
      </c>
      <c r="O33" t="e">
        <f t="shared" si="5"/>
        <v>#VALUE!</v>
      </c>
      <c r="P33">
        <v>996</v>
      </c>
      <c r="Q33">
        <f t="shared" si="6"/>
        <v>527.88</v>
      </c>
      <c r="R33">
        <v>14700</v>
      </c>
      <c r="S33">
        <f t="shared" si="7"/>
        <v>14700</v>
      </c>
      <c r="T33">
        <v>79800</v>
      </c>
      <c r="U33">
        <f t="shared" si="8"/>
        <v>119700</v>
      </c>
      <c r="V33">
        <v>4320</v>
      </c>
      <c r="W33">
        <f t="shared" ref="W33" si="52">V33*1.3</f>
        <v>5616</v>
      </c>
      <c r="X33" t="s">
        <v>73</v>
      </c>
      <c r="Y33" t="e">
        <f t="shared" si="10"/>
        <v>#VALUE!</v>
      </c>
      <c r="Z33">
        <v>6480</v>
      </c>
      <c r="AA33">
        <f t="shared" si="11"/>
        <v>3434.4</v>
      </c>
      <c r="AB33">
        <v>19440</v>
      </c>
      <c r="AC33">
        <f t="shared" si="12"/>
        <v>19440</v>
      </c>
      <c r="AD33">
        <v>49200</v>
      </c>
      <c r="AE33">
        <f t="shared" si="13"/>
        <v>73800</v>
      </c>
      <c r="AF33">
        <v>8550</v>
      </c>
      <c r="AG33">
        <f t="shared" si="14"/>
        <v>11115</v>
      </c>
      <c r="AH33" t="s">
        <v>73</v>
      </c>
      <c r="AI33" t="e">
        <f t="shared" si="15"/>
        <v>#VALUE!</v>
      </c>
      <c r="AJ33">
        <v>4320</v>
      </c>
      <c r="AK33">
        <f t="shared" si="16"/>
        <v>2289.6</v>
      </c>
      <c r="AL33">
        <v>29400</v>
      </c>
      <c r="AM33">
        <f t="shared" si="17"/>
        <v>29400</v>
      </c>
      <c r="AN33">
        <v>66480</v>
      </c>
      <c r="AO33">
        <f t="shared" si="18"/>
        <v>99720</v>
      </c>
      <c r="AP33">
        <v>5600</v>
      </c>
      <c r="AQ33">
        <f t="shared" si="19"/>
        <v>7280</v>
      </c>
      <c r="AR33" t="s">
        <v>73</v>
      </c>
      <c r="AS33" t="e">
        <f t="shared" si="20"/>
        <v>#VALUE!</v>
      </c>
      <c r="AT33">
        <v>7500</v>
      </c>
      <c r="AU33">
        <f t="shared" si="21"/>
        <v>3975</v>
      </c>
      <c r="AV33">
        <v>18000</v>
      </c>
      <c r="AW33">
        <f t="shared" si="22"/>
        <v>18000</v>
      </c>
      <c r="AX33">
        <v>78400</v>
      </c>
      <c r="AY33">
        <f t="shared" si="23"/>
        <v>117600</v>
      </c>
      <c r="AZ33">
        <v>10800</v>
      </c>
      <c r="BA33">
        <f t="shared" si="24"/>
        <v>14040</v>
      </c>
    </row>
    <row r="34" spans="1:53" x14ac:dyDescent="0.3">
      <c r="A34" t="s">
        <v>74</v>
      </c>
      <c r="B34" t="s">
        <v>129</v>
      </c>
      <c r="C34" t="s">
        <v>130</v>
      </c>
      <c r="D34" t="s">
        <v>73</v>
      </c>
      <c r="E34" t="e">
        <f t="shared" si="0"/>
        <v>#VALUE!</v>
      </c>
      <c r="F34">
        <v>200</v>
      </c>
      <c r="G34">
        <f t="shared" si="1"/>
        <v>106</v>
      </c>
      <c r="H34">
        <v>27000</v>
      </c>
      <c r="I34">
        <f t="shared" si="2"/>
        <v>27000</v>
      </c>
      <c r="J34">
        <v>11330</v>
      </c>
      <c r="K34">
        <f t="shared" si="3"/>
        <v>16995</v>
      </c>
      <c r="L34">
        <v>2700</v>
      </c>
      <c r="M34">
        <f t="shared" si="4"/>
        <v>3510</v>
      </c>
      <c r="N34" t="s">
        <v>73</v>
      </c>
      <c r="O34" t="e">
        <f t="shared" si="5"/>
        <v>#VALUE!</v>
      </c>
      <c r="P34" t="s">
        <v>73</v>
      </c>
      <c r="Q34" t="e">
        <f t="shared" si="6"/>
        <v>#VALUE!</v>
      </c>
      <c r="R34">
        <v>4800</v>
      </c>
      <c r="S34">
        <f t="shared" si="7"/>
        <v>4800</v>
      </c>
      <c r="T34">
        <v>9470</v>
      </c>
      <c r="U34">
        <f t="shared" si="8"/>
        <v>14205</v>
      </c>
      <c r="V34">
        <v>5610</v>
      </c>
      <c r="W34">
        <f t="shared" ref="W34" si="53">V34*1.3</f>
        <v>7293</v>
      </c>
      <c r="X34" t="s">
        <v>73</v>
      </c>
      <c r="Y34" t="e">
        <f t="shared" si="10"/>
        <v>#VALUE!</v>
      </c>
      <c r="Z34">
        <v>12</v>
      </c>
      <c r="AA34">
        <f t="shared" si="11"/>
        <v>6.36</v>
      </c>
      <c r="AB34">
        <v>20160</v>
      </c>
      <c r="AC34">
        <f t="shared" si="12"/>
        <v>20160</v>
      </c>
      <c r="AD34">
        <v>6380</v>
      </c>
      <c r="AE34">
        <f t="shared" si="13"/>
        <v>9570</v>
      </c>
      <c r="AF34">
        <v>6600</v>
      </c>
      <c r="AG34">
        <f t="shared" si="14"/>
        <v>8580</v>
      </c>
      <c r="AH34" t="s">
        <v>73</v>
      </c>
      <c r="AI34" t="e">
        <f t="shared" si="15"/>
        <v>#VALUE!</v>
      </c>
      <c r="AJ34">
        <v>9</v>
      </c>
      <c r="AK34">
        <f t="shared" si="16"/>
        <v>4.7700000000000005</v>
      </c>
      <c r="AL34">
        <v>19080</v>
      </c>
      <c r="AM34">
        <f t="shared" si="17"/>
        <v>19080</v>
      </c>
      <c r="AN34">
        <v>13290</v>
      </c>
      <c r="AO34">
        <f t="shared" si="18"/>
        <v>19935</v>
      </c>
      <c r="AP34">
        <v>5040</v>
      </c>
      <c r="AQ34">
        <f t="shared" si="19"/>
        <v>6552</v>
      </c>
      <c r="AR34" t="s">
        <v>73</v>
      </c>
      <c r="AS34" t="e">
        <f t="shared" si="20"/>
        <v>#VALUE!</v>
      </c>
      <c r="AT34">
        <v>9</v>
      </c>
      <c r="AU34">
        <f t="shared" si="21"/>
        <v>4.7700000000000005</v>
      </c>
      <c r="AV34">
        <v>16080</v>
      </c>
      <c r="AW34">
        <f t="shared" si="22"/>
        <v>16080</v>
      </c>
      <c r="AX34">
        <v>13500</v>
      </c>
      <c r="AY34">
        <f t="shared" si="23"/>
        <v>20250</v>
      </c>
      <c r="AZ34">
        <v>5400</v>
      </c>
      <c r="BA34">
        <f t="shared" si="24"/>
        <v>7020</v>
      </c>
    </row>
    <row r="35" spans="1:53" x14ac:dyDescent="0.3">
      <c r="A35" t="s">
        <v>74</v>
      </c>
      <c r="B35" t="s">
        <v>131</v>
      </c>
      <c r="C35" t="s">
        <v>132</v>
      </c>
      <c r="D35" t="s">
        <v>73</v>
      </c>
      <c r="E35" t="e">
        <f t="shared" si="0"/>
        <v>#VALUE!</v>
      </c>
      <c r="F35">
        <v>1824</v>
      </c>
      <c r="G35">
        <f t="shared" si="1"/>
        <v>966.72</v>
      </c>
      <c r="H35">
        <v>32634</v>
      </c>
      <c r="I35">
        <f t="shared" si="2"/>
        <v>32634</v>
      </c>
      <c r="J35">
        <v>37800</v>
      </c>
      <c r="K35">
        <f t="shared" si="3"/>
        <v>56700</v>
      </c>
      <c r="L35">
        <v>4480</v>
      </c>
      <c r="M35">
        <f t="shared" si="4"/>
        <v>5824</v>
      </c>
      <c r="N35" t="s">
        <v>73</v>
      </c>
      <c r="O35" t="e">
        <f t="shared" si="5"/>
        <v>#VALUE!</v>
      </c>
      <c r="P35">
        <v>820</v>
      </c>
      <c r="Q35">
        <f t="shared" si="6"/>
        <v>434.6</v>
      </c>
      <c r="R35">
        <v>23675</v>
      </c>
      <c r="S35">
        <f t="shared" si="7"/>
        <v>23675</v>
      </c>
      <c r="T35">
        <v>38850</v>
      </c>
      <c r="U35">
        <f t="shared" si="8"/>
        <v>58275</v>
      </c>
      <c r="V35">
        <v>7000</v>
      </c>
      <c r="W35">
        <f t="shared" ref="W35" si="54">V35*1.3</f>
        <v>9100</v>
      </c>
      <c r="X35" t="s">
        <v>73</v>
      </c>
      <c r="Y35" t="e">
        <f t="shared" si="10"/>
        <v>#VALUE!</v>
      </c>
      <c r="Z35">
        <v>1134</v>
      </c>
      <c r="AA35">
        <f t="shared" si="11"/>
        <v>601.02</v>
      </c>
      <c r="AB35">
        <v>23674</v>
      </c>
      <c r="AC35">
        <f t="shared" si="12"/>
        <v>23674</v>
      </c>
      <c r="AD35">
        <v>22896</v>
      </c>
      <c r="AE35">
        <f t="shared" si="13"/>
        <v>34344</v>
      </c>
      <c r="AF35">
        <v>8120</v>
      </c>
      <c r="AG35">
        <f t="shared" si="14"/>
        <v>10556</v>
      </c>
      <c r="AH35" t="s">
        <v>73</v>
      </c>
      <c r="AI35" t="e">
        <f t="shared" si="15"/>
        <v>#VALUE!</v>
      </c>
      <c r="AJ35">
        <v>1011</v>
      </c>
      <c r="AK35">
        <f t="shared" si="16"/>
        <v>535.83000000000004</v>
      </c>
      <c r="AL35">
        <v>34650</v>
      </c>
      <c r="AM35">
        <f t="shared" si="17"/>
        <v>34650</v>
      </c>
      <c r="AN35">
        <v>55250</v>
      </c>
      <c r="AO35">
        <f t="shared" si="18"/>
        <v>82875</v>
      </c>
      <c r="AP35">
        <v>8320</v>
      </c>
      <c r="AQ35">
        <f t="shared" si="19"/>
        <v>10816</v>
      </c>
      <c r="AR35" t="s">
        <v>73</v>
      </c>
      <c r="AS35" t="e">
        <f t="shared" si="20"/>
        <v>#VALUE!</v>
      </c>
      <c r="AT35">
        <v>810</v>
      </c>
      <c r="AU35">
        <f t="shared" si="21"/>
        <v>429.3</v>
      </c>
      <c r="AV35">
        <v>33540</v>
      </c>
      <c r="AW35">
        <f t="shared" si="22"/>
        <v>33540</v>
      </c>
      <c r="AX35">
        <v>41040</v>
      </c>
      <c r="AY35">
        <f t="shared" si="23"/>
        <v>61560</v>
      </c>
      <c r="AZ35">
        <v>12210</v>
      </c>
      <c r="BA35">
        <f t="shared" si="24"/>
        <v>15873</v>
      </c>
    </row>
    <row r="36" spans="1:53" x14ac:dyDescent="0.3">
      <c r="A36" t="s">
        <v>74</v>
      </c>
      <c r="B36" t="s">
        <v>133</v>
      </c>
      <c r="C36" t="s">
        <v>134</v>
      </c>
      <c r="D36" t="s">
        <v>73</v>
      </c>
      <c r="E36" t="e">
        <f t="shared" si="0"/>
        <v>#VALUE!</v>
      </c>
      <c r="F36">
        <v>18</v>
      </c>
      <c r="G36">
        <f t="shared" si="1"/>
        <v>9.5400000000000009</v>
      </c>
      <c r="H36">
        <v>930</v>
      </c>
      <c r="I36">
        <f t="shared" si="2"/>
        <v>930</v>
      </c>
      <c r="J36">
        <v>870</v>
      </c>
      <c r="K36">
        <f t="shared" si="3"/>
        <v>1305</v>
      </c>
      <c r="L36">
        <v>270</v>
      </c>
      <c r="M36">
        <f t="shared" si="4"/>
        <v>351</v>
      </c>
      <c r="N36" t="s">
        <v>73</v>
      </c>
      <c r="O36" t="e">
        <f t="shared" si="5"/>
        <v>#VALUE!</v>
      </c>
      <c r="P36">
        <v>63</v>
      </c>
      <c r="Q36">
        <f t="shared" si="6"/>
        <v>33.39</v>
      </c>
      <c r="R36">
        <v>1188</v>
      </c>
      <c r="S36">
        <f t="shared" si="7"/>
        <v>1188</v>
      </c>
      <c r="T36">
        <v>1110</v>
      </c>
      <c r="U36">
        <f t="shared" si="8"/>
        <v>1665</v>
      </c>
      <c r="V36">
        <v>190</v>
      </c>
      <c r="W36">
        <f t="shared" ref="W36" si="55">V36*1.3</f>
        <v>247</v>
      </c>
      <c r="X36" t="s">
        <v>73</v>
      </c>
      <c r="Y36" t="e">
        <f t="shared" si="10"/>
        <v>#VALUE!</v>
      </c>
      <c r="Z36">
        <v>28</v>
      </c>
      <c r="AA36">
        <f t="shared" si="11"/>
        <v>14.84</v>
      </c>
      <c r="AB36">
        <v>800</v>
      </c>
      <c r="AC36">
        <f t="shared" si="12"/>
        <v>800</v>
      </c>
      <c r="AD36">
        <v>780</v>
      </c>
      <c r="AE36">
        <f t="shared" si="13"/>
        <v>1170</v>
      </c>
      <c r="AF36">
        <v>300</v>
      </c>
      <c r="AG36">
        <f t="shared" si="14"/>
        <v>390</v>
      </c>
      <c r="AH36" t="s">
        <v>73</v>
      </c>
      <c r="AI36" t="e">
        <f t="shared" si="15"/>
        <v>#VALUE!</v>
      </c>
      <c r="AJ36">
        <v>39</v>
      </c>
      <c r="AK36">
        <f t="shared" si="16"/>
        <v>20.67</v>
      </c>
      <c r="AL36">
        <v>1596</v>
      </c>
      <c r="AM36">
        <f t="shared" si="17"/>
        <v>1596</v>
      </c>
      <c r="AN36">
        <v>880</v>
      </c>
      <c r="AO36">
        <f t="shared" si="18"/>
        <v>1320</v>
      </c>
      <c r="AP36">
        <v>260</v>
      </c>
      <c r="AQ36">
        <f t="shared" si="19"/>
        <v>338</v>
      </c>
      <c r="AR36" t="s">
        <v>73</v>
      </c>
      <c r="AS36" t="e">
        <f t="shared" si="20"/>
        <v>#VALUE!</v>
      </c>
      <c r="AT36">
        <v>43</v>
      </c>
      <c r="AU36">
        <f t="shared" si="21"/>
        <v>22.790000000000003</v>
      </c>
      <c r="AV36">
        <v>1215</v>
      </c>
      <c r="AW36">
        <f t="shared" si="22"/>
        <v>1215</v>
      </c>
      <c r="AX36">
        <v>1125</v>
      </c>
      <c r="AY36">
        <f t="shared" si="23"/>
        <v>1687.5</v>
      </c>
      <c r="AZ36">
        <v>330</v>
      </c>
      <c r="BA36">
        <f t="shared" si="24"/>
        <v>429</v>
      </c>
    </row>
    <row r="37" spans="1:53" x14ac:dyDescent="0.3">
      <c r="A37" t="s">
        <v>74</v>
      </c>
      <c r="B37" t="s">
        <v>135</v>
      </c>
      <c r="C37" t="s">
        <v>136</v>
      </c>
      <c r="D37" t="s">
        <v>73</v>
      </c>
      <c r="E37" t="e">
        <f t="shared" si="0"/>
        <v>#VALUE!</v>
      </c>
      <c r="F37">
        <v>174</v>
      </c>
      <c r="G37">
        <f t="shared" si="1"/>
        <v>92.22</v>
      </c>
      <c r="H37">
        <v>3360</v>
      </c>
      <c r="I37">
        <f t="shared" si="2"/>
        <v>3360</v>
      </c>
      <c r="J37">
        <v>6300</v>
      </c>
      <c r="K37">
        <f t="shared" si="3"/>
        <v>9450</v>
      </c>
      <c r="L37">
        <v>171</v>
      </c>
      <c r="M37">
        <f t="shared" si="4"/>
        <v>222.3</v>
      </c>
      <c r="N37" t="s">
        <v>73</v>
      </c>
      <c r="O37" t="e">
        <f t="shared" si="5"/>
        <v>#VALUE!</v>
      </c>
      <c r="P37">
        <v>170</v>
      </c>
      <c r="Q37">
        <f t="shared" si="6"/>
        <v>90.100000000000009</v>
      </c>
      <c r="R37">
        <v>3360</v>
      </c>
      <c r="S37">
        <f t="shared" si="7"/>
        <v>3360</v>
      </c>
      <c r="T37">
        <v>7524</v>
      </c>
      <c r="U37">
        <f t="shared" si="8"/>
        <v>11286</v>
      </c>
      <c r="V37">
        <v>1200</v>
      </c>
      <c r="W37">
        <f t="shared" ref="W37" si="56">V37*1.3</f>
        <v>1560</v>
      </c>
      <c r="X37" t="s">
        <v>73</v>
      </c>
      <c r="Y37" t="e">
        <f t="shared" si="10"/>
        <v>#VALUE!</v>
      </c>
      <c r="Z37">
        <v>240</v>
      </c>
      <c r="AA37">
        <f t="shared" si="11"/>
        <v>127.2</v>
      </c>
      <c r="AB37">
        <v>2700</v>
      </c>
      <c r="AC37">
        <f t="shared" si="12"/>
        <v>2700</v>
      </c>
      <c r="AD37">
        <v>3864</v>
      </c>
      <c r="AE37">
        <f t="shared" si="13"/>
        <v>5796</v>
      </c>
      <c r="AF37">
        <v>2310</v>
      </c>
      <c r="AG37">
        <f t="shared" si="14"/>
        <v>3003</v>
      </c>
      <c r="AH37" t="s">
        <v>73</v>
      </c>
      <c r="AI37" t="e">
        <f t="shared" si="15"/>
        <v>#VALUE!</v>
      </c>
      <c r="AJ37">
        <v>294</v>
      </c>
      <c r="AK37">
        <f t="shared" si="16"/>
        <v>155.82000000000002</v>
      </c>
      <c r="AL37">
        <v>5184</v>
      </c>
      <c r="AM37">
        <f t="shared" si="17"/>
        <v>5184</v>
      </c>
      <c r="AN37">
        <v>9270</v>
      </c>
      <c r="AO37">
        <f t="shared" si="18"/>
        <v>13905</v>
      </c>
      <c r="AP37">
        <v>1080</v>
      </c>
      <c r="AQ37">
        <f t="shared" si="19"/>
        <v>1404</v>
      </c>
      <c r="AR37" t="s">
        <v>73</v>
      </c>
      <c r="AS37" t="e">
        <f t="shared" si="20"/>
        <v>#VALUE!</v>
      </c>
      <c r="AT37">
        <v>183</v>
      </c>
      <c r="AU37">
        <f t="shared" si="21"/>
        <v>96.990000000000009</v>
      </c>
      <c r="AV37">
        <v>3600</v>
      </c>
      <c r="AW37">
        <f t="shared" si="22"/>
        <v>3600</v>
      </c>
      <c r="AX37">
        <v>8310</v>
      </c>
      <c r="AY37">
        <f t="shared" si="23"/>
        <v>12465</v>
      </c>
      <c r="AZ37">
        <v>1980</v>
      </c>
      <c r="BA37">
        <f t="shared" si="24"/>
        <v>2574</v>
      </c>
    </row>
    <row r="38" spans="1:53" x14ac:dyDescent="0.3">
      <c r="A38" t="s">
        <v>74</v>
      </c>
      <c r="B38" t="s">
        <v>137</v>
      </c>
      <c r="C38" t="s">
        <v>138</v>
      </c>
      <c r="D38" t="s">
        <v>73</v>
      </c>
      <c r="E38" t="e">
        <f t="shared" si="0"/>
        <v>#VALUE!</v>
      </c>
      <c r="F38">
        <v>90</v>
      </c>
      <c r="G38">
        <f t="shared" si="1"/>
        <v>47.7</v>
      </c>
      <c r="H38">
        <v>19440</v>
      </c>
      <c r="I38">
        <f t="shared" si="2"/>
        <v>19440</v>
      </c>
      <c r="J38">
        <v>12720</v>
      </c>
      <c r="K38">
        <f t="shared" si="3"/>
        <v>19080</v>
      </c>
      <c r="L38">
        <v>3000</v>
      </c>
      <c r="M38">
        <f t="shared" si="4"/>
        <v>3900</v>
      </c>
      <c r="N38" t="s">
        <v>73</v>
      </c>
      <c r="O38" t="e">
        <f t="shared" si="5"/>
        <v>#VALUE!</v>
      </c>
      <c r="P38">
        <v>23</v>
      </c>
      <c r="Q38">
        <f t="shared" si="6"/>
        <v>12.190000000000001</v>
      </c>
      <c r="R38">
        <v>5940</v>
      </c>
      <c r="S38">
        <f t="shared" si="7"/>
        <v>5940</v>
      </c>
      <c r="T38">
        <v>9320</v>
      </c>
      <c r="U38">
        <f t="shared" si="8"/>
        <v>13980</v>
      </c>
      <c r="V38">
        <v>5940</v>
      </c>
      <c r="W38">
        <f t="shared" ref="W38" si="57">V38*1.3</f>
        <v>7722</v>
      </c>
      <c r="X38" t="s">
        <v>73</v>
      </c>
      <c r="Y38" t="e">
        <f t="shared" si="10"/>
        <v>#VALUE!</v>
      </c>
      <c r="Z38">
        <v>24</v>
      </c>
      <c r="AA38">
        <f t="shared" si="11"/>
        <v>12.72</v>
      </c>
      <c r="AB38">
        <v>5670</v>
      </c>
      <c r="AC38">
        <f t="shared" si="12"/>
        <v>5670</v>
      </c>
      <c r="AD38">
        <v>7260</v>
      </c>
      <c r="AE38">
        <f t="shared" si="13"/>
        <v>10890</v>
      </c>
      <c r="AF38">
        <v>7200</v>
      </c>
      <c r="AG38">
        <f t="shared" si="14"/>
        <v>9360</v>
      </c>
      <c r="AH38" t="s">
        <v>73</v>
      </c>
      <c r="AI38" t="e">
        <f t="shared" si="15"/>
        <v>#VALUE!</v>
      </c>
      <c r="AJ38">
        <v>12</v>
      </c>
      <c r="AK38">
        <f t="shared" si="16"/>
        <v>6.36</v>
      </c>
      <c r="AL38">
        <v>8100</v>
      </c>
      <c r="AM38">
        <f t="shared" si="17"/>
        <v>8100</v>
      </c>
      <c r="AN38">
        <v>16920</v>
      </c>
      <c r="AO38">
        <f t="shared" si="18"/>
        <v>25380</v>
      </c>
      <c r="AP38">
        <v>2400</v>
      </c>
      <c r="AQ38">
        <f t="shared" si="19"/>
        <v>3120</v>
      </c>
      <c r="AR38" t="s">
        <v>73</v>
      </c>
      <c r="AS38" t="e">
        <f t="shared" si="20"/>
        <v>#VALUE!</v>
      </c>
      <c r="AT38">
        <v>12</v>
      </c>
      <c r="AU38">
        <f t="shared" si="21"/>
        <v>6.36</v>
      </c>
      <c r="AV38">
        <v>8640</v>
      </c>
      <c r="AW38">
        <f t="shared" si="22"/>
        <v>8640</v>
      </c>
      <c r="AX38">
        <v>15960</v>
      </c>
      <c r="AY38">
        <f t="shared" si="23"/>
        <v>23940</v>
      </c>
      <c r="AZ38">
        <v>9000</v>
      </c>
      <c r="BA38">
        <f t="shared" si="24"/>
        <v>11700</v>
      </c>
    </row>
    <row r="39" spans="1:53" x14ac:dyDescent="0.3">
      <c r="A39" t="s">
        <v>74</v>
      </c>
      <c r="B39" t="s">
        <v>139</v>
      </c>
      <c r="C39" t="s">
        <v>140</v>
      </c>
      <c r="D39" t="s">
        <v>73</v>
      </c>
      <c r="E39" t="e">
        <f t="shared" si="0"/>
        <v>#VALUE!</v>
      </c>
      <c r="F39">
        <v>15</v>
      </c>
      <c r="G39">
        <f t="shared" si="1"/>
        <v>7.95</v>
      </c>
      <c r="H39">
        <v>3360</v>
      </c>
      <c r="I39">
        <f t="shared" si="2"/>
        <v>3360</v>
      </c>
      <c r="J39">
        <v>1314</v>
      </c>
      <c r="K39">
        <f t="shared" si="3"/>
        <v>1971</v>
      </c>
      <c r="L39">
        <v>231</v>
      </c>
      <c r="M39">
        <f t="shared" si="4"/>
        <v>300.3</v>
      </c>
      <c r="N39" t="s">
        <v>73</v>
      </c>
      <c r="O39" t="e">
        <f t="shared" si="5"/>
        <v>#VALUE!</v>
      </c>
      <c r="P39">
        <v>8</v>
      </c>
      <c r="Q39">
        <f t="shared" si="6"/>
        <v>4.24</v>
      </c>
      <c r="R39">
        <v>912</v>
      </c>
      <c r="S39">
        <f t="shared" si="7"/>
        <v>912</v>
      </c>
      <c r="T39">
        <v>954</v>
      </c>
      <c r="U39">
        <f t="shared" si="8"/>
        <v>1431</v>
      </c>
      <c r="V39">
        <v>714</v>
      </c>
      <c r="W39">
        <f t="shared" ref="W39" si="58">V39*1.3</f>
        <v>928.2</v>
      </c>
      <c r="X39" t="s">
        <v>73</v>
      </c>
      <c r="Y39" t="e">
        <f t="shared" si="10"/>
        <v>#VALUE!</v>
      </c>
      <c r="Z39">
        <v>4</v>
      </c>
      <c r="AA39">
        <f t="shared" si="11"/>
        <v>2.12</v>
      </c>
      <c r="AB39">
        <v>2160</v>
      </c>
      <c r="AC39">
        <f t="shared" si="12"/>
        <v>2160</v>
      </c>
      <c r="AD39">
        <v>300</v>
      </c>
      <c r="AE39">
        <f t="shared" si="13"/>
        <v>450</v>
      </c>
      <c r="AF39">
        <v>684</v>
      </c>
      <c r="AG39">
        <f t="shared" si="14"/>
        <v>889.2</v>
      </c>
      <c r="AH39" t="s">
        <v>73</v>
      </c>
      <c r="AI39" t="e">
        <f t="shared" si="15"/>
        <v>#VALUE!</v>
      </c>
      <c r="AJ39">
        <v>4</v>
      </c>
      <c r="AK39">
        <f t="shared" si="16"/>
        <v>2.12</v>
      </c>
      <c r="AL39">
        <v>5670</v>
      </c>
      <c r="AM39">
        <f t="shared" si="17"/>
        <v>5670</v>
      </c>
      <c r="AN39">
        <v>1950</v>
      </c>
      <c r="AO39">
        <f t="shared" si="18"/>
        <v>2925</v>
      </c>
      <c r="AP39">
        <v>513</v>
      </c>
      <c r="AQ39">
        <f t="shared" si="19"/>
        <v>666.9</v>
      </c>
      <c r="AR39" t="s">
        <v>73</v>
      </c>
      <c r="AS39" t="e">
        <f t="shared" si="20"/>
        <v>#VALUE!</v>
      </c>
      <c r="AT39">
        <v>6</v>
      </c>
      <c r="AU39">
        <f t="shared" si="21"/>
        <v>3.18</v>
      </c>
      <c r="AV39">
        <v>4494</v>
      </c>
      <c r="AW39">
        <f t="shared" si="22"/>
        <v>4494</v>
      </c>
      <c r="AX39">
        <v>1830</v>
      </c>
      <c r="AY39">
        <f t="shared" si="23"/>
        <v>2745</v>
      </c>
      <c r="AZ39">
        <v>720</v>
      </c>
      <c r="BA39">
        <f t="shared" si="24"/>
        <v>936</v>
      </c>
    </row>
    <row r="40" spans="1:53" x14ac:dyDescent="0.3">
      <c r="A40" t="s">
        <v>74</v>
      </c>
      <c r="B40" t="s">
        <v>141</v>
      </c>
      <c r="C40" t="s">
        <v>142</v>
      </c>
      <c r="D40" t="s">
        <v>73</v>
      </c>
      <c r="E40" t="e">
        <f t="shared" si="0"/>
        <v>#VALUE!</v>
      </c>
      <c r="F40">
        <v>60</v>
      </c>
      <c r="G40">
        <f t="shared" si="1"/>
        <v>31.8</v>
      </c>
      <c r="H40">
        <v>2130</v>
      </c>
      <c r="I40">
        <f t="shared" si="2"/>
        <v>2130</v>
      </c>
      <c r="J40">
        <v>2130</v>
      </c>
      <c r="K40">
        <f t="shared" si="3"/>
        <v>3195</v>
      </c>
      <c r="L40">
        <v>46</v>
      </c>
      <c r="M40">
        <f t="shared" si="4"/>
        <v>59.800000000000004</v>
      </c>
      <c r="N40" t="s">
        <v>73</v>
      </c>
      <c r="O40" t="e">
        <f t="shared" si="5"/>
        <v>#VALUE!</v>
      </c>
      <c r="P40">
        <v>13</v>
      </c>
      <c r="Q40">
        <f t="shared" si="6"/>
        <v>6.8900000000000006</v>
      </c>
      <c r="R40">
        <v>264</v>
      </c>
      <c r="S40">
        <f t="shared" si="7"/>
        <v>264</v>
      </c>
      <c r="T40">
        <v>1485</v>
      </c>
      <c r="U40">
        <f t="shared" si="8"/>
        <v>2227.5</v>
      </c>
      <c r="V40">
        <v>144</v>
      </c>
      <c r="W40">
        <f t="shared" ref="W40" si="59">V40*1.3</f>
        <v>187.20000000000002</v>
      </c>
      <c r="X40" t="s">
        <v>73</v>
      </c>
      <c r="Y40" t="e">
        <f t="shared" si="10"/>
        <v>#VALUE!</v>
      </c>
      <c r="Z40">
        <v>14</v>
      </c>
      <c r="AA40">
        <f t="shared" si="11"/>
        <v>7.42</v>
      </c>
      <c r="AB40">
        <v>390</v>
      </c>
      <c r="AC40">
        <f t="shared" si="12"/>
        <v>390</v>
      </c>
      <c r="AD40">
        <v>480</v>
      </c>
      <c r="AE40">
        <f t="shared" si="13"/>
        <v>720</v>
      </c>
      <c r="AF40">
        <v>191</v>
      </c>
      <c r="AG40">
        <f t="shared" si="14"/>
        <v>248.3</v>
      </c>
      <c r="AH40" t="s">
        <v>73</v>
      </c>
      <c r="AI40" t="e">
        <f t="shared" si="15"/>
        <v>#VALUE!</v>
      </c>
      <c r="AJ40">
        <v>26</v>
      </c>
      <c r="AK40">
        <f t="shared" si="16"/>
        <v>13.780000000000001</v>
      </c>
      <c r="AL40">
        <v>2958</v>
      </c>
      <c r="AM40">
        <f t="shared" si="17"/>
        <v>2958</v>
      </c>
      <c r="AN40">
        <v>1650</v>
      </c>
      <c r="AO40">
        <f t="shared" si="18"/>
        <v>2475</v>
      </c>
      <c r="AP40">
        <v>240</v>
      </c>
      <c r="AQ40">
        <f t="shared" si="19"/>
        <v>312</v>
      </c>
      <c r="AR40" t="s">
        <v>73</v>
      </c>
      <c r="AS40" t="e">
        <f t="shared" si="20"/>
        <v>#VALUE!</v>
      </c>
      <c r="AT40">
        <v>22</v>
      </c>
      <c r="AU40">
        <f t="shared" si="21"/>
        <v>11.66</v>
      </c>
      <c r="AV40">
        <v>1470</v>
      </c>
      <c r="AW40">
        <f t="shared" si="22"/>
        <v>1470</v>
      </c>
      <c r="AX40">
        <v>1683</v>
      </c>
      <c r="AY40">
        <f t="shared" si="23"/>
        <v>2524.5</v>
      </c>
      <c r="AZ40">
        <v>216</v>
      </c>
      <c r="BA40">
        <f t="shared" si="24"/>
        <v>280.8</v>
      </c>
    </row>
    <row r="41" spans="1:53" x14ac:dyDescent="0.3">
      <c r="A41" t="s">
        <v>74</v>
      </c>
      <c r="B41" t="s">
        <v>143</v>
      </c>
      <c r="C41" t="s">
        <v>144</v>
      </c>
      <c r="D41" t="s">
        <v>73</v>
      </c>
      <c r="E41" t="e">
        <f t="shared" si="0"/>
        <v>#VALUE!</v>
      </c>
      <c r="F41">
        <v>21</v>
      </c>
      <c r="G41">
        <f t="shared" si="1"/>
        <v>11.13</v>
      </c>
      <c r="H41">
        <v>1260</v>
      </c>
      <c r="I41">
        <f t="shared" si="2"/>
        <v>1260</v>
      </c>
      <c r="J41">
        <v>1470</v>
      </c>
      <c r="K41">
        <f t="shared" si="3"/>
        <v>2205</v>
      </c>
      <c r="L41">
        <v>140</v>
      </c>
      <c r="M41">
        <f t="shared" si="4"/>
        <v>182</v>
      </c>
      <c r="N41" t="s">
        <v>73</v>
      </c>
      <c r="O41" t="e">
        <f t="shared" si="5"/>
        <v>#VALUE!</v>
      </c>
      <c r="P41">
        <v>11</v>
      </c>
      <c r="Q41">
        <f t="shared" si="6"/>
        <v>5.83</v>
      </c>
      <c r="R41">
        <v>900</v>
      </c>
      <c r="S41">
        <f t="shared" si="7"/>
        <v>900</v>
      </c>
      <c r="T41">
        <v>592</v>
      </c>
      <c r="U41">
        <f t="shared" si="8"/>
        <v>888</v>
      </c>
      <c r="V41">
        <v>192</v>
      </c>
      <c r="W41">
        <f t="shared" ref="W41" si="60">V41*1.3</f>
        <v>249.60000000000002</v>
      </c>
      <c r="X41" t="s">
        <v>73</v>
      </c>
      <c r="Y41" t="e">
        <f t="shared" si="10"/>
        <v>#VALUE!</v>
      </c>
      <c r="Z41">
        <v>20</v>
      </c>
      <c r="AA41">
        <f t="shared" si="11"/>
        <v>10.600000000000001</v>
      </c>
      <c r="AB41">
        <v>576</v>
      </c>
      <c r="AC41">
        <f t="shared" si="12"/>
        <v>576</v>
      </c>
      <c r="AD41">
        <v>360</v>
      </c>
      <c r="AE41">
        <f t="shared" si="13"/>
        <v>540</v>
      </c>
      <c r="AF41">
        <v>600</v>
      </c>
      <c r="AG41">
        <f t="shared" si="14"/>
        <v>780</v>
      </c>
      <c r="AH41" t="s">
        <v>73</v>
      </c>
      <c r="AI41" t="e">
        <f t="shared" si="15"/>
        <v>#VALUE!</v>
      </c>
      <c r="AJ41">
        <v>4</v>
      </c>
      <c r="AK41">
        <f t="shared" si="16"/>
        <v>2.12</v>
      </c>
      <c r="AL41">
        <v>792</v>
      </c>
      <c r="AM41">
        <f t="shared" si="17"/>
        <v>792</v>
      </c>
      <c r="AN41">
        <v>1404</v>
      </c>
      <c r="AO41">
        <f t="shared" si="18"/>
        <v>2106</v>
      </c>
      <c r="AP41">
        <v>360</v>
      </c>
      <c r="AQ41">
        <f t="shared" si="19"/>
        <v>468</v>
      </c>
      <c r="AR41" t="s">
        <v>73</v>
      </c>
      <c r="AS41" t="e">
        <f t="shared" si="20"/>
        <v>#VALUE!</v>
      </c>
      <c r="AT41">
        <v>75</v>
      </c>
      <c r="AU41">
        <f t="shared" si="21"/>
        <v>39.75</v>
      </c>
      <c r="AV41">
        <v>648</v>
      </c>
      <c r="AW41">
        <f t="shared" si="22"/>
        <v>648</v>
      </c>
      <c r="AX41">
        <v>1572</v>
      </c>
      <c r="AY41">
        <f t="shared" si="23"/>
        <v>2358</v>
      </c>
      <c r="AZ41">
        <v>324</v>
      </c>
      <c r="BA41">
        <f t="shared" si="24"/>
        <v>421.2</v>
      </c>
    </row>
    <row r="42" spans="1:53" x14ac:dyDescent="0.3">
      <c r="A42" t="s">
        <v>74</v>
      </c>
      <c r="B42" t="s">
        <v>145</v>
      </c>
      <c r="C42" t="s">
        <v>146</v>
      </c>
      <c r="D42">
        <v>5</v>
      </c>
      <c r="E42">
        <f t="shared" si="0"/>
        <v>6</v>
      </c>
      <c r="F42">
        <v>557</v>
      </c>
      <c r="G42">
        <f t="shared" si="1"/>
        <v>295.21000000000004</v>
      </c>
      <c r="H42">
        <v>10980</v>
      </c>
      <c r="I42">
        <f t="shared" si="2"/>
        <v>10980</v>
      </c>
      <c r="J42">
        <v>12600</v>
      </c>
      <c r="K42">
        <f t="shared" si="3"/>
        <v>18900</v>
      </c>
      <c r="L42">
        <v>1350</v>
      </c>
      <c r="M42">
        <f t="shared" si="4"/>
        <v>1755</v>
      </c>
      <c r="N42">
        <v>5</v>
      </c>
      <c r="O42">
        <f t="shared" si="5"/>
        <v>6</v>
      </c>
      <c r="P42">
        <v>102</v>
      </c>
      <c r="Q42">
        <f t="shared" si="6"/>
        <v>54.06</v>
      </c>
      <c r="R42">
        <v>1500</v>
      </c>
      <c r="S42">
        <f t="shared" si="7"/>
        <v>1500</v>
      </c>
      <c r="T42">
        <v>11340</v>
      </c>
      <c r="U42">
        <f t="shared" si="8"/>
        <v>17010</v>
      </c>
      <c r="V42">
        <v>2820</v>
      </c>
      <c r="W42">
        <f t="shared" ref="W42" si="61">V42*1.3</f>
        <v>3666</v>
      </c>
      <c r="X42">
        <v>5</v>
      </c>
      <c r="Y42">
        <f t="shared" si="10"/>
        <v>6</v>
      </c>
      <c r="Z42">
        <v>146</v>
      </c>
      <c r="AA42">
        <f t="shared" si="11"/>
        <v>77.38000000000001</v>
      </c>
      <c r="AB42">
        <v>7800</v>
      </c>
      <c r="AC42">
        <f t="shared" si="12"/>
        <v>7800</v>
      </c>
      <c r="AD42">
        <v>6600</v>
      </c>
      <c r="AE42">
        <f t="shared" si="13"/>
        <v>9900</v>
      </c>
      <c r="AF42">
        <v>2269</v>
      </c>
      <c r="AG42">
        <f t="shared" si="14"/>
        <v>2949.7000000000003</v>
      </c>
      <c r="AH42">
        <v>5</v>
      </c>
      <c r="AI42">
        <f t="shared" si="15"/>
        <v>6</v>
      </c>
      <c r="AJ42">
        <v>252</v>
      </c>
      <c r="AK42">
        <f t="shared" si="16"/>
        <v>133.56</v>
      </c>
      <c r="AL42">
        <v>8160</v>
      </c>
      <c r="AM42">
        <f t="shared" si="17"/>
        <v>8160</v>
      </c>
      <c r="AN42">
        <v>13200</v>
      </c>
      <c r="AO42">
        <f t="shared" si="18"/>
        <v>19800</v>
      </c>
      <c r="AP42">
        <v>1800</v>
      </c>
      <c r="AQ42">
        <f t="shared" si="19"/>
        <v>2340</v>
      </c>
      <c r="AR42">
        <v>5</v>
      </c>
      <c r="AS42">
        <f t="shared" si="20"/>
        <v>6</v>
      </c>
      <c r="AT42">
        <v>441</v>
      </c>
      <c r="AU42">
        <f t="shared" si="21"/>
        <v>233.73000000000002</v>
      </c>
      <c r="AV42">
        <v>5304</v>
      </c>
      <c r="AW42">
        <f t="shared" si="22"/>
        <v>5304</v>
      </c>
      <c r="AX42">
        <v>12420</v>
      </c>
      <c r="AY42">
        <f t="shared" si="23"/>
        <v>18630</v>
      </c>
      <c r="AZ42">
        <v>3894</v>
      </c>
      <c r="BA42">
        <f t="shared" si="24"/>
        <v>5062.2</v>
      </c>
    </row>
    <row r="43" spans="1:53" x14ac:dyDescent="0.3">
      <c r="A43" t="s">
        <v>74</v>
      </c>
      <c r="B43" t="s">
        <v>147</v>
      </c>
      <c r="C43" t="s">
        <v>148</v>
      </c>
      <c r="D43" t="s">
        <v>73</v>
      </c>
      <c r="E43" t="e">
        <f t="shared" si="0"/>
        <v>#VALUE!</v>
      </c>
      <c r="F43">
        <v>16</v>
      </c>
      <c r="G43">
        <f t="shared" si="1"/>
        <v>8.48</v>
      </c>
      <c r="H43">
        <v>11300</v>
      </c>
      <c r="I43">
        <f t="shared" si="2"/>
        <v>11300</v>
      </c>
      <c r="J43">
        <v>10230</v>
      </c>
      <c r="K43">
        <f t="shared" si="3"/>
        <v>15345</v>
      </c>
      <c r="L43">
        <v>1224</v>
      </c>
      <c r="M43">
        <f t="shared" si="4"/>
        <v>1591.2</v>
      </c>
      <c r="N43" t="s">
        <v>73</v>
      </c>
      <c r="O43" t="e">
        <f t="shared" si="5"/>
        <v>#VALUE!</v>
      </c>
      <c r="P43">
        <v>8</v>
      </c>
      <c r="Q43">
        <f t="shared" si="6"/>
        <v>4.24</v>
      </c>
      <c r="R43">
        <v>4470</v>
      </c>
      <c r="S43">
        <f t="shared" si="7"/>
        <v>4470</v>
      </c>
      <c r="T43">
        <v>6540</v>
      </c>
      <c r="U43">
        <f t="shared" si="8"/>
        <v>9810</v>
      </c>
      <c r="V43">
        <v>3000</v>
      </c>
      <c r="W43">
        <f t="shared" ref="W43" si="62">V43*1.3</f>
        <v>3900</v>
      </c>
      <c r="X43" t="s">
        <v>73</v>
      </c>
      <c r="Y43" t="e">
        <f t="shared" si="10"/>
        <v>#VALUE!</v>
      </c>
      <c r="Z43">
        <v>6</v>
      </c>
      <c r="AA43">
        <f t="shared" si="11"/>
        <v>3.18</v>
      </c>
      <c r="AB43">
        <v>5280</v>
      </c>
      <c r="AC43">
        <f t="shared" si="12"/>
        <v>5280</v>
      </c>
      <c r="AD43">
        <v>4488</v>
      </c>
      <c r="AE43">
        <f t="shared" si="13"/>
        <v>6732</v>
      </c>
      <c r="AF43">
        <v>2430</v>
      </c>
      <c r="AG43">
        <f t="shared" si="14"/>
        <v>3159</v>
      </c>
      <c r="AH43" t="s">
        <v>73</v>
      </c>
      <c r="AI43" t="e">
        <f t="shared" si="15"/>
        <v>#VALUE!</v>
      </c>
      <c r="AJ43">
        <v>12</v>
      </c>
      <c r="AK43">
        <f t="shared" si="16"/>
        <v>6.36</v>
      </c>
      <c r="AL43">
        <v>7920</v>
      </c>
      <c r="AM43">
        <f t="shared" si="17"/>
        <v>7920</v>
      </c>
      <c r="AN43">
        <v>9804</v>
      </c>
      <c r="AO43">
        <f t="shared" si="18"/>
        <v>14706</v>
      </c>
      <c r="AP43">
        <v>2400</v>
      </c>
      <c r="AQ43">
        <f t="shared" si="19"/>
        <v>3120</v>
      </c>
      <c r="AR43" t="s">
        <v>73</v>
      </c>
      <c r="AS43" t="e">
        <f t="shared" si="20"/>
        <v>#VALUE!</v>
      </c>
      <c r="AT43">
        <v>15</v>
      </c>
      <c r="AU43">
        <f t="shared" si="21"/>
        <v>7.95</v>
      </c>
      <c r="AV43">
        <v>5122</v>
      </c>
      <c r="AW43">
        <f t="shared" si="22"/>
        <v>5122</v>
      </c>
      <c r="AX43">
        <v>9720</v>
      </c>
      <c r="AY43">
        <f t="shared" si="23"/>
        <v>14580</v>
      </c>
      <c r="AZ43">
        <v>6480</v>
      </c>
      <c r="BA43">
        <f t="shared" si="24"/>
        <v>8424</v>
      </c>
    </row>
    <row r="44" spans="1:53" x14ac:dyDescent="0.3">
      <c r="A44" t="s">
        <v>74</v>
      </c>
      <c r="B44" t="s">
        <v>149</v>
      </c>
      <c r="C44" t="s">
        <v>150</v>
      </c>
      <c r="D44">
        <v>6</v>
      </c>
      <c r="E44">
        <f t="shared" si="0"/>
        <v>7.1999999999999993</v>
      </c>
      <c r="F44">
        <v>70</v>
      </c>
      <c r="G44">
        <f t="shared" si="1"/>
        <v>37.1</v>
      </c>
      <c r="H44">
        <v>756</v>
      </c>
      <c r="I44">
        <f t="shared" si="2"/>
        <v>756</v>
      </c>
      <c r="J44">
        <v>3960</v>
      </c>
      <c r="K44">
        <f t="shared" si="3"/>
        <v>5940</v>
      </c>
      <c r="L44">
        <v>347</v>
      </c>
      <c r="M44">
        <f t="shared" si="4"/>
        <v>451.1</v>
      </c>
      <c r="N44" t="s">
        <v>73</v>
      </c>
      <c r="O44" t="e">
        <f t="shared" si="5"/>
        <v>#VALUE!</v>
      </c>
      <c r="P44">
        <v>18</v>
      </c>
      <c r="Q44">
        <f t="shared" si="6"/>
        <v>9.5400000000000009</v>
      </c>
      <c r="R44">
        <v>840</v>
      </c>
      <c r="S44">
        <f t="shared" si="7"/>
        <v>840</v>
      </c>
      <c r="T44">
        <v>3564</v>
      </c>
      <c r="U44">
        <f t="shared" si="8"/>
        <v>5346</v>
      </c>
      <c r="V44">
        <v>200</v>
      </c>
      <c r="W44">
        <f t="shared" ref="W44" si="63">V44*1.3</f>
        <v>260</v>
      </c>
      <c r="X44" t="s">
        <v>73</v>
      </c>
      <c r="Y44" t="e">
        <f t="shared" si="10"/>
        <v>#VALUE!</v>
      </c>
      <c r="Z44">
        <v>150</v>
      </c>
      <c r="AA44">
        <f t="shared" si="11"/>
        <v>79.5</v>
      </c>
      <c r="AB44">
        <v>720</v>
      </c>
      <c r="AC44">
        <f t="shared" si="12"/>
        <v>720</v>
      </c>
      <c r="AD44">
        <v>2025</v>
      </c>
      <c r="AE44">
        <f t="shared" si="13"/>
        <v>3037.5</v>
      </c>
      <c r="AF44">
        <v>990</v>
      </c>
      <c r="AG44">
        <f t="shared" si="14"/>
        <v>1287</v>
      </c>
      <c r="AH44" t="s">
        <v>73</v>
      </c>
      <c r="AI44" t="e">
        <f t="shared" si="15"/>
        <v>#VALUE!</v>
      </c>
      <c r="AJ44">
        <v>99</v>
      </c>
      <c r="AK44">
        <f t="shared" si="16"/>
        <v>52.470000000000006</v>
      </c>
      <c r="AL44">
        <v>1326</v>
      </c>
      <c r="AM44">
        <f t="shared" si="17"/>
        <v>1326</v>
      </c>
      <c r="AN44">
        <v>5826</v>
      </c>
      <c r="AO44">
        <f t="shared" si="18"/>
        <v>8739</v>
      </c>
      <c r="AP44">
        <v>1120</v>
      </c>
      <c r="AQ44">
        <f t="shared" si="19"/>
        <v>1456</v>
      </c>
      <c r="AR44" t="s">
        <v>73</v>
      </c>
      <c r="AS44" t="e">
        <f t="shared" si="20"/>
        <v>#VALUE!</v>
      </c>
      <c r="AT44">
        <v>42</v>
      </c>
      <c r="AU44">
        <f t="shared" si="21"/>
        <v>22.26</v>
      </c>
      <c r="AV44">
        <v>672</v>
      </c>
      <c r="AW44">
        <f t="shared" si="22"/>
        <v>672</v>
      </c>
      <c r="AX44">
        <v>6408</v>
      </c>
      <c r="AY44">
        <f t="shared" si="23"/>
        <v>9612</v>
      </c>
      <c r="AZ44">
        <v>300</v>
      </c>
      <c r="BA44">
        <f t="shared" si="24"/>
        <v>390</v>
      </c>
    </row>
    <row r="45" spans="1:53" x14ac:dyDescent="0.3">
      <c r="A45" t="s">
        <v>74</v>
      </c>
      <c r="B45" t="s">
        <v>151</v>
      </c>
      <c r="C45" t="s">
        <v>152</v>
      </c>
      <c r="D45" t="s">
        <v>73</v>
      </c>
      <c r="E45" t="e">
        <f t="shared" si="0"/>
        <v>#VALUE!</v>
      </c>
      <c r="F45">
        <v>56</v>
      </c>
      <c r="G45">
        <f t="shared" si="1"/>
        <v>29.68</v>
      </c>
      <c r="H45">
        <v>1680</v>
      </c>
      <c r="I45">
        <f t="shared" si="2"/>
        <v>1680</v>
      </c>
      <c r="J45">
        <v>1980</v>
      </c>
      <c r="K45">
        <f t="shared" si="3"/>
        <v>2970</v>
      </c>
      <c r="L45">
        <v>123</v>
      </c>
      <c r="M45">
        <f t="shared" si="4"/>
        <v>159.9</v>
      </c>
      <c r="N45" t="s">
        <v>73</v>
      </c>
      <c r="O45" t="e">
        <f t="shared" si="5"/>
        <v>#VALUE!</v>
      </c>
      <c r="P45">
        <v>50</v>
      </c>
      <c r="Q45">
        <f t="shared" si="6"/>
        <v>26.5</v>
      </c>
      <c r="R45">
        <v>672</v>
      </c>
      <c r="S45">
        <f t="shared" si="7"/>
        <v>672</v>
      </c>
      <c r="T45">
        <v>1980</v>
      </c>
      <c r="U45">
        <f t="shared" si="8"/>
        <v>2970</v>
      </c>
      <c r="V45">
        <v>420</v>
      </c>
      <c r="W45">
        <f t="shared" ref="W45" si="64">V45*1.3</f>
        <v>546</v>
      </c>
      <c r="X45" t="s">
        <v>73</v>
      </c>
      <c r="Y45" t="e">
        <f t="shared" si="10"/>
        <v>#VALUE!</v>
      </c>
      <c r="Z45">
        <v>12</v>
      </c>
      <c r="AA45">
        <f t="shared" si="11"/>
        <v>6.36</v>
      </c>
      <c r="AB45">
        <v>720</v>
      </c>
      <c r="AC45">
        <f t="shared" si="12"/>
        <v>720</v>
      </c>
      <c r="AD45">
        <v>1620</v>
      </c>
      <c r="AE45">
        <f t="shared" si="13"/>
        <v>2430</v>
      </c>
      <c r="AF45">
        <v>480</v>
      </c>
      <c r="AG45">
        <f t="shared" si="14"/>
        <v>624</v>
      </c>
      <c r="AH45" t="s">
        <v>73</v>
      </c>
      <c r="AI45" t="e">
        <f t="shared" si="15"/>
        <v>#VALUE!</v>
      </c>
      <c r="AJ45">
        <v>36</v>
      </c>
      <c r="AK45">
        <f t="shared" si="16"/>
        <v>19.080000000000002</v>
      </c>
      <c r="AL45">
        <v>690</v>
      </c>
      <c r="AM45">
        <f t="shared" si="17"/>
        <v>690</v>
      </c>
      <c r="AN45">
        <v>1980</v>
      </c>
      <c r="AO45">
        <f t="shared" si="18"/>
        <v>2970</v>
      </c>
      <c r="AP45">
        <v>1260</v>
      </c>
      <c r="AQ45">
        <f t="shared" si="19"/>
        <v>1638</v>
      </c>
      <c r="AR45" t="s">
        <v>73</v>
      </c>
      <c r="AS45" t="e">
        <f t="shared" si="20"/>
        <v>#VALUE!</v>
      </c>
      <c r="AT45">
        <v>60</v>
      </c>
      <c r="AU45">
        <f t="shared" si="21"/>
        <v>31.8</v>
      </c>
      <c r="AV45">
        <v>300</v>
      </c>
      <c r="AW45">
        <f t="shared" si="22"/>
        <v>300</v>
      </c>
      <c r="AX45">
        <v>2430</v>
      </c>
      <c r="AY45">
        <f t="shared" si="23"/>
        <v>3645</v>
      </c>
      <c r="AZ45">
        <v>1890</v>
      </c>
      <c r="BA45">
        <f t="shared" si="24"/>
        <v>2457</v>
      </c>
    </row>
    <row r="46" spans="1:53" x14ac:dyDescent="0.3">
      <c r="A46" t="s">
        <v>74</v>
      </c>
      <c r="B46" t="s">
        <v>153</v>
      </c>
      <c r="C46" t="s">
        <v>154</v>
      </c>
      <c r="D46" t="s">
        <v>73</v>
      </c>
      <c r="E46" t="e">
        <f t="shared" si="0"/>
        <v>#VALUE!</v>
      </c>
      <c r="F46">
        <v>30</v>
      </c>
      <c r="G46">
        <f t="shared" si="1"/>
        <v>15.9</v>
      </c>
      <c r="H46">
        <v>19474</v>
      </c>
      <c r="I46">
        <f t="shared" si="2"/>
        <v>19474</v>
      </c>
      <c r="J46">
        <v>10466</v>
      </c>
      <c r="K46">
        <f t="shared" si="3"/>
        <v>15699</v>
      </c>
      <c r="L46">
        <v>1155</v>
      </c>
      <c r="M46">
        <f t="shared" si="4"/>
        <v>1501.5</v>
      </c>
      <c r="N46" t="s">
        <v>73</v>
      </c>
      <c r="O46" t="e">
        <f t="shared" si="5"/>
        <v>#VALUE!</v>
      </c>
      <c r="P46">
        <v>20</v>
      </c>
      <c r="Q46">
        <f t="shared" si="6"/>
        <v>10.600000000000001</v>
      </c>
      <c r="R46">
        <v>4200</v>
      </c>
      <c r="S46">
        <f t="shared" si="7"/>
        <v>4200</v>
      </c>
      <c r="T46">
        <v>9270</v>
      </c>
      <c r="U46">
        <f t="shared" si="8"/>
        <v>13905</v>
      </c>
      <c r="V46">
        <v>5400</v>
      </c>
      <c r="W46">
        <f t="shared" ref="W46" si="65">V46*1.3</f>
        <v>7020</v>
      </c>
      <c r="X46" t="s">
        <v>73</v>
      </c>
      <c r="Y46" t="e">
        <f t="shared" si="10"/>
        <v>#VALUE!</v>
      </c>
      <c r="Z46">
        <v>18</v>
      </c>
      <c r="AA46">
        <f t="shared" si="11"/>
        <v>9.5400000000000009</v>
      </c>
      <c r="AB46">
        <v>4680</v>
      </c>
      <c r="AC46">
        <f t="shared" si="12"/>
        <v>4680</v>
      </c>
      <c r="AD46">
        <v>4920</v>
      </c>
      <c r="AE46">
        <f t="shared" si="13"/>
        <v>7380</v>
      </c>
      <c r="AF46">
        <v>5400</v>
      </c>
      <c r="AG46">
        <f t="shared" si="14"/>
        <v>7020</v>
      </c>
      <c r="AH46" t="s">
        <v>73</v>
      </c>
      <c r="AI46" t="e">
        <f t="shared" si="15"/>
        <v>#VALUE!</v>
      </c>
      <c r="AJ46">
        <v>24</v>
      </c>
      <c r="AK46">
        <f t="shared" si="16"/>
        <v>12.72</v>
      </c>
      <c r="AL46">
        <v>11220</v>
      </c>
      <c r="AM46">
        <f t="shared" si="17"/>
        <v>11220</v>
      </c>
      <c r="AN46">
        <v>13260</v>
      </c>
      <c r="AO46">
        <f t="shared" si="18"/>
        <v>19890</v>
      </c>
      <c r="AP46">
        <v>2700</v>
      </c>
      <c r="AQ46">
        <f t="shared" si="19"/>
        <v>3510</v>
      </c>
      <c r="AR46" t="s">
        <v>73</v>
      </c>
      <c r="AS46" t="e">
        <f t="shared" si="20"/>
        <v>#VALUE!</v>
      </c>
      <c r="AT46">
        <v>24</v>
      </c>
      <c r="AU46">
        <f t="shared" si="21"/>
        <v>12.72</v>
      </c>
      <c r="AV46">
        <v>7200</v>
      </c>
      <c r="AW46">
        <f t="shared" si="22"/>
        <v>7200</v>
      </c>
      <c r="AX46">
        <v>12870</v>
      </c>
      <c r="AY46">
        <f t="shared" si="23"/>
        <v>19305</v>
      </c>
      <c r="AZ46">
        <v>6480</v>
      </c>
      <c r="BA46">
        <f t="shared" si="24"/>
        <v>8424</v>
      </c>
    </row>
    <row r="47" spans="1:53" x14ac:dyDescent="0.3">
      <c r="A47" t="s">
        <v>74</v>
      </c>
      <c r="B47" t="s">
        <v>155</v>
      </c>
      <c r="C47" t="s">
        <v>156</v>
      </c>
      <c r="D47" t="s">
        <v>73</v>
      </c>
      <c r="E47" t="e">
        <f t="shared" si="0"/>
        <v>#VALUE!</v>
      </c>
      <c r="F47">
        <v>36</v>
      </c>
      <c r="G47">
        <f t="shared" si="1"/>
        <v>19.080000000000002</v>
      </c>
      <c r="H47">
        <v>6240</v>
      </c>
      <c r="I47">
        <f t="shared" si="2"/>
        <v>6240</v>
      </c>
      <c r="J47">
        <v>6105</v>
      </c>
      <c r="K47">
        <f t="shared" si="3"/>
        <v>9157.5</v>
      </c>
      <c r="L47">
        <v>1230</v>
      </c>
      <c r="M47">
        <f t="shared" si="4"/>
        <v>1599</v>
      </c>
      <c r="N47" t="s">
        <v>73</v>
      </c>
      <c r="O47" t="e">
        <f t="shared" si="5"/>
        <v>#VALUE!</v>
      </c>
      <c r="P47">
        <v>24</v>
      </c>
      <c r="Q47">
        <f t="shared" si="6"/>
        <v>12.72</v>
      </c>
      <c r="R47">
        <v>3840</v>
      </c>
      <c r="S47">
        <f t="shared" si="7"/>
        <v>3840</v>
      </c>
      <c r="T47">
        <v>5920</v>
      </c>
      <c r="U47">
        <f t="shared" si="8"/>
        <v>8880</v>
      </c>
      <c r="V47">
        <v>2700</v>
      </c>
      <c r="W47">
        <f t="shared" ref="W47" si="66">V47*1.3</f>
        <v>3510</v>
      </c>
      <c r="X47" t="s">
        <v>73</v>
      </c>
      <c r="Y47" t="e">
        <f t="shared" si="10"/>
        <v>#VALUE!</v>
      </c>
      <c r="Z47">
        <v>28</v>
      </c>
      <c r="AA47">
        <f t="shared" si="11"/>
        <v>14.84</v>
      </c>
      <c r="AB47">
        <v>3120</v>
      </c>
      <c r="AC47">
        <f t="shared" si="12"/>
        <v>3120</v>
      </c>
      <c r="AD47">
        <v>6930</v>
      </c>
      <c r="AE47">
        <f t="shared" si="13"/>
        <v>10395</v>
      </c>
      <c r="AF47">
        <v>2400</v>
      </c>
      <c r="AG47">
        <f t="shared" si="14"/>
        <v>3120</v>
      </c>
      <c r="AH47" t="s">
        <v>73</v>
      </c>
      <c r="AI47" t="e">
        <f t="shared" si="15"/>
        <v>#VALUE!</v>
      </c>
      <c r="AJ47">
        <v>48</v>
      </c>
      <c r="AK47">
        <f t="shared" si="16"/>
        <v>25.44</v>
      </c>
      <c r="AL47">
        <v>9600</v>
      </c>
      <c r="AM47">
        <f t="shared" si="17"/>
        <v>9600</v>
      </c>
      <c r="AN47">
        <v>6510</v>
      </c>
      <c r="AO47">
        <f t="shared" si="18"/>
        <v>9765</v>
      </c>
      <c r="AP47">
        <v>2700</v>
      </c>
      <c r="AQ47">
        <f t="shared" si="19"/>
        <v>3510</v>
      </c>
      <c r="AR47" t="s">
        <v>73</v>
      </c>
      <c r="AS47" t="e">
        <f t="shared" si="20"/>
        <v>#VALUE!</v>
      </c>
      <c r="AT47">
        <v>99</v>
      </c>
      <c r="AU47">
        <f t="shared" si="21"/>
        <v>52.470000000000006</v>
      </c>
      <c r="AV47">
        <v>5400</v>
      </c>
      <c r="AW47">
        <f t="shared" si="22"/>
        <v>5400</v>
      </c>
      <c r="AX47">
        <v>7740</v>
      </c>
      <c r="AY47">
        <f t="shared" si="23"/>
        <v>11610</v>
      </c>
      <c r="AZ47">
        <v>3960</v>
      </c>
      <c r="BA47">
        <f t="shared" si="24"/>
        <v>5148</v>
      </c>
    </row>
    <row r="48" spans="1:53" x14ac:dyDescent="0.3">
      <c r="A48" t="s">
        <v>74</v>
      </c>
      <c r="B48" t="s">
        <v>157</v>
      </c>
      <c r="C48" t="s">
        <v>158</v>
      </c>
      <c r="D48" t="s">
        <v>73</v>
      </c>
      <c r="E48" t="e">
        <f t="shared" si="0"/>
        <v>#VALUE!</v>
      </c>
      <c r="F48" t="s">
        <v>73</v>
      </c>
      <c r="G48" t="e">
        <f t="shared" si="1"/>
        <v>#VALUE!</v>
      </c>
      <c r="H48">
        <v>3000</v>
      </c>
      <c r="I48">
        <f t="shared" si="2"/>
        <v>3000</v>
      </c>
      <c r="J48">
        <v>3600</v>
      </c>
      <c r="K48">
        <f t="shared" si="3"/>
        <v>5400</v>
      </c>
      <c r="L48">
        <v>360</v>
      </c>
      <c r="M48">
        <f t="shared" si="4"/>
        <v>468</v>
      </c>
      <c r="N48" t="s">
        <v>73</v>
      </c>
      <c r="O48" t="e">
        <f t="shared" si="5"/>
        <v>#VALUE!</v>
      </c>
      <c r="P48" t="s">
        <v>73</v>
      </c>
      <c r="Q48" t="e">
        <f t="shared" si="6"/>
        <v>#VALUE!</v>
      </c>
      <c r="R48">
        <v>1050</v>
      </c>
      <c r="S48">
        <f t="shared" si="7"/>
        <v>1050</v>
      </c>
      <c r="T48">
        <v>2970</v>
      </c>
      <c r="U48">
        <f t="shared" si="8"/>
        <v>4455</v>
      </c>
      <c r="V48">
        <v>720</v>
      </c>
      <c r="W48">
        <f t="shared" ref="W48" si="67">V48*1.3</f>
        <v>936</v>
      </c>
      <c r="X48" t="s">
        <v>73</v>
      </c>
      <c r="Y48" t="e">
        <f t="shared" si="10"/>
        <v>#VALUE!</v>
      </c>
      <c r="Z48" t="s">
        <v>73</v>
      </c>
      <c r="AA48" t="e">
        <f t="shared" si="11"/>
        <v>#VALUE!</v>
      </c>
      <c r="AB48">
        <v>2730</v>
      </c>
      <c r="AC48">
        <f t="shared" si="12"/>
        <v>2730</v>
      </c>
      <c r="AD48">
        <v>3300</v>
      </c>
      <c r="AE48">
        <f t="shared" si="13"/>
        <v>4950</v>
      </c>
      <c r="AF48">
        <v>810</v>
      </c>
      <c r="AG48">
        <f t="shared" si="14"/>
        <v>1053</v>
      </c>
      <c r="AH48" t="s">
        <v>73</v>
      </c>
      <c r="AI48" t="e">
        <f t="shared" si="15"/>
        <v>#VALUE!</v>
      </c>
      <c r="AJ48" t="s">
        <v>73</v>
      </c>
      <c r="AK48" t="e">
        <f t="shared" si="16"/>
        <v>#VALUE!</v>
      </c>
      <c r="AL48">
        <v>3200</v>
      </c>
      <c r="AM48">
        <f t="shared" si="17"/>
        <v>3200</v>
      </c>
      <c r="AN48">
        <v>3300</v>
      </c>
      <c r="AO48">
        <f t="shared" si="18"/>
        <v>4950</v>
      </c>
      <c r="AP48">
        <v>500</v>
      </c>
      <c r="AQ48">
        <f t="shared" si="19"/>
        <v>650</v>
      </c>
      <c r="AR48" t="s">
        <v>73</v>
      </c>
      <c r="AS48" t="e">
        <f t="shared" si="20"/>
        <v>#VALUE!</v>
      </c>
      <c r="AT48">
        <v>4</v>
      </c>
      <c r="AU48">
        <f t="shared" si="21"/>
        <v>2.12</v>
      </c>
      <c r="AV48">
        <v>2880</v>
      </c>
      <c r="AW48">
        <f t="shared" si="22"/>
        <v>2880</v>
      </c>
      <c r="AX48">
        <v>2574</v>
      </c>
      <c r="AY48">
        <f t="shared" si="23"/>
        <v>3861</v>
      </c>
      <c r="AZ48">
        <v>900</v>
      </c>
      <c r="BA48">
        <f t="shared" si="24"/>
        <v>1170</v>
      </c>
    </row>
    <row r="49" spans="1:53" x14ac:dyDescent="0.3">
      <c r="A49" t="s">
        <v>74</v>
      </c>
      <c r="B49" t="s">
        <v>159</v>
      </c>
      <c r="C49" t="s">
        <v>160</v>
      </c>
      <c r="D49" t="s">
        <v>73</v>
      </c>
      <c r="E49" t="e">
        <f t="shared" si="0"/>
        <v>#VALUE!</v>
      </c>
      <c r="F49">
        <v>45</v>
      </c>
      <c r="G49">
        <f t="shared" si="1"/>
        <v>23.85</v>
      </c>
      <c r="H49">
        <v>6750</v>
      </c>
      <c r="I49">
        <f t="shared" si="2"/>
        <v>6750</v>
      </c>
      <c r="J49">
        <v>1800</v>
      </c>
      <c r="K49">
        <f t="shared" si="3"/>
        <v>2700</v>
      </c>
      <c r="L49">
        <v>270</v>
      </c>
      <c r="M49">
        <f t="shared" si="4"/>
        <v>351</v>
      </c>
      <c r="N49" t="s">
        <v>73</v>
      </c>
      <c r="O49" t="e">
        <f t="shared" si="5"/>
        <v>#VALUE!</v>
      </c>
      <c r="P49">
        <v>23</v>
      </c>
      <c r="Q49">
        <f t="shared" si="6"/>
        <v>12.190000000000001</v>
      </c>
      <c r="R49">
        <v>1560</v>
      </c>
      <c r="S49">
        <f t="shared" si="7"/>
        <v>1560</v>
      </c>
      <c r="T49">
        <v>1875</v>
      </c>
      <c r="U49">
        <f t="shared" si="8"/>
        <v>2812.5</v>
      </c>
      <c r="V49">
        <v>810</v>
      </c>
      <c r="W49">
        <f t="shared" ref="W49" si="68">V49*1.3</f>
        <v>1053</v>
      </c>
      <c r="X49" t="s">
        <v>73</v>
      </c>
      <c r="Y49" t="e">
        <f t="shared" si="10"/>
        <v>#VALUE!</v>
      </c>
      <c r="Z49">
        <v>45</v>
      </c>
      <c r="AA49">
        <f t="shared" si="11"/>
        <v>23.85</v>
      </c>
      <c r="AB49">
        <v>5760</v>
      </c>
      <c r="AC49">
        <f t="shared" si="12"/>
        <v>5760</v>
      </c>
      <c r="AD49">
        <v>1440</v>
      </c>
      <c r="AE49">
        <f t="shared" si="13"/>
        <v>2160</v>
      </c>
      <c r="AF49">
        <v>720</v>
      </c>
      <c r="AG49">
        <f t="shared" si="14"/>
        <v>936</v>
      </c>
      <c r="AH49" t="s">
        <v>73</v>
      </c>
      <c r="AI49" t="e">
        <f t="shared" si="15"/>
        <v>#VALUE!</v>
      </c>
      <c r="AJ49">
        <v>45</v>
      </c>
      <c r="AK49">
        <f t="shared" si="16"/>
        <v>23.85</v>
      </c>
      <c r="AL49">
        <v>7200</v>
      </c>
      <c r="AM49">
        <f t="shared" si="17"/>
        <v>7200</v>
      </c>
      <c r="AN49">
        <v>2400</v>
      </c>
      <c r="AO49">
        <f t="shared" si="18"/>
        <v>3600</v>
      </c>
      <c r="AP49">
        <v>396</v>
      </c>
      <c r="AQ49">
        <f t="shared" si="19"/>
        <v>514.80000000000007</v>
      </c>
      <c r="AR49" t="s">
        <v>73</v>
      </c>
      <c r="AS49" t="e">
        <f t="shared" si="20"/>
        <v>#VALUE!</v>
      </c>
      <c r="AT49">
        <v>45</v>
      </c>
      <c r="AU49">
        <f t="shared" si="21"/>
        <v>23.85</v>
      </c>
      <c r="AV49">
        <v>4320</v>
      </c>
      <c r="AW49">
        <f t="shared" si="22"/>
        <v>4320</v>
      </c>
      <c r="AX49">
        <v>1920</v>
      </c>
      <c r="AY49">
        <f t="shared" si="23"/>
        <v>2880</v>
      </c>
      <c r="AZ49">
        <v>870</v>
      </c>
      <c r="BA49">
        <f t="shared" si="24"/>
        <v>1131</v>
      </c>
    </row>
    <row r="50" spans="1:53" x14ac:dyDescent="0.3">
      <c r="A50" t="s">
        <v>74</v>
      </c>
      <c r="B50" t="s">
        <v>161</v>
      </c>
      <c r="C50" t="s">
        <v>162</v>
      </c>
      <c r="D50" t="s">
        <v>73</v>
      </c>
      <c r="E50" t="e">
        <f t="shared" si="0"/>
        <v>#VALUE!</v>
      </c>
      <c r="F50">
        <v>192</v>
      </c>
      <c r="G50">
        <f t="shared" si="1"/>
        <v>101.76</v>
      </c>
      <c r="H50">
        <v>4500</v>
      </c>
      <c r="I50">
        <f t="shared" si="2"/>
        <v>4500</v>
      </c>
      <c r="J50">
        <v>13680</v>
      </c>
      <c r="K50">
        <f t="shared" si="3"/>
        <v>20520</v>
      </c>
      <c r="L50">
        <v>216</v>
      </c>
      <c r="M50">
        <f t="shared" si="4"/>
        <v>280.8</v>
      </c>
      <c r="N50" t="s">
        <v>73</v>
      </c>
      <c r="O50" t="e">
        <f t="shared" si="5"/>
        <v>#VALUE!</v>
      </c>
      <c r="P50">
        <v>245</v>
      </c>
      <c r="Q50">
        <f t="shared" si="6"/>
        <v>129.85</v>
      </c>
      <c r="R50">
        <v>1440</v>
      </c>
      <c r="S50">
        <f t="shared" si="7"/>
        <v>1440</v>
      </c>
      <c r="T50">
        <v>15960</v>
      </c>
      <c r="U50">
        <f t="shared" si="8"/>
        <v>23940</v>
      </c>
      <c r="V50">
        <v>1920</v>
      </c>
      <c r="W50">
        <f t="shared" ref="W50" si="69">V50*1.3</f>
        <v>2496</v>
      </c>
      <c r="X50" t="s">
        <v>73</v>
      </c>
      <c r="Y50" t="e">
        <f t="shared" si="10"/>
        <v>#VALUE!</v>
      </c>
      <c r="Z50">
        <v>902</v>
      </c>
      <c r="AA50">
        <f t="shared" si="11"/>
        <v>478.06</v>
      </c>
      <c r="AB50">
        <v>3180</v>
      </c>
      <c r="AC50">
        <f t="shared" si="12"/>
        <v>3180</v>
      </c>
      <c r="AD50">
        <v>2850</v>
      </c>
      <c r="AE50">
        <f t="shared" si="13"/>
        <v>4275</v>
      </c>
      <c r="AF50">
        <v>4800</v>
      </c>
      <c r="AG50">
        <f t="shared" si="14"/>
        <v>6240</v>
      </c>
      <c r="AH50" t="s">
        <v>73</v>
      </c>
      <c r="AI50" t="e">
        <f t="shared" si="15"/>
        <v>#VALUE!</v>
      </c>
      <c r="AJ50">
        <v>41</v>
      </c>
      <c r="AK50">
        <f t="shared" si="16"/>
        <v>21.73</v>
      </c>
      <c r="AL50">
        <v>5040</v>
      </c>
      <c r="AM50">
        <f t="shared" si="17"/>
        <v>5040</v>
      </c>
      <c r="AN50">
        <v>14820</v>
      </c>
      <c r="AO50">
        <f t="shared" si="18"/>
        <v>22230</v>
      </c>
      <c r="AP50">
        <v>3200</v>
      </c>
      <c r="AQ50">
        <f t="shared" si="19"/>
        <v>4160</v>
      </c>
      <c r="AR50" t="s">
        <v>73</v>
      </c>
      <c r="AS50" t="e">
        <f t="shared" si="20"/>
        <v>#VALUE!</v>
      </c>
      <c r="AT50">
        <v>225</v>
      </c>
      <c r="AU50">
        <f t="shared" si="21"/>
        <v>119.25</v>
      </c>
      <c r="AV50">
        <v>1560</v>
      </c>
      <c r="AW50">
        <f t="shared" si="22"/>
        <v>1560</v>
      </c>
      <c r="AX50">
        <v>12000</v>
      </c>
      <c r="AY50">
        <f t="shared" si="23"/>
        <v>18000</v>
      </c>
      <c r="AZ50">
        <v>1200</v>
      </c>
      <c r="BA50">
        <f t="shared" si="24"/>
        <v>1560</v>
      </c>
    </row>
    <row r="51" spans="1:53" x14ac:dyDescent="0.3">
      <c r="A51" t="s">
        <v>74</v>
      </c>
      <c r="B51" t="s">
        <v>163</v>
      </c>
      <c r="C51" t="s">
        <v>164</v>
      </c>
      <c r="D51" t="s">
        <v>73</v>
      </c>
      <c r="E51" t="e">
        <f t="shared" si="0"/>
        <v>#VALUE!</v>
      </c>
      <c r="F51">
        <v>447</v>
      </c>
      <c r="G51">
        <f t="shared" si="1"/>
        <v>236.91000000000003</v>
      </c>
      <c r="H51">
        <v>45000</v>
      </c>
      <c r="I51">
        <f t="shared" si="2"/>
        <v>45000</v>
      </c>
      <c r="J51">
        <v>8280</v>
      </c>
      <c r="K51">
        <f t="shared" si="3"/>
        <v>12420</v>
      </c>
      <c r="L51">
        <v>810</v>
      </c>
      <c r="M51">
        <f t="shared" si="4"/>
        <v>1053</v>
      </c>
      <c r="N51" t="s">
        <v>73</v>
      </c>
      <c r="O51" t="e">
        <f t="shared" si="5"/>
        <v>#VALUE!</v>
      </c>
      <c r="P51">
        <v>55</v>
      </c>
      <c r="Q51">
        <f t="shared" si="6"/>
        <v>29.150000000000002</v>
      </c>
      <c r="R51">
        <v>10500</v>
      </c>
      <c r="S51">
        <f t="shared" si="7"/>
        <v>10500</v>
      </c>
      <c r="T51">
        <v>7230</v>
      </c>
      <c r="U51">
        <f t="shared" si="8"/>
        <v>10845</v>
      </c>
      <c r="V51">
        <v>2970</v>
      </c>
      <c r="W51">
        <f t="shared" ref="W51" si="70">V51*1.3</f>
        <v>3861</v>
      </c>
      <c r="X51" t="s">
        <v>73</v>
      </c>
      <c r="Y51" t="e">
        <f t="shared" si="10"/>
        <v>#VALUE!</v>
      </c>
      <c r="Z51">
        <v>84</v>
      </c>
      <c r="AA51">
        <f t="shared" si="11"/>
        <v>44.52</v>
      </c>
      <c r="AB51">
        <v>27000</v>
      </c>
      <c r="AC51">
        <f t="shared" si="12"/>
        <v>27000</v>
      </c>
      <c r="AD51">
        <v>7314</v>
      </c>
      <c r="AE51">
        <f t="shared" si="13"/>
        <v>10971</v>
      </c>
      <c r="AF51">
        <v>3600</v>
      </c>
      <c r="AG51">
        <f t="shared" si="14"/>
        <v>4680</v>
      </c>
      <c r="AH51" t="s">
        <v>73</v>
      </c>
      <c r="AI51" t="e">
        <f t="shared" si="15"/>
        <v>#VALUE!</v>
      </c>
      <c r="AJ51">
        <v>48</v>
      </c>
      <c r="AK51">
        <f t="shared" si="16"/>
        <v>25.44</v>
      </c>
      <c r="AL51">
        <v>34920</v>
      </c>
      <c r="AM51">
        <f t="shared" si="17"/>
        <v>34920</v>
      </c>
      <c r="AN51">
        <v>12600</v>
      </c>
      <c r="AO51">
        <f t="shared" si="18"/>
        <v>18900</v>
      </c>
      <c r="AP51">
        <v>2100</v>
      </c>
      <c r="AQ51">
        <f t="shared" si="19"/>
        <v>2730</v>
      </c>
      <c r="AR51" t="s">
        <v>73</v>
      </c>
      <c r="AS51" t="e">
        <f t="shared" si="20"/>
        <v>#VALUE!</v>
      </c>
      <c r="AT51">
        <v>93</v>
      </c>
      <c r="AU51">
        <f t="shared" si="21"/>
        <v>49.29</v>
      </c>
      <c r="AV51">
        <v>16056</v>
      </c>
      <c r="AW51">
        <f t="shared" si="22"/>
        <v>16056</v>
      </c>
      <c r="AX51">
        <v>12930</v>
      </c>
      <c r="AY51">
        <f t="shared" si="23"/>
        <v>19395</v>
      </c>
      <c r="AZ51">
        <v>3780</v>
      </c>
      <c r="BA51">
        <f t="shared" si="24"/>
        <v>4914</v>
      </c>
    </row>
    <row r="52" spans="1:53" x14ac:dyDescent="0.3">
      <c r="A52" t="s">
        <v>74</v>
      </c>
      <c r="B52" t="s">
        <v>165</v>
      </c>
      <c r="C52" t="s">
        <v>166</v>
      </c>
      <c r="D52">
        <v>15</v>
      </c>
      <c r="E52">
        <f t="shared" si="0"/>
        <v>18</v>
      </c>
      <c r="F52">
        <v>456</v>
      </c>
      <c r="G52">
        <f t="shared" si="1"/>
        <v>241.68</v>
      </c>
      <c r="H52">
        <v>15960</v>
      </c>
      <c r="I52">
        <f t="shared" si="2"/>
        <v>15960</v>
      </c>
      <c r="J52">
        <v>8400</v>
      </c>
      <c r="K52">
        <f t="shared" si="3"/>
        <v>12600</v>
      </c>
      <c r="L52">
        <v>5103</v>
      </c>
      <c r="M52">
        <f t="shared" si="4"/>
        <v>6633.9000000000005</v>
      </c>
      <c r="N52">
        <v>9</v>
      </c>
      <c r="O52">
        <f t="shared" si="5"/>
        <v>10.799999999999999</v>
      </c>
      <c r="P52">
        <v>339</v>
      </c>
      <c r="Q52">
        <f t="shared" si="6"/>
        <v>179.67000000000002</v>
      </c>
      <c r="R52">
        <v>6840</v>
      </c>
      <c r="S52">
        <f t="shared" si="7"/>
        <v>6840</v>
      </c>
      <c r="T52">
        <v>7280</v>
      </c>
      <c r="U52">
        <f t="shared" si="8"/>
        <v>10920</v>
      </c>
      <c r="V52">
        <v>3000</v>
      </c>
      <c r="W52">
        <f t="shared" ref="W52" si="71">V52*1.3</f>
        <v>3900</v>
      </c>
      <c r="X52">
        <v>4</v>
      </c>
      <c r="Y52">
        <f t="shared" si="10"/>
        <v>4.8</v>
      </c>
      <c r="Z52">
        <v>247</v>
      </c>
      <c r="AA52">
        <f t="shared" si="11"/>
        <v>130.91</v>
      </c>
      <c r="AB52">
        <v>8820</v>
      </c>
      <c r="AC52">
        <f t="shared" si="12"/>
        <v>8820</v>
      </c>
      <c r="AD52">
        <v>5544</v>
      </c>
      <c r="AE52">
        <f t="shared" si="13"/>
        <v>8316</v>
      </c>
      <c r="AF52">
        <v>3900</v>
      </c>
      <c r="AG52">
        <f t="shared" si="14"/>
        <v>5070</v>
      </c>
      <c r="AH52">
        <v>10</v>
      </c>
      <c r="AI52">
        <f t="shared" si="15"/>
        <v>12</v>
      </c>
      <c r="AJ52">
        <v>530</v>
      </c>
      <c r="AK52">
        <f t="shared" si="16"/>
        <v>280.90000000000003</v>
      </c>
      <c r="AL52">
        <v>16290</v>
      </c>
      <c r="AM52">
        <f t="shared" si="17"/>
        <v>16290</v>
      </c>
      <c r="AN52">
        <v>10230</v>
      </c>
      <c r="AO52">
        <f t="shared" si="18"/>
        <v>15345</v>
      </c>
      <c r="AP52">
        <v>4350</v>
      </c>
      <c r="AQ52">
        <f t="shared" si="19"/>
        <v>5655</v>
      </c>
      <c r="AR52">
        <v>10</v>
      </c>
      <c r="AS52">
        <f t="shared" si="20"/>
        <v>12</v>
      </c>
      <c r="AT52">
        <v>368</v>
      </c>
      <c r="AU52">
        <f t="shared" si="21"/>
        <v>195.04000000000002</v>
      </c>
      <c r="AV52">
        <v>12489</v>
      </c>
      <c r="AW52">
        <f t="shared" si="22"/>
        <v>12489</v>
      </c>
      <c r="AX52">
        <v>13680</v>
      </c>
      <c r="AY52">
        <f t="shared" si="23"/>
        <v>20520</v>
      </c>
      <c r="AZ52">
        <v>2970</v>
      </c>
      <c r="BA52">
        <f t="shared" si="24"/>
        <v>3861</v>
      </c>
    </row>
    <row r="53" spans="1:53" x14ac:dyDescent="0.3">
      <c r="A53" t="s">
        <v>74</v>
      </c>
      <c r="B53" t="s">
        <v>167</v>
      </c>
      <c r="C53" t="s">
        <v>168</v>
      </c>
      <c r="D53" t="s">
        <v>73</v>
      </c>
      <c r="E53" t="e">
        <f t="shared" si="0"/>
        <v>#VALUE!</v>
      </c>
      <c r="F53">
        <v>24</v>
      </c>
      <c r="G53">
        <f t="shared" si="1"/>
        <v>12.72</v>
      </c>
      <c r="H53">
        <v>3650</v>
      </c>
      <c r="I53">
        <f t="shared" si="2"/>
        <v>3650</v>
      </c>
      <c r="J53">
        <v>540</v>
      </c>
      <c r="K53">
        <f t="shared" si="3"/>
        <v>810</v>
      </c>
      <c r="L53">
        <v>300</v>
      </c>
      <c r="M53">
        <f t="shared" si="4"/>
        <v>390</v>
      </c>
      <c r="N53" t="s">
        <v>73</v>
      </c>
      <c r="O53" t="e">
        <f t="shared" si="5"/>
        <v>#VALUE!</v>
      </c>
      <c r="P53">
        <v>7</v>
      </c>
      <c r="Q53">
        <f t="shared" si="6"/>
        <v>3.71</v>
      </c>
      <c r="R53">
        <v>816</v>
      </c>
      <c r="S53">
        <f t="shared" si="7"/>
        <v>816</v>
      </c>
      <c r="T53">
        <v>1350</v>
      </c>
      <c r="U53">
        <f t="shared" si="8"/>
        <v>2025</v>
      </c>
      <c r="V53">
        <v>735</v>
      </c>
      <c r="W53">
        <f t="shared" ref="W53" si="72">V53*1.3</f>
        <v>955.5</v>
      </c>
      <c r="X53" t="s">
        <v>73</v>
      </c>
      <c r="Y53" t="e">
        <f t="shared" si="10"/>
        <v>#VALUE!</v>
      </c>
      <c r="Z53">
        <v>14</v>
      </c>
      <c r="AA53">
        <f t="shared" si="11"/>
        <v>7.42</v>
      </c>
      <c r="AB53">
        <v>3150</v>
      </c>
      <c r="AC53">
        <f t="shared" si="12"/>
        <v>3150</v>
      </c>
      <c r="AD53">
        <v>858</v>
      </c>
      <c r="AE53">
        <f t="shared" si="13"/>
        <v>1287</v>
      </c>
      <c r="AF53">
        <v>429</v>
      </c>
      <c r="AG53">
        <f t="shared" si="14"/>
        <v>557.70000000000005</v>
      </c>
      <c r="AH53" t="s">
        <v>73</v>
      </c>
      <c r="AI53" t="e">
        <f t="shared" si="15"/>
        <v>#VALUE!</v>
      </c>
      <c r="AJ53">
        <v>12</v>
      </c>
      <c r="AK53">
        <f t="shared" si="16"/>
        <v>6.36</v>
      </c>
      <c r="AL53">
        <v>2721</v>
      </c>
      <c r="AM53">
        <f t="shared" si="17"/>
        <v>2721</v>
      </c>
      <c r="AN53">
        <v>1515</v>
      </c>
      <c r="AO53">
        <f t="shared" si="18"/>
        <v>2272.5</v>
      </c>
      <c r="AP53">
        <v>429</v>
      </c>
      <c r="AQ53">
        <f t="shared" si="19"/>
        <v>557.70000000000005</v>
      </c>
      <c r="AR53" t="s">
        <v>73</v>
      </c>
      <c r="AS53" t="e">
        <f t="shared" si="20"/>
        <v>#VALUE!</v>
      </c>
      <c r="AT53">
        <v>5</v>
      </c>
      <c r="AU53">
        <f t="shared" si="21"/>
        <v>2.6500000000000004</v>
      </c>
      <c r="AV53">
        <v>1755</v>
      </c>
      <c r="AW53">
        <f t="shared" si="22"/>
        <v>1755</v>
      </c>
      <c r="AX53">
        <v>1884</v>
      </c>
      <c r="AY53">
        <f t="shared" si="23"/>
        <v>2826</v>
      </c>
      <c r="AZ53">
        <v>828</v>
      </c>
      <c r="BA53">
        <f t="shared" si="24"/>
        <v>1076.4000000000001</v>
      </c>
    </row>
    <row r="54" spans="1:53" x14ac:dyDescent="0.3">
      <c r="A54" t="s">
        <v>74</v>
      </c>
      <c r="B54" t="s">
        <v>169</v>
      </c>
      <c r="C54" t="s">
        <v>170</v>
      </c>
      <c r="D54">
        <v>7</v>
      </c>
      <c r="E54">
        <f t="shared" si="0"/>
        <v>8.4</v>
      </c>
      <c r="F54">
        <v>501</v>
      </c>
      <c r="G54">
        <f t="shared" si="1"/>
        <v>265.53000000000003</v>
      </c>
      <c r="H54">
        <v>25500</v>
      </c>
      <c r="I54">
        <f t="shared" si="2"/>
        <v>25500</v>
      </c>
      <c r="J54">
        <v>20100</v>
      </c>
      <c r="K54">
        <f t="shared" si="3"/>
        <v>30150</v>
      </c>
      <c r="L54">
        <v>2420</v>
      </c>
      <c r="M54">
        <f t="shared" si="4"/>
        <v>3146</v>
      </c>
      <c r="N54" t="s">
        <v>73</v>
      </c>
      <c r="O54" t="e">
        <f t="shared" si="5"/>
        <v>#VALUE!</v>
      </c>
      <c r="P54">
        <v>171</v>
      </c>
      <c r="Q54">
        <f t="shared" si="6"/>
        <v>90.63000000000001</v>
      </c>
      <c r="R54">
        <v>18000</v>
      </c>
      <c r="S54">
        <f t="shared" si="7"/>
        <v>18000</v>
      </c>
      <c r="T54">
        <v>14835</v>
      </c>
      <c r="U54">
        <f t="shared" si="8"/>
        <v>22252.5</v>
      </c>
      <c r="V54">
        <v>2583</v>
      </c>
      <c r="W54">
        <f t="shared" ref="W54" si="73">V54*1.3</f>
        <v>3357.9</v>
      </c>
      <c r="X54" t="s">
        <v>73</v>
      </c>
      <c r="Y54" t="e">
        <f t="shared" si="10"/>
        <v>#VALUE!</v>
      </c>
      <c r="Z54">
        <v>1140</v>
      </c>
      <c r="AA54">
        <f t="shared" si="11"/>
        <v>604.20000000000005</v>
      </c>
      <c r="AB54">
        <v>18000</v>
      </c>
      <c r="AC54">
        <f t="shared" si="12"/>
        <v>18000</v>
      </c>
      <c r="AD54">
        <v>10980</v>
      </c>
      <c r="AE54">
        <f t="shared" si="13"/>
        <v>16470</v>
      </c>
      <c r="AF54">
        <v>4050</v>
      </c>
      <c r="AG54">
        <f t="shared" si="14"/>
        <v>5265</v>
      </c>
      <c r="AH54" t="s">
        <v>73</v>
      </c>
      <c r="AI54" t="e">
        <f t="shared" si="15"/>
        <v>#VALUE!</v>
      </c>
      <c r="AJ54">
        <v>2400</v>
      </c>
      <c r="AK54">
        <f t="shared" si="16"/>
        <v>1272</v>
      </c>
      <c r="AL54">
        <v>33600</v>
      </c>
      <c r="AM54">
        <f t="shared" si="17"/>
        <v>33600</v>
      </c>
      <c r="AN54">
        <v>24000</v>
      </c>
      <c r="AO54">
        <f t="shared" si="18"/>
        <v>36000</v>
      </c>
      <c r="AP54">
        <v>3600</v>
      </c>
      <c r="AQ54">
        <f t="shared" si="19"/>
        <v>4680</v>
      </c>
      <c r="AR54" t="s">
        <v>73</v>
      </c>
      <c r="AS54" t="e">
        <f t="shared" si="20"/>
        <v>#VALUE!</v>
      </c>
      <c r="AT54">
        <v>750</v>
      </c>
      <c r="AU54">
        <f t="shared" si="21"/>
        <v>397.5</v>
      </c>
      <c r="AV54">
        <v>30240</v>
      </c>
      <c r="AW54">
        <f t="shared" si="22"/>
        <v>30240</v>
      </c>
      <c r="AX54">
        <v>21900</v>
      </c>
      <c r="AY54">
        <f t="shared" si="23"/>
        <v>32850</v>
      </c>
      <c r="AZ54">
        <v>6480</v>
      </c>
      <c r="BA54">
        <f t="shared" si="24"/>
        <v>8424</v>
      </c>
    </row>
    <row r="55" spans="1:53" x14ac:dyDescent="0.3">
      <c r="A55" t="s">
        <v>74</v>
      </c>
      <c r="B55" t="s">
        <v>171</v>
      </c>
      <c r="C55" t="s">
        <v>172</v>
      </c>
      <c r="D55" t="s">
        <v>73</v>
      </c>
      <c r="E55" t="e">
        <f t="shared" si="0"/>
        <v>#VALUE!</v>
      </c>
      <c r="F55">
        <v>8</v>
      </c>
      <c r="G55">
        <f t="shared" si="1"/>
        <v>4.24</v>
      </c>
      <c r="H55">
        <v>4800</v>
      </c>
      <c r="I55">
        <f t="shared" si="2"/>
        <v>4800</v>
      </c>
      <c r="J55">
        <v>2940</v>
      </c>
      <c r="K55">
        <f t="shared" si="3"/>
        <v>4410</v>
      </c>
      <c r="L55">
        <v>229</v>
      </c>
      <c r="M55">
        <f t="shared" si="4"/>
        <v>297.7</v>
      </c>
      <c r="N55" t="s">
        <v>73</v>
      </c>
      <c r="O55" t="e">
        <f t="shared" si="5"/>
        <v>#VALUE!</v>
      </c>
      <c r="P55">
        <v>35</v>
      </c>
      <c r="Q55">
        <f t="shared" si="6"/>
        <v>18.55</v>
      </c>
      <c r="R55">
        <v>3750</v>
      </c>
      <c r="S55">
        <f t="shared" si="7"/>
        <v>3750</v>
      </c>
      <c r="T55">
        <v>3036</v>
      </c>
      <c r="U55">
        <f t="shared" si="8"/>
        <v>4554</v>
      </c>
      <c r="V55">
        <v>200</v>
      </c>
      <c r="W55">
        <f t="shared" ref="W55" si="74">V55*1.3</f>
        <v>260</v>
      </c>
      <c r="X55" t="s">
        <v>73</v>
      </c>
      <c r="Y55" t="e">
        <f t="shared" si="10"/>
        <v>#VALUE!</v>
      </c>
      <c r="Z55">
        <v>51</v>
      </c>
      <c r="AA55">
        <f t="shared" si="11"/>
        <v>27.03</v>
      </c>
      <c r="AB55">
        <v>1890</v>
      </c>
      <c r="AC55">
        <f t="shared" si="12"/>
        <v>1890</v>
      </c>
      <c r="AD55">
        <v>1650</v>
      </c>
      <c r="AE55">
        <f t="shared" si="13"/>
        <v>2475</v>
      </c>
      <c r="AF55">
        <v>1800</v>
      </c>
      <c r="AG55">
        <f t="shared" si="14"/>
        <v>2340</v>
      </c>
      <c r="AH55" t="s">
        <v>73</v>
      </c>
      <c r="AI55" t="e">
        <f t="shared" si="15"/>
        <v>#VALUE!</v>
      </c>
      <c r="AJ55">
        <v>25</v>
      </c>
      <c r="AK55">
        <f t="shared" si="16"/>
        <v>13.25</v>
      </c>
      <c r="AL55">
        <v>4050</v>
      </c>
      <c r="AM55">
        <f t="shared" si="17"/>
        <v>4050</v>
      </c>
      <c r="AN55">
        <v>4680</v>
      </c>
      <c r="AO55">
        <f t="shared" si="18"/>
        <v>7020</v>
      </c>
      <c r="AP55">
        <v>1650</v>
      </c>
      <c r="AQ55">
        <f t="shared" si="19"/>
        <v>2145</v>
      </c>
      <c r="AR55" t="s">
        <v>73</v>
      </c>
      <c r="AS55" t="e">
        <f t="shared" si="20"/>
        <v>#VALUE!</v>
      </c>
      <c r="AT55">
        <v>15</v>
      </c>
      <c r="AU55">
        <f t="shared" si="21"/>
        <v>7.95</v>
      </c>
      <c r="AV55">
        <v>2160</v>
      </c>
      <c r="AW55">
        <f t="shared" si="22"/>
        <v>2160</v>
      </c>
      <c r="AX55">
        <v>5850</v>
      </c>
      <c r="AY55">
        <f t="shared" si="23"/>
        <v>8775</v>
      </c>
      <c r="AZ55">
        <v>1800</v>
      </c>
      <c r="BA55">
        <f t="shared" si="24"/>
        <v>2340</v>
      </c>
    </row>
    <row r="56" spans="1:53" x14ac:dyDescent="0.3">
      <c r="A56" t="s">
        <v>74</v>
      </c>
      <c r="B56" t="s">
        <v>173</v>
      </c>
      <c r="C56" t="s">
        <v>174</v>
      </c>
      <c r="D56" t="s">
        <v>73</v>
      </c>
      <c r="E56" t="e">
        <f t="shared" si="0"/>
        <v>#VALUE!</v>
      </c>
      <c r="F56">
        <v>33</v>
      </c>
      <c r="G56">
        <f t="shared" si="1"/>
        <v>17.490000000000002</v>
      </c>
      <c r="H56">
        <v>1200</v>
      </c>
      <c r="I56">
        <f t="shared" si="2"/>
        <v>1200</v>
      </c>
      <c r="J56">
        <v>825</v>
      </c>
      <c r="K56">
        <f t="shared" si="3"/>
        <v>1237.5</v>
      </c>
      <c r="L56" t="s">
        <v>73</v>
      </c>
      <c r="M56" t="e">
        <f t="shared" si="4"/>
        <v>#VALUE!</v>
      </c>
      <c r="N56" t="s">
        <v>73</v>
      </c>
      <c r="O56" t="e">
        <f t="shared" si="5"/>
        <v>#VALUE!</v>
      </c>
      <c r="P56">
        <v>35</v>
      </c>
      <c r="Q56">
        <f t="shared" si="6"/>
        <v>18.55</v>
      </c>
      <c r="R56">
        <v>1020</v>
      </c>
      <c r="S56">
        <f t="shared" si="7"/>
        <v>1020</v>
      </c>
      <c r="T56">
        <v>750</v>
      </c>
      <c r="U56">
        <f t="shared" si="8"/>
        <v>1125</v>
      </c>
      <c r="V56">
        <v>48</v>
      </c>
      <c r="W56">
        <f t="shared" ref="W56" si="75">V56*1.3</f>
        <v>62.400000000000006</v>
      </c>
      <c r="X56" t="s">
        <v>73</v>
      </c>
      <c r="Y56" t="e">
        <f t="shared" si="10"/>
        <v>#VALUE!</v>
      </c>
      <c r="Z56">
        <v>33</v>
      </c>
      <c r="AA56">
        <f t="shared" si="11"/>
        <v>17.490000000000002</v>
      </c>
      <c r="AB56">
        <v>720</v>
      </c>
      <c r="AC56">
        <f t="shared" si="12"/>
        <v>720</v>
      </c>
      <c r="AD56">
        <v>960</v>
      </c>
      <c r="AE56">
        <f t="shared" si="13"/>
        <v>1440</v>
      </c>
      <c r="AF56">
        <v>510</v>
      </c>
      <c r="AG56">
        <f t="shared" si="14"/>
        <v>663</v>
      </c>
      <c r="AH56" t="s">
        <v>73</v>
      </c>
      <c r="AI56" t="e">
        <f t="shared" si="15"/>
        <v>#VALUE!</v>
      </c>
      <c r="AJ56">
        <v>27</v>
      </c>
      <c r="AK56">
        <f t="shared" si="16"/>
        <v>14.31</v>
      </c>
      <c r="AL56">
        <v>990</v>
      </c>
      <c r="AM56">
        <f t="shared" si="17"/>
        <v>990</v>
      </c>
      <c r="AN56">
        <v>1371</v>
      </c>
      <c r="AO56">
        <f t="shared" si="18"/>
        <v>2056.5</v>
      </c>
      <c r="AP56">
        <v>52</v>
      </c>
      <c r="AQ56">
        <f t="shared" si="19"/>
        <v>67.600000000000009</v>
      </c>
      <c r="AR56" t="s">
        <v>73</v>
      </c>
      <c r="AS56" t="e">
        <f t="shared" si="20"/>
        <v>#VALUE!</v>
      </c>
      <c r="AT56">
        <v>21</v>
      </c>
      <c r="AU56">
        <f t="shared" si="21"/>
        <v>11.13</v>
      </c>
      <c r="AV56">
        <v>336</v>
      </c>
      <c r="AW56">
        <f t="shared" si="22"/>
        <v>336</v>
      </c>
      <c r="AX56">
        <v>1173</v>
      </c>
      <c r="AY56">
        <f t="shared" si="23"/>
        <v>1759.5</v>
      </c>
      <c r="AZ56">
        <v>83</v>
      </c>
      <c r="BA56">
        <f t="shared" si="24"/>
        <v>107.9</v>
      </c>
    </row>
    <row r="57" spans="1:53" x14ac:dyDescent="0.3">
      <c r="A57" t="s">
        <v>74</v>
      </c>
      <c r="B57" t="s">
        <v>175</v>
      </c>
      <c r="C57" t="s">
        <v>176</v>
      </c>
      <c r="D57">
        <v>6</v>
      </c>
      <c r="E57">
        <f t="shared" si="0"/>
        <v>7.1999999999999993</v>
      </c>
      <c r="F57">
        <v>189</v>
      </c>
      <c r="G57">
        <f t="shared" si="1"/>
        <v>100.17</v>
      </c>
      <c r="H57">
        <v>1350</v>
      </c>
      <c r="I57">
        <f t="shared" si="2"/>
        <v>1350</v>
      </c>
      <c r="J57">
        <v>3300</v>
      </c>
      <c r="K57">
        <f t="shared" si="3"/>
        <v>4950</v>
      </c>
      <c r="L57">
        <v>360</v>
      </c>
      <c r="M57">
        <f t="shared" si="4"/>
        <v>468</v>
      </c>
      <c r="N57" t="s">
        <v>73</v>
      </c>
      <c r="O57" t="e">
        <f t="shared" si="5"/>
        <v>#VALUE!</v>
      </c>
      <c r="P57">
        <v>900</v>
      </c>
      <c r="Q57">
        <f t="shared" si="6"/>
        <v>477</v>
      </c>
      <c r="R57">
        <v>840</v>
      </c>
      <c r="S57">
        <f t="shared" si="7"/>
        <v>840</v>
      </c>
      <c r="T57">
        <v>2980</v>
      </c>
      <c r="U57">
        <f t="shared" si="8"/>
        <v>4470</v>
      </c>
      <c r="V57">
        <v>180</v>
      </c>
      <c r="W57">
        <f t="shared" ref="W57" si="76">V57*1.3</f>
        <v>234</v>
      </c>
      <c r="X57" t="s">
        <v>73</v>
      </c>
      <c r="Y57" t="e">
        <f t="shared" si="10"/>
        <v>#VALUE!</v>
      </c>
      <c r="Z57">
        <v>270</v>
      </c>
      <c r="AA57">
        <f t="shared" si="11"/>
        <v>143.1</v>
      </c>
      <c r="AB57">
        <v>2160</v>
      </c>
      <c r="AC57">
        <f t="shared" si="12"/>
        <v>2160</v>
      </c>
      <c r="AD57">
        <v>930</v>
      </c>
      <c r="AE57">
        <f t="shared" si="13"/>
        <v>1395</v>
      </c>
      <c r="AF57">
        <v>315</v>
      </c>
      <c r="AG57">
        <f t="shared" si="14"/>
        <v>409.5</v>
      </c>
      <c r="AH57" t="s">
        <v>73</v>
      </c>
      <c r="AI57" t="e">
        <f t="shared" si="15"/>
        <v>#VALUE!</v>
      </c>
      <c r="AJ57">
        <v>45</v>
      </c>
      <c r="AK57">
        <f t="shared" si="16"/>
        <v>23.85</v>
      </c>
      <c r="AL57">
        <v>5100</v>
      </c>
      <c r="AM57">
        <f t="shared" si="17"/>
        <v>5100</v>
      </c>
      <c r="AN57">
        <v>3825</v>
      </c>
      <c r="AO57">
        <f t="shared" si="18"/>
        <v>5737.5</v>
      </c>
      <c r="AP57">
        <v>396</v>
      </c>
      <c r="AQ57">
        <f t="shared" si="19"/>
        <v>514.80000000000007</v>
      </c>
      <c r="AR57" t="s">
        <v>73</v>
      </c>
      <c r="AS57" t="e">
        <f t="shared" si="20"/>
        <v>#VALUE!</v>
      </c>
      <c r="AT57">
        <v>180</v>
      </c>
      <c r="AU57">
        <f t="shared" si="21"/>
        <v>95.4</v>
      </c>
      <c r="AV57">
        <v>2400</v>
      </c>
      <c r="AW57">
        <f t="shared" si="22"/>
        <v>2400</v>
      </c>
      <c r="AX57">
        <v>4380</v>
      </c>
      <c r="AY57">
        <f t="shared" si="23"/>
        <v>6570</v>
      </c>
      <c r="AZ57">
        <v>1260</v>
      </c>
      <c r="BA57">
        <f t="shared" si="24"/>
        <v>1638</v>
      </c>
    </row>
    <row r="58" spans="1:53" x14ac:dyDescent="0.3">
      <c r="A58" t="s">
        <v>74</v>
      </c>
      <c r="B58" t="s">
        <v>177</v>
      </c>
      <c r="C58" t="s">
        <v>178</v>
      </c>
      <c r="D58">
        <v>4</v>
      </c>
      <c r="E58">
        <f t="shared" si="0"/>
        <v>4.8</v>
      </c>
      <c r="F58">
        <v>103</v>
      </c>
      <c r="G58">
        <f t="shared" si="1"/>
        <v>54.59</v>
      </c>
      <c r="H58">
        <v>2700</v>
      </c>
      <c r="I58">
        <f t="shared" si="2"/>
        <v>2700</v>
      </c>
      <c r="J58">
        <v>5460</v>
      </c>
      <c r="K58">
        <f t="shared" si="3"/>
        <v>8190</v>
      </c>
      <c r="L58">
        <v>40</v>
      </c>
      <c r="M58">
        <f t="shared" si="4"/>
        <v>52</v>
      </c>
      <c r="N58" t="s">
        <v>73</v>
      </c>
      <c r="O58" t="e">
        <f t="shared" si="5"/>
        <v>#VALUE!</v>
      </c>
      <c r="P58">
        <v>36</v>
      </c>
      <c r="Q58">
        <f t="shared" si="6"/>
        <v>19.080000000000002</v>
      </c>
      <c r="R58">
        <v>3000</v>
      </c>
      <c r="S58">
        <f t="shared" si="7"/>
        <v>3000</v>
      </c>
      <c r="T58">
        <v>4620</v>
      </c>
      <c r="U58">
        <f t="shared" si="8"/>
        <v>6930</v>
      </c>
      <c r="V58">
        <v>48</v>
      </c>
      <c r="W58">
        <f t="shared" ref="W58" si="77">V58*1.3</f>
        <v>62.400000000000006</v>
      </c>
      <c r="X58" t="s">
        <v>73</v>
      </c>
      <c r="Y58" t="e">
        <f t="shared" si="10"/>
        <v>#VALUE!</v>
      </c>
      <c r="Z58">
        <v>27</v>
      </c>
      <c r="AA58">
        <f t="shared" si="11"/>
        <v>14.31</v>
      </c>
      <c r="AB58">
        <v>2100</v>
      </c>
      <c r="AC58">
        <f t="shared" si="12"/>
        <v>2100</v>
      </c>
      <c r="AD58">
        <v>1400</v>
      </c>
      <c r="AE58">
        <f t="shared" si="13"/>
        <v>2100</v>
      </c>
      <c r="AF58">
        <v>480</v>
      </c>
      <c r="AG58">
        <f t="shared" si="14"/>
        <v>624</v>
      </c>
      <c r="AH58" t="s">
        <v>73</v>
      </c>
      <c r="AI58" t="e">
        <f t="shared" si="15"/>
        <v>#VALUE!</v>
      </c>
      <c r="AJ58">
        <v>55</v>
      </c>
      <c r="AK58">
        <f t="shared" si="16"/>
        <v>29.150000000000002</v>
      </c>
      <c r="AL58">
        <v>2940</v>
      </c>
      <c r="AM58">
        <f t="shared" si="17"/>
        <v>2940</v>
      </c>
      <c r="AN58">
        <v>7020</v>
      </c>
      <c r="AO58">
        <f t="shared" si="18"/>
        <v>10530</v>
      </c>
      <c r="AP58">
        <v>180</v>
      </c>
      <c r="AQ58">
        <f t="shared" si="19"/>
        <v>234</v>
      </c>
      <c r="AR58" t="s">
        <v>73</v>
      </c>
      <c r="AS58" t="e">
        <f t="shared" si="20"/>
        <v>#VALUE!</v>
      </c>
      <c r="AT58">
        <v>108</v>
      </c>
      <c r="AU58">
        <f t="shared" si="21"/>
        <v>57.24</v>
      </c>
      <c r="AV58">
        <v>720</v>
      </c>
      <c r="AW58">
        <f t="shared" si="22"/>
        <v>720</v>
      </c>
      <c r="AX58">
        <v>7686</v>
      </c>
      <c r="AY58">
        <f t="shared" si="23"/>
        <v>11529</v>
      </c>
      <c r="AZ58">
        <v>450</v>
      </c>
      <c r="BA58">
        <f t="shared" si="24"/>
        <v>585</v>
      </c>
    </row>
    <row r="59" spans="1:53" x14ac:dyDescent="0.3">
      <c r="A59" t="s">
        <v>74</v>
      </c>
      <c r="B59" t="s">
        <v>179</v>
      </c>
      <c r="C59" t="s">
        <v>180</v>
      </c>
      <c r="D59" t="s">
        <v>73</v>
      </c>
      <c r="E59" t="e">
        <f t="shared" si="0"/>
        <v>#VALUE!</v>
      </c>
      <c r="F59">
        <v>83</v>
      </c>
      <c r="G59">
        <f t="shared" si="1"/>
        <v>43.99</v>
      </c>
      <c r="H59">
        <v>18900</v>
      </c>
      <c r="I59">
        <f t="shared" si="2"/>
        <v>18900</v>
      </c>
      <c r="J59">
        <v>2634</v>
      </c>
      <c r="K59">
        <f t="shared" si="3"/>
        <v>3951</v>
      </c>
      <c r="L59">
        <v>216</v>
      </c>
      <c r="M59">
        <f t="shared" si="4"/>
        <v>280.8</v>
      </c>
      <c r="N59" t="s">
        <v>73</v>
      </c>
      <c r="O59" t="e">
        <f t="shared" si="5"/>
        <v>#VALUE!</v>
      </c>
      <c r="P59">
        <v>50</v>
      </c>
      <c r="Q59">
        <f t="shared" si="6"/>
        <v>26.5</v>
      </c>
      <c r="R59">
        <v>6720</v>
      </c>
      <c r="S59">
        <f t="shared" si="7"/>
        <v>6720</v>
      </c>
      <c r="T59">
        <v>2018</v>
      </c>
      <c r="U59">
        <f t="shared" si="8"/>
        <v>3027</v>
      </c>
      <c r="V59">
        <v>720</v>
      </c>
      <c r="W59">
        <f t="shared" ref="W59" si="78">V59*1.3</f>
        <v>936</v>
      </c>
      <c r="X59" t="s">
        <v>73</v>
      </c>
      <c r="Y59" t="e">
        <f t="shared" si="10"/>
        <v>#VALUE!</v>
      </c>
      <c r="Z59">
        <v>27</v>
      </c>
      <c r="AA59">
        <f t="shared" si="11"/>
        <v>14.31</v>
      </c>
      <c r="AB59">
        <v>6480</v>
      </c>
      <c r="AC59">
        <f t="shared" si="12"/>
        <v>6480</v>
      </c>
      <c r="AD59">
        <v>2163</v>
      </c>
      <c r="AE59">
        <f t="shared" si="13"/>
        <v>3244.5</v>
      </c>
      <c r="AF59">
        <v>972</v>
      </c>
      <c r="AG59">
        <f t="shared" si="14"/>
        <v>1263.6000000000001</v>
      </c>
      <c r="AH59" t="s">
        <v>73</v>
      </c>
      <c r="AI59" t="e">
        <f t="shared" si="15"/>
        <v>#VALUE!</v>
      </c>
      <c r="AJ59">
        <v>36</v>
      </c>
      <c r="AK59">
        <f t="shared" si="16"/>
        <v>19.080000000000002</v>
      </c>
      <c r="AL59">
        <v>5472</v>
      </c>
      <c r="AM59">
        <f t="shared" si="17"/>
        <v>5472</v>
      </c>
      <c r="AN59">
        <v>2700</v>
      </c>
      <c r="AO59">
        <f t="shared" si="18"/>
        <v>4050</v>
      </c>
      <c r="AP59">
        <v>360</v>
      </c>
      <c r="AQ59">
        <f t="shared" si="19"/>
        <v>468</v>
      </c>
      <c r="AR59" t="s">
        <v>73</v>
      </c>
      <c r="AS59" t="e">
        <f t="shared" si="20"/>
        <v>#VALUE!</v>
      </c>
      <c r="AT59">
        <v>24</v>
      </c>
      <c r="AU59">
        <f t="shared" si="21"/>
        <v>12.72</v>
      </c>
      <c r="AV59">
        <v>4320</v>
      </c>
      <c r="AW59">
        <f t="shared" si="22"/>
        <v>4320</v>
      </c>
      <c r="AX59">
        <v>3600</v>
      </c>
      <c r="AY59">
        <f t="shared" si="23"/>
        <v>5400</v>
      </c>
      <c r="AZ59">
        <v>540</v>
      </c>
      <c r="BA59">
        <f t="shared" si="24"/>
        <v>702</v>
      </c>
    </row>
    <row r="60" spans="1:53" x14ac:dyDescent="0.3">
      <c r="A60" t="s">
        <v>74</v>
      </c>
      <c r="B60" t="s">
        <v>181</v>
      </c>
      <c r="C60" t="s">
        <v>182</v>
      </c>
      <c r="D60" t="s">
        <v>73</v>
      </c>
      <c r="E60" t="e">
        <f t="shared" si="0"/>
        <v>#VALUE!</v>
      </c>
      <c r="F60">
        <v>624</v>
      </c>
      <c r="G60">
        <f t="shared" si="1"/>
        <v>330.72</v>
      </c>
      <c r="H60">
        <v>24300</v>
      </c>
      <c r="I60">
        <f t="shared" si="2"/>
        <v>24300</v>
      </c>
      <c r="J60">
        <v>15120</v>
      </c>
      <c r="K60">
        <f t="shared" si="3"/>
        <v>22680</v>
      </c>
      <c r="L60">
        <v>800</v>
      </c>
      <c r="M60">
        <f t="shared" si="4"/>
        <v>1040</v>
      </c>
      <c r="N60" t="s">
        <v>73</v>
      </c>
      <c r="O60" t="e">
        <f t="shared" si="5"/>
        <v>#VALUE!</v>
      </c>
      <c r="P60">
        <v>126</v>
      </c>
      <c r="Q60">
        <f t="shared" si="6"/>
        <v>66.78</v>
      </c>
      <c r="R60">
        <v>12558</v>
      </c>
      <c r="S60">
        <f t="shared" si="7"/>
        <v>12558</v>
      </c>
      <c r="T60">
        <v>10800</v>
      </c>
      <c r="U60">
        <f t="shared" si="8"/>
        <v>16200</v>
      </c>
      <c r="V60">
        <v>1920</v>
      </c>
      <c r="W60">
        <f t="shared" ref="W60" si="79">V60*1.3</f>
        <v>2496</v>
      </c>
      <c r="X60" t="s">
        <v>73</v>
      </c>
      <c r="Y60" t="e">
        <f t="shared" si="10"/>
        <v>#VALUE!</v>
      </c>
      <c r="Z60">
        <v>630</v>
      </c>
      <c r="AA60">
        <f t="shared" si="11"/>
        <v>333.90000000000003</v>
      </c>
      <c r="AB60">
        <v>11040</v>
      </c>
      <c r="AC60">
        <f t="shared" si="12"/>
        <v>11040</v>
      </c>
      <c r="AD60">
        <v>4800</v>
      </c>
      <c r="AE60">
        <f t="shared" si="13"/>
        <v>7200</v>
      </c>
      <c r="AF60">
        <v>4950</v>
      </c>
      <c r="AG60">
        <f t="shared" si="14"/>
        <v>6435</v>
      </c>
      <c r="AH60" t="s">
        <v>73</v>
      </c>
      <c r="AI60" t="e">
        <f t="shared" si="15"/>
        <v>#VALUE!</v>
      </c>
      <c r="AJ60">
        <v>888</v>
      </c>
      <c r="AK60">
        <f t="shared" si="16"/>
        <v>470.64000000000004</v>
      </c>
      <c r="AL60">
        <v>18675</v>
      </c>
      <c r="AM60">
        <f t="shared" si="17"/>
        <v>18675</v>
      </c>
      <c r="AN60">
        <v>17280</v>
      </c>
      <c r="AO60">
        <f t="shared" si="18"/>
        <v>25920</v>
      </c>
      <c r="AP60">
        <v>3360</v>
      </c>
      <c r="AQ60">
        <f t="shared" si="19"/>
        <v>4368</v>
      </c>
      <c r="AR60" t="s">
        <v>73</v>
      </c>
      <c r="AS60" t="e">
        <f t="shared" si="20"/>
        <v>#VALUE!</v>
      </c>
      <c r="AT60">
        <v>1728</v>
      </c>
      <c r="AU60">
        <f t="shared" si="21"/>
        <v>915.84</v>
      </c>
      <c r="AV60">
        <v>9675</v>
      </c>
      <c r="AW60">
        <f t="shared" si="22"/>
        <v>9675</v>
      </c>
      <c r="AX60">
        <v>18300</v>
      </c>
      <c r="AY60">
        <f t="shared" si="23"/>
        <v>27450</v>
      </c>
      <c r="AZ60">
        <v>4500</v>
      </c>
      <c r="BA60">
        <f t="shared" si="24"/>
        <v>5850</v>
      </c>
    </row>
    <row r="61" spans="1:53" x14ac:dyDescent="0.3">
      <c r="A61" t="s">
        <v>74</v>
      </c>
      <c r="B61" t="s">
        <v>183</v>
      </c>
      <c r="C61" t="s">
        <v>184</v>
      </c>
      <c r="D61" t="s">
        <v>73</v>
      </c>
      <c r="E61" t="e">
        <f t="shared" si="0"/>
        <v>#VALUE!</v>
      </c>
      <c r="F61">
        <v>60</v>
      </c>
      <c r="G61">
        <f t="shared" si="1"/>
        <v>31.8</v>
      </c>
      <c r="H61">
        <v>3150</v>
      </c>
      <c r="I61">
        <f t="shared" si="2"/>
        <v>3150</v>
      </c>
      <c r="J61">
        <v>1485</v>
      </c>
      <c r="K61">
        <f t="shared" si="3"/>
        <v>2227.5</v>
      </c>
      <c r="L61" t="s">
        <v>73</v>
      </c>
      <c r="M61" t="e">
        <f t="shared" si="4"/>
        <v>#VALUE!</v>
      </c>
      <c r="N61" t="s">
        <v>73</v>
      </c>
      <c r="O61" t="e">
        <f t="shared" si="5"/>
        <v>#VALUE!</v>
      </c>
      <c r="P61">
        <v>6</v>
      </c>
      <c r="Q61">
        <f t="shared" si="6"/>
        <v>3.18</v>
      </c>
      <c r="R61">
        <v>1701</v>
      </c>
      <c r="S61">
        <f t="shared" si="7"/>
        <v>1701</v>
      </c>
      <c r="T61">
        <v>858</v>
      </c>
      <c r="U61">
        <f t="shared" si="8"/>
        <v>1287</v>
      </c>
      <c r="V61">
        <v>528</v>
      </c>
      <c r="W61">
        <f t="shared" ref="W61" si="80">V61*1.3</f>
        <v>686.4</v>
      </c>
      <c r="X61" t="s">
        <v>73</v>
      </c>
      <c r="Y61" t="e">
        <f t="shared" si="10"/>
        <v>#VALUE!</v>
      </c>
      <c r="Z61">
        <v>55</v>
      </c>
      <c r="AA61">
        <f t="shared" si="11"/>
        <v>29.150000000000002</v>
      </c>
      <c r="AB61">
        <v>1080</v>
      </c>
      <c r="AC61">
        <f t="shared" si="12"/>
        <v>1080</v>
      </c>
      <c r="AD61">
        <v>375</v>
      </c>
      <c r="AE61">
        <f t="shared" si="13"/>
        <v>562.5</v>
      </c>
      <c r="AF61" t="s">
        <v>73</v>
      </c>
      <c r="AG61" t="e">
        <f t="shared" si="14"/>
        <v>#VALUE!</v>
      </c>
      <c r="AH61" t="s">
        <v>73</v>
      </c>
      <c r="AI61" t="e">
        <f t="shared" si="15"/>
        <v>#VALUE!</v>
      </c>
      <c r="AJ61">
        <v>9</v>
      </c>
      <c r="AK61">
        <f t="shared" si="16"/>
        <v>4.7700000000000005</v>
      </c>
      <c r="AL61">
        <v>2736</v>
      </c>
      <c r="AM61">
        <f t="shared" si="17"/>
        <v>2736</v>
      </c>
      <c r="AN61">
        <v>1536</v>
      </c>
      <c r="AO61">
        <f t="shared" si="18"/>
        <v>2304</v>
      </c>
      <c r="AP61">
        <v>600</v>
      </c>
      <c r="AQ61">
        <f t="shared" si="19"/>
        <v>780</v>
      </c>
      <c r="AR61" t="s">
        <v>73</v>
      </c>
      <c r="AS61" t="e">
        <f t="shared" si="20"/>
        <v>#VALUE!</v>
      </c>
      <c r="AT61">
        <v>11</v>
      </c>
      <c r="AU61">
        <f t="shared" si="21"/>
        <v>5.83</v>
      </c>
      <c r="AV61">
        <v>1824</v>
      </c>
      <c r="AW61">
        <f t="shared" si="22"/>
        <v>1824</v>
      </c>
      <c r="AX61">
        <v>1845</v>
      </c>
      <c r="AY61">
        <f t="shared" si="23"/>
        <v>2767.5</v>
      </c>
      <c r="AZ61">
        <v>1044</v>
      </c>
      <c r="BA61">
        <f t="shared" si="24"/>
        <v>1357.2</v>
      </c>
    </row>
    <row r="62" spans="1:53" x14ac:dyDescent="0.3">
      <c r="A62" t="s">
        <v>74</v>
      </c>
      <c r="B62" t="s">
        <v>185</v>
      </c>
      <c r="C62" t="s">
        <v>186</v>
      </c>
      <c r="D62">
        <v>2</v>
      </c>
      <c r="E62">
        <f t="shared" si="0"/>
        <v>2.4</v>
      </c>
      <c r="F62">
        <v>45</v>
      </c>
      <c r="G62">
        <f t="shared" si="1"/>
        <v>23.85</v>
      </c>
      <c r="H62">
        <v>27000</v>
      </c>
      <c r="I62">
        <f t="shared" si="2"/>
        <v>27000</v>
      </c>
      <c r="J62">
        <v>8520</v>
      </c>
      <c r="K62">
        <f t="shared" si="3"/>
        <v>12780</v>
      </c>
      <c r="L62">
        <v>1200</v>
      </c>
      <c r="M62">
        <f t="shared" si="4"/>
        <v>1560</v>
      </c>
      <c r="N62">
        <v>2</v>
      </c>
      <c r="O62">
        <f t="shared" si="5"/>
        <v>2.4</v>
      </c>
      <c r="P62">
        <v>15</v>
      </c>
      <c r="Q62">
        <f t="shared" si="6"/>
        <v>7.95</v>
      </c>
      <c r="R62">
        <v>10800</v>
      </c>
      <c r="S62">
        <f t="shared" si="7"/>
        <v>10800</v>
      </c>
      <c r="T62">
        <v>5700</v>
      </c>
      <c r="U62">
        <f t="shared" si="8"/>
        <v>8550</v>
      </c>
      <c r="V62">
        <v>3960</v>
      </c>
      <c r="W62">
        <f t="shared" ref="W62" si="81">V62*1.3</f>
        <v>5148</v>
      </c>
      <c r="X62">
        <v>6</v>
      </c>
      <c r="Y62">
        <f t="shared" si="10"/>
        <v>7.1999999999999993</v>
      </c>
      <c r="Z62">
        <v>5</v>
      </c>
      <c r="AA62">
        <f t="shared" si="11"/>
        <v>2.6500000000000004</v>
      </c>
      <c r="AB62">
        <v>20280</v>
      </c>
      <c r="AC62">
        <f t="shared" si="12"/>
        <v>20280</v>
      </c>
      <c r="AD62">
        <v>10800</v>
      </c>
      <c r="AE62">
        <f t="shared" si="13"/>
        <v>16200</v>
      </c>
      <c r="AF62">
        <v>2310</v>
      </c>
      <c r="AG62">
        <f t="shared" si="14"/>
        <v>3003</v>
      </c>
      <c r="AH62">
        <v>6</v>
      </c>
      <c r="AI62">
        <f t="shared" si="15"/>
        <v>7.1999999999999993</v>
      </c>
      <c r="AJ62">
        <v>7</v>
      </c>
      <c r="AK62">
        <f t="shared" si="16"/>
        <v>3.71</v>
      </c>
      <c r="AL62">
        <v>31680</v>
      </c>
      <c r="AM62">
        <f t="shared" si="17"/>
        <v>31680</v>
      </c>
      <c r="AN62">
        <v>13920</v>
      </c>
      <c r="AO62">
        <f t="shared" si="18"/>
        <v>20880</v>
      </c>
      <c r="AP62">
        <v>5328</v>
      </c>
      <c r="AQ62">
        <f t="shared" si="19"/>
        <v>6926.4000000000005</v>
      </c>
      <c r="AR62">
        <v>6</v>
      </c>
      <c r="AS62">
        <f t="shared" si="20"/>
        <v>7.1999999999999993</v>
      </c>
      <c r="AT62">
        <v>27</v>
      </c>
      <c r="AU62">
        <f t="shared" si="21"/>
        <v>14.31</v>
      </c>
      <c r="AV62">
        <v>19800</v>
      </c>
      <c r="AW62">
        <f t="shared" si="22"/>
        <v>19800</v>
      </c>
      <c r="AX62">
        <v>22200</v>
      </c>
      <c r="AY62">
        <f t="shared" si="23"/>
        <v>33300</v>
      </c>
      <c r="AZ62">
        <v>6480</v>
      </c>
      <c r="BA62">
        <f t="shared" si="24"/>
        <v>8424</v>
      </c>
    </row>
    <row r="63" spans="1:53" x14ac:dyDescent="0.3">
      <c r="A63" t="s">
        <v>74</v>
      </c>
      <c r="B63" t="s">
        <v>187</v>
      </c>
      <c r="C63" t="s">
        <v>188</v>
      </c>
      <c r="D63" t="s">
        <v>73</v>
      </c>
      <c r="E63" t="e">
        <f t="shared" si="0"/>
        <v>#VALUE!</v>
      </c>
      <c r="F63">
        <v>12</v>
      </c>
      <c r="G63">
        <f t="shared" si="1"/>
        <v>6.36</v>
      </c>
      <c r="H63">
        <v>3240</v>
      </c>
      <c r="I63">
        <f t="shared" si="2"/>
        <v>3240</v>
      </c>
      <c r="J63">
        <v>6300</v>
      </c>
      <c r="K63">
        <f t="shared" si="3"/>
        <v>9450</v>
      </c>
      <c r="L63">
        <v>1290</v>
      </c>
      <c r="M63">
        <f t="shared" si="4"/>
        <v>1677</v>
      </c>
      <c r="N63" t="s">
        <v>73</v>
      </c>
      <c r="O63" t="e">
        <f t="shared" si="5"/>
        <v>#VALUE!</v>
      </c>
      <c r="P63" t="s">
        <v>73</v>
      </c>
      <c r="Q63" t="e">
        <f t="shared" si="6"/>
        <v>#VALUE!</v>
      </c>
      <c r="R63">
        <v>1620</v>
      </c>
      <c r="S63">
        <f t="shared" si="7"/>
        <v>1620</v>
      </c>
      <c r="T63">
        <v>6300</v>
      </c>
      <c r="U63">
        <f t="shared" si="8"/>
        <v>9450</v>
      </c>
      <c r="V63">
        <v>3960</v>
      </c>
      <c r="W63">
        <f t="shared" ref="W63" si="82">V63*1.3</f>
        <v>5148</v>
      </c>
      <c r="X63" t="s">
        <v>73</v>
      </c>
      <c r="Y63" t="e">
        <f t="shared" si="10"/>
        <v>#VALUE!</v>
      </c>
      <c r="Z63" t="s">
        <v>73</v>
      </c>
      <c r="AA63" t="e">
        <f t="shared" si="11"/>
        <v>#VALUE!</v>
      </c>
      <c r="AB63">
        <v>3802</v>
      </c>
      <c r="AC63">
        <f t="shared" si="12"/>
        <v>3802</v>
      </c>
      <c r="AD63">
        <v>2850</v>
      </c>
      <c r="AE63">
        <f t="shared" si="13"/>
        <v>4275</v>
      </c>
      <c r="AF63">
        <v>3960</v>
      </c>
      <c r="AG63">
        <f t="shared" si="14"/>
        <v>5148</v>
      </c>
      <c r="AH63" t="s">
        <v>73</v>
      </c>
      <c r="AI63" t="e">
        <f t="shared" si="15"/>
        <v>#VALUE!</v>
      </c>
      <c r="AJ63" t="s">
        <v>73</v>
      </c>
      <c r="AK63" t="e">
        <f t="shared" si="16"/>
        <v>#VALUE!</v>
      </c>
      <c r="AL63">
        <v>5322</v>
      </c>
      <c r="AM63">
        <f t="shared" si="17"/>
        <v>5322</v>
      </c>
      <c r="AN63">
        <v>6300</v>
      </c>
      <c r="AO63">
        <f t="shared" si="18"/>
        <v>9450</v>
      </c>
      <c r="AP63">
        <v>2100</v>
      </c>
      <c r="AQ63">
        <f t="shared" si="19"/>
        <v>2730</v>
      </c>
      <c r="AR63" t="s">
        <v>73</v>
      </c>
      <c r="AS63" t="e">
        <f t="shared" si="20"/>
        <v>#VALUE!</v>
      </c>
      <c r="AT63">
        <v>225</v>
      </c>
      <c r="AU63">
        <f t="shared" si="21"/>
        <v>119.25</v>
      </c>
      <c r="AV63">
        <v>4197</v>
      </c>
      <c r="AW63">
        <f t="shared" si="22"/>
        <v>4197</v>
      </c>
      <c r="AX63">
        <v>5520</v>
      </c>
      <c r="AY63">
        <f t="shared" si="23"/>
        <v>8280</v>
      </c>
      <c r="AZ63">
        <v>3600</v>
      </c>
      <c r="BA63">
        <f t="shared" si="24"/>
        <v>4680</v>
      </c>
    </row>
    <row r="64" spans="1:53" x14ac:dyDescent="0.3">
      <c r="A64" t="s">
        <v>74</v>
      </c>
      <c r="B64" t="s">
        <v>189</v>
      </c>
      <c r="C64" t="s">
        <v>190</v>
      </c>
      <c r="D64">
        <v>4</v>
      </c>
      <c r="E64">
        <f t="shared" si="0"/>
        <v>4.8</v>
      </c>
      <c r="F64">
        <v>38</v>
      </c>
      <c r="G64">
        <f t="shared" si="1"/>
        <v>20.14</v>
      </c>
      <c r="H64">
        <v>4950</v>
      </c>
      <c r="I64">
        <f t="shared" si="2"/>
        <v>4950</v>
      </c>
      <c r="J64">
        <v>891</v>
      </c>
      <c r="K64">
        <f t="shared" si="3"/>
        <v>1336.5</v>
      </c>
      <c r="L64">
        <v>24</v>
      </c>
      <c r="M64">
        <f t="shared" si="4"/>
        <v>31.200000000000003</v>
      </c>
      <c r="N64">
        <v>2</v>
      </c>
      <c r="O64">
        <f t="shared" si="5"/>
        <v>2.4</v>
      </c>
      <c r="P64">
        <v>38</v>
      </c>
      <c r="Q64">
        <f t="shared" si="6"/>
        <v>20.14</v>
      </c>
      <c r="R64">
        <v>3135</v>
      </c>
      <c r="S64">
        <f t="shared" si="7"/>
        <v>3135</v>
      </c>
      <c r="T64">
        <v>735</v>
      </c>
      <c r="U64">
        <f t="shared" si="8"/>
        <v>1102.5</v>
      </c>
      <c r="V64">
        <v>1224</v>
      </c>
      <c r="W64">
        <f t="shared" ref="W64" si="83">V64*1.3</f>
        <v>1591.2</v>
      </c>
      <c r="X64">
        <v>3</v>
      </c>
      <c r="Y64">
        <f t="shared" si="10"/>
        <v>3.5999999999999996</v>
      </c>
      <c r="Z64">
        <v>14</v>
      </c>
      <c r="AA64">
        <f t="shared" si="11"/>
        <v>7.42</v>
      </c>
      <c r="AB64">
        <v>3960</v>
      </c>
      <c r="AC64">
        <f t="shared" si="12"/>
        <v>3960</v>
      </c>
      <c r="AD64">
        <v>945</v>
      </c>
      <c r="AE64">
        <f t="shared" si="13"/>
        <v>1417.5</v>
      </c>
      <c r="AF64">
        <v>1224</v>
      </c>
      <c r="AG64">
        <f t="shared" si="14"/>
        <v>1591.2</v>
      </c>
      <c r="AH64">
        <v>3</v>
      </c>
      <c r="AI64">
        <f t="shared" si="15"/>
        <v>3.5999999999999996</v>
      </c>
      <c r="AJ64">
        <v>17</v>
      </c>
      <c r="AK64">
        <f t="shared" si="16"/>
        <v>9.01</v>
      </c>
      <c r="AL64">
        <v>5850</v>
      </c>
      <c r="AM64">
        <f t="shared" si="17"/>
        <v>5850</v>
      </c>
      <c r="AN64">
        <v>1200</v>
      </c>
      <c r="AO64">
        <f t="shared" si="18"/>
        <v>1800</v>
      </c>
      <c r="AP64">
        <v>576</v>
      </c>
      <c r="AQ64">
        <f t="shared" si="19"/>
        <v>748.80000000000007</v>
      </c>
      <c r="AR64">
        <v>3</v>
      </c>
      <c r="AS64">
        <f t="shared" si="20"/>
        <v>3.5999999999999996</v>
      </c>
      <c r="AT64">
        <v>18</v>
      </c>
      <c r="AU64">
        <f t="shared" si="21"/>
        <v>9.5400000000000009</v>
      </c>
      <c r="AV64">
        <v>2970</v>
      </c>
      <c r="AW64">
        <f t="shared" si="22"/>
        <v>2970</v>
      </c>
      <c r="AX64">
        <v>2700</v>
      </c>
      <c r="AY64">
        <f t="shared" si="23"/>
        <v>4050</v>
      </c>
      <c r="AZ64">
        <v>1008</v>
      </c>
      <c r="BA64">
        <f t="shared" si="24"/>
        <v>1310.4000000000001</v>
      </c>
    </row>
    <row r="65" spans="1:53" x14ac:dyDescent="0.3">
      <c r="A65" t="s">
        <v>74</v>
      </c>
      <c r="B65" t="s">
        <v>191</v>
      </c>
      <c r="C65" t="s">
        <v>192</v>
      </c>
      <c r="D65" t="s">
        <v>73</v>
      </c>
      <c r="E65" t="e">
        <f t="shared" si="0"/>
        <v>#VALUE!</v>
      </c>
      <c r="F65">
        <v>7</v>
      </c>
      <c r="G65">
        <f t="shared" si="1"/>
        <v>3.71</v>
      </c>
      <c r="H65">
        <v>7020</v>
      </c>
      <c r="I65">
        <f t="shared" si="2"/>
        <v>7020</v>
      </c>
      <c r="J65">
        <v>3120</v>
      </c>
      <c r="K65">
        <f t="shared" si="3"/>
        <v>4680</v>
      </c>
      <c r="L65">
        <v>405</v>
      </c>
      <c r="M65">
        <f t="shared" si="4"/>
        <v>526.5</v>
      </c>
      <c r="N65" t="s">
        <v>73</v>
      </c>
      <c r="O65" t="e">
        <f t="shared" si="5"/>
        <v>#VALUE!</v>
      </c>
      <c r="P65">
        <v>9</v>
      </c>
      <c r="Q65">
        <f t="shared" si="6"/>
        <v>4.7700000000000005</v>
      </c>
      <c r="R65">
        <v>3780</v>
      </c>
      <c r="S65">
        <f t="shared" si="7"/>
        <v>3780</v>
      </c>
      <c r="T65">
        <v>3240</v>
      </c>
      <c r="U65">
        <f t="shared" si="8"/>
        <v>4860</v>
      </c>
      <c r="V65">
        <v>1620</v>
      </c>
      <c r="W65">
        <f t="shared" ref="W65" si="84">V65*1.3</f>
        <v>2106</v>
      </c>
      <c r="X65" t="s">
        <v>73</v>
      </c>
      <c r="Y65" t="e">
        <f t="shared" si="10"/>
        <v>#VALUE!</v>
      </c>
      <c r="Z65">
        <v>22</v>
      </c>
      <c r="AA65">
        <f t="shared" si="11"/>
        <v>11.66</v>
      </c>
      <c r="AB65">
        <v>2970</v>
      </c>
      <c r="AC65">
        <f t="shared" si="12"/>
        <v>2970</v>
      </c>
      <c r="AD65">
        <v>2475</v>
      </c>
      <c r="AE65">
        <f t="shared" si="13"/>
        <v>3712.5</v>
      </c>
      <c r="AF65">
        <v>1980</v>
      </c>
      <c r="AG65">
        <f t="shared" si="14"/>
        <v>2574</v>
      </c>
      <c r="AH65" t="s">
        <v>73</v>
      </c>
      <c r="AI65" t="e">
        <f t="shared" si="15"/>
        <v>#VALUE!</v>
      </c>
      <c r="AJ65">
        <v>27</v>
      </c>
      <c r="AK65">
        <f t="shared" si="16"/>
        <v>14.31</v>
      </c>
      <c r="AL65">
        <v>4872</v>
      </c>
      <c r="AM65">
        <f t="shared" si="17"/>
        <v>4872</v>
      </c>
      <c r="AN65">
        <v>4800</v>
      </c>
      <c r="AO65">
        <f t="shared" si="18"/>
        <v>7200</v>
      </c>
      <c r="AP65">
        <v>2400</v>
      </c>
      <c r="AQ65">
        <f t="shared" si="19"/>
        <v>3120</v>
      </c>
      <c r="AR65" t="s">
        <v>73</v>
      </c>
      <c r="AS65" t="e">
        <f t="shared" si="20"/>
        <v>#VALUE!</v>
      </c>
      <c r="AT65">
        <v>27</v>
      </c>
      <c r="AU65">
        <f t="shared" si="21"/>
        <v>14.31</v>
      </c>
      <c r="AV65">
        <v>4095</v>
      </c>
      <c r="AW65">
        <f t="shared" si="22"/>
        <v>4095</v>
      </c>
      <c r="AX65">
        <v>4305</v>
      </c>
      <c r="AY65">
        <f t="shared" si="23"/>
        <v>6457.5</v>
      </c>
      <c r="AZ65">
        <v>2520</v>
      </c>
      <c r="BA65">
        <f t="shared" si="24"/>
        <v>3276</v>
      </c>
    </row>
    <row r="66" spans="1:53" x14ac:dyDescent="0.3">
      <c r="A66" t="s">
        <v>74</v>
      </c>
      <c r="B66" t="s">
        <v>193</v>
      </c>
      <c r="C66" t="s">
        <v>194</v>
      </c>
      <c r="D66" t="s">
        <v>73</v>
      </c>
      <c r="E66" t="e">
        <f t="shared" si="0"/>
        <v>#VALUE!</v>
      </c>
      <c r="F66">
        <v>98</v>
      </c>
      <c r="G66">
        <f t="shared" si="1"/>
        <v>51.940000000000005</v>
      </c>
      <c r="H66">
        <v>6300</v>
      </c>
      <c r="I66">
        <f t="shared" si="2"/>
        <v>6300</v>
      </c>
      <c r="J66">
        <v>4872</v>
      </c>
      <c r="K66">
        <f t="shared" si="3"/>
        <v>7308</v>
      </c>
      <c r="L66">
        <v>1260</v>
      </c>
      <c r="M66">
        <f t="shared" si="4"/>
        <v>1638</v>
      </c>
      <c r="N66" t="s">
        <v>73</v>
      </c>
      <c r="O66" t="e">
        <f t="shared" si="5"/>
        <v>#VALUE!</v>
      </c>
      <c r="P66">
        <v>21</v>
      </c>
      <c r="Q66">
        <f t="shared" si="6"/>
        <v>11.13</v>
      </c>
      <c r="R66">
        <v>2275</v>
      </c>
      <c r="S66">
        <f t="shared" si="7"/>
        <v>2275</v>
      </c>
      <c r="T66">
        <v>3080</v>
      </c>
      <c r="U66">
        <f t="shared" si="8"/>
        <v>4620</v>
      </c>
      <c r="V66">
        <v>2400</v>
      </c>
      <c r="W66">
        <f t="shared" ref="W66" si="85">V66*1.3</f>
        <v>3120</v>
      </c>
      <c r="X66" t="s">
        <v>73</v>
      </c>
      <c r="Y66" t="e">
        <f t="shared" si="10"/>
        <v>#VALUE!</v>
      </c>
      <c r="Z66">
        <v>192</v>
      </c>
      <c r="AA66">
        <f t="shared" si="11"/>
        <v>101.76</v>
      </c>
      <c r="AB66">
        <v>4680</v>
      </c>
      <c r="AC66">
        <f t="shared" si="12"/>
        <v>4680</v>
      </c>
      <c r="AD66">
        <v>3840</v>
      </c>
      <c r="AE66">
        <f t="shared" si="13"/>
        <v>5760</v>
      </c>
      <c r="AF66">
        <v>3900</v>
      </c>
      <c r="AG66">
        <f t="shared" si="14"/>
        <v>5070</v>
      </c>
      <c r="AH66" t="s">
        <v>73</v>
      </c>
      <c r="AI66" t="e">
        <f t="shared" si="15"/>
        <v>#VALUE!</v>
      </c>
      <c r="AJ66">
        <v>128</v>
      </c>
      <c r="AK66">
        <f t="shared" si="16"/>
        <v>67.84</v>
      </c>
      <c r="AL66">
        <v>7800</v>
      </c>
      <c r="AM66">
        <f t="shared" si="17"/>
        <v>7800</v>
      </c>
      <c r="AN66">
        <v>4800</v>
      </c>
      <c r="AO66">
        <f t="shared" si="18"/>
        <v>7200</v>
      </c>
      <c r="AP66">
        <v>2000</v>
      </c>
      <c r="AQ66">
        <f t="shared" si="19"/>
        <v>2600</v>
      </c>
      <c r="AR66" t="s">
        <v>73</v>
      </c>
      <c r="AS66" t="e">
        <f t="shared" si="20"/>
        <v>#VALUE!</v>
      </c>
      <c r="AT66">
        <v>54</v>
      </c>
      <c r="AU66">
        <f t="shared" si="21"/>
        <v>28.62</v>
      </c>
      <c r="AV66">
        <v>4485</v>
      </c>
      <c r="AW66">
        <f t="shared" si="22"/>
        <v>4485</v>
      </c>
      <c r="AX66">
        <v>6000</v>
      </c>
      <c r="AY66">
        <f t="shared" si="23"/>
        <v>9000</v>
      </c>
      <c r="AZ66">
        <v>2400</v>
      </c>
      <c r="BA66">
        <f t="shared" si="24"/>
        <v>3120</v>
      </c>
    </row>
    <row r="67" spans="1:53" x14ac:dyDescent="0.3">
      <c r="A67" t="s">
        <v>70</v>
      </c>
      <c r="B67" t="s">
        <v>195</v>
      </c>
      <c r="C67" t="s">
        <v>196</v>
      </c>
      <c r="D67">
        <v>1</v>
      </c>
      <c r="E67">
        <f t="shared" si="0"/>
        <v>1.2</v>
      </c>
      <c r="F67">
        <v>32416</v>
      </c>
      <c r="G67">
        <f t="shared" si="1"/>
        <v>17180.48</v>
      </c>
      <c r="H67">
        <v>324920</v>
      </c>
      <c r="I67">
        <f t="shared" si="2"/>
        <v>324920</v>
      </c>
      <c r="J67">
        <v>549210</v>
      </c>
      <c r="K67">
        <f t="shared" si="3"/>
        <v>823815</v>
      </c>
      <c r="L67">
        <v>36194</v>
      </c>
      <c r="M67">
        <f t="shared" si="4"/>
        <v>47052.200000000004</v>
      </c>
      <c r="N67">
        <v>1</v>
      </c>
      <c r="O67">
        <f t="shared" si="5"/>
        <v>1.2</v>
      </c>
      <c r="P67">
        <v>27344</v>
      </c>
      <c r="Q67">
        <f t="shared" si="6"/>
        <v>14492.320000000002</v>
      </c>
      <c r="R67">
        <v>170400</v>
      </c>
      <c r="S67">
        <f t="shared" si="7"/>
        <v>170400</v>
      </c>
      <c r="T67">
        <v>481967</v>
      </c>
      <c r="U67">
        <f t="shared" si="8"/>
        <v>722950.5</v>
      </c>
      <c r="V67">
        <v>45782</v>
      </c>
      <c r="W67">
        <f t="shared" ref="W67" si="86">V67*1.3</f>
        <v>59516.6</v>
      </c>
      <c r="X67">
        <v>1</v>
      </c>
      <c r="Y67">
        <f t="shared" si="10"/>
        <v>1.2</v>
      </c>
      <c r="Z67">
        <v>36619</v>
      </c>
      <c r="AA67">
        <f t="shared" si="11"/>
        <v>19408.07</v>
      </c>
      <c r="AB67">
        <v>198275</v>
      </c>
      <c r="AC67">
        <f t="shared" si="12"/>
        <v>198275</v>
      </c>
      <c r="AD67">
        <v>433776</v>
      </c>
      <c r="AE67">
        <f t="shared" si="13"/>
        <v>650664</v>
      </c>
      <c r="AF67">
        <v>83805</v>
      </c>
      <c r="AG67">
        <f t="shared" si="14"/>
        <v>108946.5</v>
      </c>
      <c r="AH67">
        <v>1</v>
      </c>
      <c r="AI67">
        <f t="shared" si="15"/>
        <v>1.2</v>
      </c>
      <c r="AJ67">
        <v>39345</v>
      </c>
      <c r="AK67">
        <f t="shared" si="16"/>
        <v>20852.850000000002</v>
      </c>
      <c r="AL67">
        <v>256072</v>
      </c>
      <c r="AM67">
        <f t="shared" si="17"/>
        <v>256072</v>
      </c>
      <c r="AN67">
        <v>624590</v>
      </c>
      <c r="AO67">
        <f t="shared" si="18"/>
        <v>936885</v>
      </c>
      <c r="AP67">
        <v>60714</v>
      </c>
      <c r="AQ67">
        <f t="shared" si="19"/>
        <v>78928.2</v>
      </c>
      <c r="AR67">
        <v>1</v>
      </c>
      <c r="AS67">
        <f t="shared" si="20"/>
        <v>1.2</v>
      </c>
      <c r="AT67">
        <v>42829</v>
      </c>
      <c r="AU67">
        <f t="shared" si="21"/>
        <v>22699.370000000003</v>
      </c>
      <c r="AV67">
        <v>176250</v>
      </c>
      <c r="AW67">
        <f t="shared" si="22"/>
        <v>176250</v>
      </c>
      <c r="AX67">
        <v>562440</v>
      </c>
      <c r="AY67">
        <f t="shared" si="23"/>
        <v>843660</v>
      </c>
      <c r="AZ67">
        <v>78555</v>
      </c>
      <c r="BA67">
        <f t="shared" si="24"/>
        <v>102121.5</v>
      </c>
    </row>
    <row r="68" spans="1:53" x14ac:dyDescent="0.3">
      <c r="A68" t="s">
        <v>74</v>
      </c>
      <c r="B68" t="s">
        <v>197</v>
      </c>
      <c r="C68" t="s">
        <v>198</v>
      </c>
      <c r="D68" t="s">
        <v>73</v>
      </c>
      <c r="E68" t="e">
        <f t="shared" si="0"/>
        <v>#VALUE!</v>
      </c>
      <c r="F68">
        <v>14460</v>
      </c>
      <c r="G68">
        <f t="shared" si="1"/>
        <v>7663.8</v>
      </c>
      <c r="H68">
        <v>115200</v>
      </c>
      <c r="I68">
        <f t="shared" si="2"/>
        <v>115200</v>
      </c>
      <c r="J68">
        <v>184920</v>
      </c>
      <c r="K68">
        <f t="shared" si="3"/>
        <v>277380</v>
      </c>
      <c r="L68">
        <v>10500</v>
      </c>
      <c r="M68">
        <f t="shared" si="4"/>
        <v>13650</v>
      </c>
      <c r="N68" t="s">
        <v>73</v>
      </c>
      <c r="O68" t="e">
        <f t="shared" si="5"/>
        <v>#VALUE!</v>
      </c>
      <c r="P68">
        <v>9000</v>
      </c>
      <c r="Q68">
        <f t="shared" si="6"/>
        <v>4770</v>
      </c>
      <c r="R68">
        <v>50000</v>
      </c>
      <c r="S68">
        <f t="shared" si="7"/>
        <v>50000</v>
      </c>
      <c r="T68">
        <v>159900</v>
      </c>
      <c r="U68">
        <f t="shared" si="8"/>
        <v>239850</v>
      </c>
      <c r="V68">
        <v>7020</v>
      </c>
      <c r="W68">
        <f t="shared" ref="W68" si="87">V68*1.3</f>
        <v>9126</v>
      </c>
      <c r="X68" t="s">
        <v>73</v>
      </c>
      <c r="Y68" t="e">
        <f t="shared" si="10"/>
        <v>#VALUE!</v>
      </c>
      <c r="Z68">
        <v>13140</v>
      </c>
      <c r="AA68">
        <f t="shared" si="11"/>
        <v>6964.2000000000007</v>
      </c>
      <c r="AB68">
        <v>45000</v>
      </c>
      <c r="AC68">
        <f t="shared" si="12"/>
        <v>45000</v>
      </c>
      <c r="AD68">
        <v>180000</v>
      </c>
      <c r="AE68">
        <f t="shared" si="13"/>
        <v>270000</v>
      </c>
      <c r="AF68">
        <v>19800</v>
      </c>
      <c r="AG68">
        <f t="shared" si="14"/>
        <v>25740</v>
      </c>
      <c r="AH68" t="s">
        <v>73</v>
      </c>
      <c r="AI68" t="e">
        <f t="shared" si="15"/>
        <v>#VALUE!</v>
      </c>
      <c r="AJ68">
        <v>13815</v>
      </c>
      <c r="AK68">
        <f t="shared" si="16"/>
        <v>7321.9500000000007</v>
      </c>
      <c r="AL68">
        <v>85200</v>
      </c>
      <c r="AM68">
        <f t="shared" si="17"/>
        <v>85200</v>
      </c>
      <c r="AN68">
        <v>225630</v>
      </c>
      <c r="AO68">
        <f t="shared" si="18"/>
        <v>338445</v>
      </c>
      <c r="AP68">
        <v>19200</v>
      </c>
      <c r="AQ68">
        <f t="shared" si="19"/>
        <v>24960</v>
      </c>
      <c r="AR68" t="s">
        <v>73</v>
      </c>
      <c r="AS68" t="e">
        <f t="shared" si="20"/>
        <v>#VALUE!</v>
      </c>
      <c r="AT68">
        <v>13170</v>
      </c>
      <c r="AU68">
        <f t="shared" si="21"/>
        <v>6980.1</v>
      </c>
      <c r="AV68">
        <v>50160</v>
      </c>
      <c r="AW68">
        <f t="shared" si="22"/>
        <v>50160</v>
      </c>
      <c r="AX68">
        <v>188400</v>
      </c>
      <c r="AY68">
        <f t="shared" si="23"/>
        <v>282600</v>
      </c>
      <c r="AZ68">
        <v>22680</v>
      </c>
      <c r="BA68">
        <f t="shared" si="24"/>
        <v>29484</v>
      </c>
    </row>
    <row r="69" spans="1:53" x14ac:dyDescent="0.3">
      <c r="A69" t="s">
        <v>74</v>
      </c>
      <c r="B69" t="s">
        <v>199</v>
      </c>
      <c r="C69" t="s">
        <v>200</v>
      </c>
      <c r="D69" t="s">
        <v>73</v>
      </c>
      <c r="E69" t="e">
        <f t="shared" ref="E69:E132" si="88">D69*1.2</f>
        <v>#VALUE!</v>
      </c>
      <c r="F69">
        <v>678</v>
      </c>
      <c r="G69">
        <f t="shared" ref="G69:G132" si="89">F69*0.53</f>
        <v>359.34000000000003</v>
      </c>
      <c r="H69">
        <v>13200</v>
      </c>
      <c r="I69">
        <f t="shared" ref="I69:I132" si="90">H69</f>
        <v>13200</v>
      </c>
      <c r="J69">
        <v>10050</v>
      </c>
      <c r="K69">
        <f t="shared" ref="K69:K132" si="91">J69*1.5</f>
        <v>15075</v>
      </c>
      <c r="L69">
        <v>56</v>
      </c>
      <c r="M69">
        <f t="shared" ref="M69:M132" si="92">L69*1.3</f>
        <v>72.8</v>
      </c>
      <c r="N69" t="s">
        <v>73</v>
      </c>
      <c r="O69" t="e">
        <f t="shared" ref="O69:O132" si="93">N69*1.2</f>
        <v>#VALUE!</v>
      </c>
      <c r="P69">
        <v>650</v>
      </c>
      <c r="Q69">
        <f t="shared" ref="Q69:Q132" si="94">P69*0.53</f>
        <v>344.5</v>
      </c>
      <c r="R69">
        <v>7776</v>
      </c>
      <c r="S69">
        <f t="shared" ref="S69:S132" si="95">R69</f>
        <v>7776</v>
      </c>
      <c r="T69">
        <v>9300</v>
      </c>
      <c r="U69">
        <f t="shared" ref="U69:U132" si="96">T69*1.5</f>
        <v>13950</v>
      </c>
      <c r="V69">
        <v>300</v>
      </c>
      <c r="W69">
        <f t="shared" ref="W69" si="97">V69*1.3</f>
        <v>390</v>
      </c>
      <c r="X69" t="s">
        <v>73</v>
      </c>
      <c r="Y69" t="e">
        <f t="shared" ref="Y69:Y132" si="98">X69*1.2</f>
        <v>#VALUE!</v>
      </c>
      <c r="Z69">
        <v>525</v>
      </c>
      <c r="AA69">
        <f t="shared" ref="AA69:AA132" si="99">Z69*0.53</f>
        <v>278.25</v>
      </c>
      <c r="AB69">
        <v>6120</v>
      </c>
      <c r="AC69">
        <f t="shared" ref="AC69:AC132" si="100">AB69</f>
        <v>6120</v>
      </c>
      <c r="AD69">
        <v>7695</v>
      </c>
      <c r="AE69">
        <f t="shared" ref="AE69:AE132" si="101">AD69*1.5</f>
        <v>11542.5</v>
      </c>
      <c r="AF69">
        <v>1200</v>
      </c>
      <c r="AG69">
        <f t="shared" ref="AG69:AG132" si="102">AF69*1.3</f>
        <v>1560</v>
      </c>
      <c r="AH69" t="s">
        <v>73</v>
      </c>
      <c r="AI69" t="e">
        <f t="shared" ref="AI69:AI132" si="103">AH69*1.2</f>
        <v>#VALUE!</v>
      </c>
      <c r="AJ69">
        <v>460</v>
      </c>
      <c r="AK69">
        <f t="shared" ref="AK69:AK132" si="104">AJ69*0.53</f>
        <v>243.8</v>
      </c>
      <c r="AL69">
        <v>7200</v>
      </c>
      <c r="AM69">
        <f t="shared" ref="AM69:AM132" si="105">AL69</f>
        <v>7200</v>
      </c>
      <c r="AN69">
        <v>13200</v>
      </c>
      <c r="AO69">
        <f t="shared" ref="AO69:AO132" si="106">AN69*1.5</f>
        <v>19800</v>
      </c>
      <c r="AP69">
        <v>1080</v>
      </c>
      <c r="AQ69">
        <f t="shared" ref="AQ69:AQ132" si="107">AP69*1.3</f>
        <v>1404</v>
      </c>
      <c r="AR69" t="s">
        <v>73</v>
      </c>
      <c r="AS69" t="e">
        <f t="shared" ref="AS69:AS132" si="108">AR69*1.2</f>
        <v>#VALUE!</v>
      </c>
      <c r="AT69">
        <v>846</v>
      </c>
      <c r="AU69">
        <f t="shared" ref="AU69:AU132" si="109">AT69*0.53</f>
        <v>448.38</v>
      </c>
      <c r="AV69">
        <v>4680</v>
      </c>
      <c r="AW69">
        <f t="shared" ref="AW69:AW132" si="110">AV69</f>
        <v>4680</v>
      </c>
      <c r="AX69">
        <v>13560</v>
      </c>
      <c r="AY69">
        <f t="shared" ref="AY69:AY132" si="111">AX69*1.5</f>
        <v>20340</v>
      </c>
      <c r="AZ69">
        <v>2400</v>
      </c>
      <c r="BA69">
        <f t="shared" ref="BA69:BA132" si="112">AZ69*1.3</f>
        <v>3120</v>
      </c>
    </row>
    <row r="70" spans="1:53" x14ac:dyDescent="0.3">
      <c r="A70" t="s">
        <v>74</v>
      </c>
      <c r="B70" t="s">
        <v>201</v>
      </c>
      <c r="C70" t="s">
        <v>202</v>
      </c>
      <c r="D70" t="s">
        <v>73</v>
      </c>
      <c r="E70" t="e">
        <f t="shared" si="88"/>
        <v>#VALUE!</v>
      </c>
      <c r="F70">
        <v>25</v>
      </c>
      <c r="G70">
        <f t="shared" si="89"/>
        <v>13.25</v>
      </c>
      <c r="H70">
        <v>3840</v>
      </c>
      <c r="I70">
        <f t="shared" si="90"/>
        <v>3840</v>
      </c>
      <c r="J70">
        <v>8280</v>
      </c>
      <c r="K70">
        <f t="shared" si="91"/>
        <v>12420</v>
      </c>
      <c r="L70">
        <v>280</v>
      </c>
      <c r="M70">
        <f t="shared" si="92"/>
        <v>364</v>
      </c>
      <c r="N70" t="s">
        <v>73</v>
      </c>
      <c r="O70" t="e">
        <f t="shared" si="93"/>
        <v>#VALUE!</v>
      </c>
      <c r="P70">
        <v>49</v>
      </c>
      <c r="Q70">
        <f t="shared" si="94"/>
        <v>25.970000000000002</v>
      </c>
      <c r="R70">
        <v>2840</v>
      </c>
      <c r="S70">
        <f t="shared" si="95"/>
        <v>2840</v>
      </c>
      <c r="T70">
        <v>5940</v>
      </c>
      <c r="U70">
        <f t="shared" si="96"/>
        <v>8910</v>
      </c>
      <c r="V70">
        <v>492</v>
      </c>
      <c r="W70">
        <f t="shared" ref="W70" si="113">V70*1.3</f>
        <v>639.6</v>
      </c>
      <c r="X70" t="s">
        <v>73</v>
      </c>
      <c r="Y70" t="e">
        <f t="shared" si="98"/>
        <v>#VALUE!</v>
      </c>
      <c r="Z70">
        <v>79</v>
      </c>
      <c r="AA70">
        <f t="shared" si="99"/>
        <v>41.870000000000005</v>
      </c>
      <c r="AB70">
        <v>680</v>
      </c>
      <c r="AC70">
        <f t="shared" si="100"/>
        <v>680</v>
      </c>
      <c r="AD70">
        <v>1980</v>
      </c>
      <c r="AE70">
        <f t="shared" si="101"/>
        <v>2970</v>
      </c>
      <c r="AF70">
        <v>1215</v>
      </c>
      <c r="AG70">
        <f t="shared" si="102"/>
        <v>1579.5</v>
      </c>
      <c r="AH70" t="s">
        <v>73</v>
      </c>
      <c r="AI70" t="e">
        <f t="shared" si="103"/>
        <v>#VALUE!</v>
      </c>
      <c r="AJ70">
        <v>131</v>
      </c>
      <c r="AK70">
        <f t="shared" si="104"/>
        <v>69.430000000000007</v>
      </c>
      <c r="AL70">
        <v>1350</v>
      </c>
      <c r="AM70">
        <f t="shared" si="105"/>
        <v>1350</v>
      </c>
      <c r="AN70">
        <v>11340</v>
      </c>
      <c r="AO70">
        <f t="shared" si="106"/>
        <v>17010</v>
      </c>
      <c r="AP70">
        <v>600</v>
      </c>
      <c r="AQ70">
        <f t="shared" si="107"/>
        <v>780</v>
      </c>
      <c r="AR70" t="s">
        <v>73</v>
      </c>
      <c r="AS70" t="e">
        <f t="shared" si="108"/>
        <v>#VALUE!</v>
      </c>
      <c r="AT70">
        <v>122</v>
      </c>
      <c r="AU70">
        <f t="shared" si="109"/>
        <v>64.66</v>
      </c>
      <c r="AV70">
        <v>1290</v>
      </c>
      <c r="AW70">
        <f t="shared" si="110"/>
        <v>1290</v>
      </c>
      <c r="AX70">
        <v>8910</v>
      </c>
      <c r="AY70">
        <f t="shared" si="111"/>
        <v>13365</v>
      </c>
      <c r="AZ70">
        <v>990</v>
      </c>
      <c r="BA70">
        <f t="shared" si="112"/>
        <v>1287</v>
      </c>
    </row>
    <row r="71" spans="1:53" x14ac:dyDescent="0.3">
      <c r="A71" t="s">
        <v>74</v>
      </c>
      <c r="B71" t="s">
        <v>203</v>
      </c>
      <c r="C71" t="s">
        <v>204</v>
      </c>
      <c r="D71">
        <v>1</v>
      </c>
      <c r="E71">
        <f t="shared" si="88"/>
        <v>1.2</v>
      </c>
      <c r="F71">
        <v>180</v>
      </c>
      <c r="G71">
        <f t="shared" si="89"/>
        <v>95.4</v>
      </c>
      <c r="H71">
        <v>840</v>
      </c>
      <c r="I71">
        <f t="shared" si="90"/>
        <v>840</v>
      </c>
      <c r="J71">
        <v>6480</v>
      </c>
      <c r="K71">
        <f t="shared" si="91"/>
        <v>9720</v>
      </c>
      <c r="L71">
        <v>273</v>
      </c>
      <c r="M71">
        <f t="shared" si="92"/>
        <v>354.90000000000003</v>
      </c>
      <c r="N71">
        <v>1</v>
      </c>
      <c r="O71">
        <f t="shared" si="93"/>
        <v>1.2</v>
      </c>
      <c r="P71">
        <v>120</v>
      </c>
      <c r="Q71">
        <f t="shared" si="94"/>
        <v>63.6</v>
      </c>
      <c r="R71">
        <v>900</v>
      </c>
      <c r="S71">
        <f t="shared" si="95"/>
        <v>900</v>
      </c>
      <c r="T71">
        <v>3744</v>
      </c>
      <c r="U71">
        <f t="shared" si="96"/>
        <v>5616</v>
      </c>
      <c r="V71">
        <v>540</v>
      </c>
      <c r="W71">
        <f t="shared" ref="W71" si="114">V71*1.3</f>
        <v>702</v>
      </c>
      <c r="X71">
        <v>1</v>
      </c>
      <c r="Y71">
        <f t="shared" si="98"/>
        <v>1.2</v>
      </c>
      <c r="Z71">
        <v>185</v>
      </c>
      <c r="AA71">
        <f t="shared" si="99"/>
        <v>98.050000000000011</v>
      </c>
      <c r="AB71">
        <v>585</v>
      </c>
      <c r="AC71">
        <f t="shared" si="100"/>
        <v>585</v>
      </c>
      <c r="AD71">
        <v>2520</v>
      </c>
      <c r="AE71">
        <f t="shared" si="101"/>
        <v>3780</v>
      </c>
      <c r="AF71">
        <v>945</v>
      </c>
      <c r="AG71">
        <f t="shared" si="102"/>
        <v>1228.5</v>
      </c>
      <c r="AH71">
        <v>1</v>
      </c>
      <c r="AI71">
        <f t="shared" si="103"/>
        <v>1.2</v>
      </c>
      <c r="AJ71">
        <v>159</v>
      </c>
      <c r="AK71">
        <f t="shared" si="104"/>
        <v>84.27000000000001</v>
      </c>
      <c r="AL71">
        <v>1452</v>
      </c>
      <c r="AM71">
        <f t="shared" si="105"/>
        <v>1452</v>
      </c>
      <c r="AN71">
        <v>4620</v>
      </c>
      <c r="AO71">
        <f t="shared" si="106"/>
        <v>6930</v>
      </c>
      <c r="AP71">
        <v>714</v>
      </c>
      <c r="AQ71">
        <f t="shared" si="107"/>
        <v>928.2</v>
      </c>
      <c r="AR71">
        <v>1</v>
      </c>
      <c r="AS71">
        <f t="shared" si="108"/>
        <v>1.2</v>
      </c>
      <c r="AT71">
        <v>239</v>
      </c>
      <c r="AU71">
        <f t="shared" si="109"/>
        <v>126.67</v>
      </c>
      <c r="AV71">
        <v>960</v>
      </c>
      <c r="AW71">
        <f t="shared" si="110"/>
        <v>960</v>
      </c>
      <c r="AX71">
        <v>5940</v>
      </c>
      <c r="AY71">
        <f t="shared" si="111"/>
        <v>8910</v>
      </c>
      <c r="AZ71">
        <v>540</v>
      </c>
      <c r="BA71">
        <f t="shared" si="112"/>
        <v>702</v>
      </c>
    </row>
    <row r="72" spans="1:53" x14ac:dyDescent="0.3">
      <c r="A72" t="s">
        <v>74</v>
      </c>
      <c r="B72" t="s">
        <v>205</v>
      </c>
      <c r="C72" t="s">
        <v>206</v>
      </c>
      <c r="D72" t="s">
        <v>73</v>
      </c>
      <c r="E72" t="e">
        <f t="shared" si="88"/>
        <v>#VALUE!</v>
      </c>
      <c r="F72">
        <v>1350</v>
      </c>
      <c r="G72">
        <f t="shared" si="89"/>
        <v>715.5</v>
      </c>
      <c r="H72">
        <v>22770</v>
      </c>
      <c r="I72">
        <f t="shared" si="90"/>
        <v>22770</v>
      </c>
      <c r="J72">
        <v>45630</v>
      </c>
      <c r="K72">
        <f t="shared" si="91"/>
        <v>68445</v>
      </c>
      <c r="L72">
        <v>3300</v>
      </c>
      <c r="M72">
        <f t="shared" si="92"/>
        <v>4290</v>
      </c>
      <c r="N72" t="s">
        <v>73</v>
      </c>
      <c r="O72" t="e">
        <f t="shared" si="93"/>
        <v>#VALUE!</v>
      </c>
      <c r="P72">
        <v>2430</v>
      </c>
      <c r="Q72">
        <f t="shared" si="94"/>
        <v>1287.9000000000001</v>
      </c>
      <c r="R72">
        <v>12000</v>
      </c>
      <c r="S72">
        <f t="shared" si="95"/>
        <v>12000</v>
      </c>
      <c r="T72">
        <v>45840</v>
      </c>
      <c r="U72">
        <f t="shared" si="96"/>
        <v>68760</v>
      </c>
      <c r="V72">
        <v>9000</v>
      </c>
      <c r="W72">
        <f t="shared" ref="W72" si="115">V72*1.3</f>
        <v>11700</v>
      </c>
      <c r="X72" t="s">
        <v>73</v>
      </c>
      <c r="Y72" t="e">
        <f t="shared" si="98"/>
        <v>#VALUE!</v>
      </c>
      <c r="Z72">
        <v>1860</v>
      </c>
      <c r="AA72">
        <f t="shared" si="99"/>
        <v>985.80000000000007</v>
      </c>
      <c r="AB72">
        <v>25200</v>
      </c>
      <c r="AC72">
        <f t="shared" si="100"/>
        <v>25200</v>
      </c>
      <c r="AD72">
        <v>43500</v>
      </c>
      <c r="AE72">
        <f t="shared" si="101"/>
        <v>65250</v>
      </c>
      <c r="AF72">
        <v>10440</v>
      </c>
      <c r="AG72">
        <f t="shared" si="102"/>
        <v>13572</v>
      </c>
      <c r="AH72" t="s">
        <v>73</v>
      </c>
      <c r="AI72" t="e">
        <f t="shared" si="103"/>
        <v>#VALUE!</v>
      </c>
      <c r="AJ72">
        <v>1980</v>
      </c>
      <c r="AK72">
        <f t="shared" si="104"/>
        <v>1049.4000000000001</v>
      </c>
      <c r="AL72">
        <v>19800</v>
      </c>
      <c r="AM72">
        <f t="shared" si="105"/>
        <v>19800</v>
      </c>
      <c r="AN72">
        <v>53000</v>
      </c>
      <c r="AO72">
        <f t="shared" si="106"/>
        <v>79500</v>
      </c>
      <c r="AP72">
        <v>8700</v>
      </c>
      <c r="AQ72">
        <f t="shared" si="107"/>
        <v>11310</v>
      </c>
      <c r="AR72" t="s">
        <v>73</v>
      </c>
      <c r="AS72" t="e">
        <f t="shared" si="108"/>
        <v>#VALUE!</v>
      </c>
      <c r="AT72">
        <v>1770</v>
      </c>
      <c r="AU72">
        <f t="shared" si="109"/>
        <v>938.1</v>
      </c>
      <c r="AV72">
        <v>15240</v>
      </c>
      <c r="AW72">
        <f t="shared" si="110"/>
        <v>15240</v>
      </c>
      <c r="AX72">
        <v>49140</v>
      </c>
      <c r="AY72">
        <f t="shared" si="111"/>
        <v>73710</v>
      </c>
      <c r="AZ72">
        <v>7200</v>
      </c>
      <c r="BA72">
        <f t="shared" si="112"/>
        <v>9360</v>
      </c>
    </row>
    <row r="73" spans="1:53" x14ac:dyDescent="0.3">
      <c r="A73" t="s">
        <v>74</v>
      </c>
      <c r="B73" t="s">
        <v>207</v>
      </c>
      <c r="C73" t="s">
        <v>208</v>
      </c>
      <c r="D73" t="s">
        <v>73</v>
      </c>
      <c r="E73" t="e">
        <f t="shared" si="88"/>
        <v>#VALUE!</v>
      </c>
      <c r="F73">
        <v>850</v>
      </c>
      <c r="G73">
        <f t="shared" si="89"/>
        <v>450.5</v>
      </c>
      <c r="H73">
        <v>5000</v>
      </c>
      <c r="I73">
        <f t="shared" si="90"/>
        <v>5000</v>
      </c>
      <c r="J73">
        <v>14790</v>
      </c>
      <c r="K73">
        <f t="shared" si="91"/>
        <v>22185</v>
      </c>
      <c r="L73">
        <v>760</v>
      </c>
      <c r="M73">
        <f t="shared" si="92"/>
        <v>988</v>
      </c>
      <c r="N73" t="s">
        <v>73</v>
      </c>
      <c r="O73" t="e">
        <f t="shared" si="93"/>
        <v>#VALUE!</v>
      </c>
      <c r="P73">
        <v>1210</v>
      </c>
      <c r="Q73">
        <f t="shared" si="94"/>
        <v>641.30000000000007</v>
      </c>
      <c r="R73">
        <v>1580</v>
      </c>
      <c r="S73">
        <f t="shared" si="95"/>
        <v>1580</v>
      </c>
      <c r="T73">
        <v>5040</v>
      </c>
      <c r="U73">
        <f t="shared" si="96"/>
        <v>7560</v>
      </c>
      <c r="V73">
        <v>1200</v>
      </c>
      <c r="W73">
        <f t="shared" ref="W73" si="116">V73*1.3</f>
        <v>1560</v>
      </c>
      <c r="X73" t="s">
        <v>73</v>
      </c>
      <c r="Y73" t="e">
        <f t="shared" si="98"/>
        <v>#VALUE!</v>
      </c>
      <c r="Z73">
        <v>2135</v>
      </c>
      <c r="AA73">
        <f t="shared" si="99"/>
        <v>1131.55</v>
      </c>
      <c r="AB73">
        <v>2160</v>
      </c>
      <c r="AC73">
        <f t="shared" si="100"/>
        <v>2160</v>
      </c>
      <c r="AD73">
        <v>6525</v>
      </c>
      <c r="AE73">
        <f t="shared" si="101"/>
        <v>9787.5</v>
      </c>
      <c r="AF73">
        <v>2400</v>
      </c>
      <c r="AG73">
        <f t="shared" si="102"/>
        <v>3120</v>
      </c>
      <c r="AH73" t="s">
        <v>73</v>
      </c>
      <c r="AI73" t="e">
        <f t="shared" si="103"/>
        <v>#VALUE!</v>
      </c>
      <c r="AJ73">
        <v>1585</v>
      </c>
      <c r="AK73">
        <f t="shared" si="104"/>
        <v>840.05000000000007</v>
      </c>
      <c r="AL73">
        <v>5200</v>
      </c>
      <c r="AM73">
        <f t="shared" si="105"/>
        <v>5200</v>
      </c>
      <c r="AN73">
        <v>21180</v>
      </c>
      <c r="AO73">
        <f t="shared" si="106"/>
        <v>31770</v>
      </c>
      <c r="AP73">
        <v>1050</v>
      </c>
      <c r="AQ73">
        <f t="shared" si="107"/>
        <v>1365</v>
      </c>
      <c r="AR73" t="s">
        <v>73</v>
      </c>
      <c r="AS73" t="e">
        <f t="shared" si="108"/>
        <v>#VALUE!</v>
      </c>
      <c r="AT73">
        <v>1845</v>
      </c>
      <c r="AU73">
        <f t="shared" si="109"/>
        <v>977.85</v>
      </c>
      <c r="AV73">
        <v>3840</v>
      </c>
      <c r="AW73">
        <f t="shared" si="110"/>
        <v>3840</v>
      </c>
      <c r="AX73">
        <v>13980</v>
      </c>
      <c r="AY73">
        <f t="shared" si="111"/>
        <v>20970</v>
      </c>
      <c r="AZ73">
        <v>2700</v>
      </c>
      <c r="BA73">
        <f t="shared" si="112"/>
        <v>3510</v>
      </c>
    </row>
    <row r="74" spans="1:53" x14ac:dyDescent="0.3">
      <c r="A74" t="s">
        <v>74</v>
      </c>
      <c r="B74" t="s">
        <v>209</v>
      </c>
      <c r="C74" t="s">
        <v>210</v>
      </c>
      <c r="D74" t="s">
        <v>73</v>
      </c>
      <c r="E74" t="e">
        <f t="shared" si="88"/>
        <v>#VALUE!</v>
      </c>
      <c r="F74">
        <v>4380</v>
      </c>
      <c r="G74">
        <f t="shared" si="89"/>
        <v>2321.4</v>
      </c>
      <c r="H74">
        <v>20400</v>
      </c>
      <c r="I74">
        <f t="shared" si="90"/>
        <v>20400</v>
      </c>
      <c r="J74">
        <v>40020</v>
      </c>
      <c r="K74">
        <f t="shared" si="91"/>
        <v>60030</v>
      </c>
      <c r="L74">
        <v>1540</v>
      </c>
      <c r="M74">
        <f t="shared" si="92"/>
        <v>2002</v>
      </c>
      <c r="N74" t="s">
        <v>73</v>
      </c>
      <c r="O74" t="e">
        <f t="shared" si="93"/>
        <v>#VALUE!</v>
      </c>
      <c r="P74">
        <v>3391</v>
      </c>
      <c r="Q74">
        <f t="shared" si="94"/>
        <v>1797.23</v>
      </c>
      <c r="R74">
        <v>5250</v>
      </c>
      <c r="S74">
        <f t="shared" si="95"/>
        <v>5250</v>
      </c>
      <c r="T74">
        <v>35880</v>
      </c>
      <c r="U74">
        <f t="shared" si="96"/>
        <v>53820</v>
      </c>
      <c r="V74">
        <v>980</v>
      </c>
      <c r="W74">
        <f t="shared" ref="W74" si="117">V74*1.3</f>
        <v>1274</v>
      </c>
      <c r="X74" t="s">
        <v>73</v>
      </c>
      <c r="Y74" t="e">
        <f t="shared" si="98"/>
        <v>#VALUE!</v>
      </c>
      <c r="Z74">
        <v>2760</v>
      </c>
      <c r="AA74">
        <f t="shared" si="99"/>
        <v>1462.8000000000002</v>
      </c>
      <c r="AB74">
        <v>13350</v>
      </c>
      <c r="AC74">
        <f t="shared" si="100"/>
        <v>13350</v>
      </c>
      <c r="AD74">
        <v>18990</v>
      </c>
      <c r="AE74">
        <f t="shared" si="101"/>
        <v>28485</v>
      </c>
      <c r="AF74">
        <v>3600</v>
      </c>
      <c r="AG74">
        <f t="shared" si="102"/>
        <v>4680</v>
      </c>
      <c r="AH74" t="s">
        <v>73</v>
      </c>
      <c r="AI74" t="e">
        <f t="shared" si="103"/>
        <v>#VALUE!</v>
      </c>
      <c r="AJ74">
        <v>5040</v>
      </c>
      <c r="AK74">
        <f t="shared" si="104"/>
        <v>2671.2000000000003</v>
      </c>
      <c r="AL74">
        <v>16080</v>
      </c>
      <c r="AM74">
        <f t="shared" si="105"/>
        <v>16080</v>
      </c>
      <c r="AN74">
        <v>34260</v>
      </c>
      <c r="AO74">
        <f t="shared" si="106"/>
        <v>51390</v>
      </c>
      <c r="AP74">
        <v>4050</v>
      </c>
      <c r="AQ74">
        <f t="shared" si="107"/>
        <v>5265</v>
      </c>
      <c r="AR74" t="s">
        <v>73</v>
      </c>
      <c r="AS74" t="e">
        <f t="shared" si="108"/>
        <v>#VALUE!</v>
      </c>
      <c r="AT74">
        <v>1650</v>
      </c>
      <c r="AU74">
        <f t="shared" si="109"/>
        <v>874.5</v>
      </c>
      <c r="AV74">
        <v>13740</v>
      </c>
      <c r="AW74">
        <f t="shared" si="110"/>
        <v>13740</v>
      </c>
      <c r="AX74">
        <v>36630</v>
      </c>
      <c r="AY74">
        <f t="shared" si="111"/>
        <v>54945</v>
      </c>
      <c r="AZ74">
        <v>3600</v>
      </c>
      <c r="BA74">
        <f t="shared" si="112"/>
        <v>4680</v>
      </c>
    </row>
    <row r="75" spans="1:53" x14ac:dyDescent="0.3">
      <c r="A75" t="s">
        <v>74</v>
      </c>
      <c r="B75" t="s">
        <v>211</v>
      </c>
      <c r="C75" t="s">
        <v>212</v>
      </c>
      <c r="D75" t="s">
        <v>73</v>
      </c>
      <c r="E75" t="e">
        <f t="shared" si="88"/>
        <v>#VALUE!</v>
      </c>
      <c r="F75">
        <v>309</v>
      </c>
      <c r="G75">
        <f t="shared" si="89"/>
        <v>163.77000000000001</v>
      </c>
      <c r="H75">
        <v>7200</v>
      </c>
      <c r="I75">
        <f t="shared" si="90"/>
        <v>7200</v>
      </c>
      <c r="J75">
        <v>8310</v>
      </c>
      <c r="K75">
        <f t="shared" si="91"/>
        <v>12465</v>
      </c>
      <c r="L75">
        <v>33</v>
      </c>
      <c r="M75">
        <f t="shared" si="92"/>
        <v>42.9</v>
      </c>
      <c r="N75" t="s">
        <v>73</v>
      </c>
      <c r="O75" t="e">
        <f t="shared" si="93"/>
        <v>#VALUE!</v>
      </c>
      <c r="P75">
        <v>114</v>
      </c>
      <c r="Q75">
        <f t="shared" si="94"/>
        <v>60.42</v>
      </c>
      <c r="R75">
        <v>3240</v>
      </c>
      <c r="S75">
        <f t="shared" si="95"/>
        <v>3240</v>
      </c>
      <c r="T75">
        <v>3696</v>
      </c>
      <c r="U75">
        <f t="shared" si="96"/>
        <v>5544</v>
      </c>
      <c r="V75">
        <v>810</v>
      </c>
      <c r="W75">
        <f t="shared" ref="W75" si="118">V75*1.3</f>
        <v>1053</v>
      </c>
      <c r="X75" t="s">
        <v>73</v>
      </c>
      <c r="Y75" t="e">
        <f t="shared" si="98"/>
        <v>#VALUE!</v>
      </c>
      <c r="Z75">
        <v>350</v>
      </c>
      <c r="AA75">
        <f t="shared" si="99"/>
        <v>185.5</v>
      </c>
      <c r="AB75">
        <v>3780</v>
      </c>
      <c r="AC75">
        <f t="shared" si="100"/>
        <v>3780</v>
      </c>
      <c r="AD75">
        <v>4056</v>
      </c>
      <c r="AE75">
        <f t="shared" si="101"/>
        <v>6084</v>
      </c>
      <c r="AF75">
        <v>880</v>
      </c>
      <c r="AG75">
        <f t="shared" si="102"/>
        <v>1144</v>
      </c>
      <c r="AH75" t="s">
        <v>73</v>
      </c>
      <c r="AI75" t="e">
        <f t="shared" si="103"/>
        <v>#VALUE!</v>
      </c>
      <c r="AJ75">
        <v>170</v>
      </c>
      <c r="AK75">
        <f t="shared" si="104"/>
        <v>90.100000000000009</v>
      </c>
      <c r="AL75">
        <v>4640</v>
      </c>
      <c r="AM75">
        <f t="shared" si="105"/>
        <v>4640</v>
      </c>
      <c r="AN75">
        <v>10180</v>
      </c>
      <c r="AO75">
        <f t="shared" si="106"/>
        <v>15270</v>
      </c>
      <c r="AP75">
        <v>480</v>
      </c>
      <c r="AQ75">
        <f t="shared" si="107"/>
        <v>624</v>
      </c>
      <c r="AR75" t="s">
        <v>73</v>
      </c>
      <c r="AS75" t="e">
        <f t="shared" si="108"/>
        <v>#VALUE!</v>
      </c>
      <c r="AT75">
        <v>381</v>
      </c>
      <c r="AU75">
        <f t="shared" si="109"/>
        <v>201.93</v>
      </c>
      <c r="AV75">
        <v>2340</v>
      </c>
      <c r="AW75">
        <f t="shared" si="110"/>
        <v>2340</v>
      </c>
      <c r="AX75">
        <v>7020</v>
      </c>
      <c r="AY75">
        <f t="shared" si="111"/>
        <v>10530</v>
      </c>
      <c r="AZ75">
        <v>480</v>
      </c>
      <c r="BA75">
        <f t="shared" si="112"/>
        <v>624</v>
      </c>
    </row>
    <row r="76" spans="1:53" x14ac:dyDescent="0.3">
      <c r="A76" t="s">
        <v>74</v>
      </c>
      <c r="B76" t="s">
        <v>213</v>
      </c>
      <c r="C76" t="s">
        <v>214</v>
      </c>
      <c r="D76" t="s">
        <v>73</v>
      </c>
      <c r="E76" t="e">
        <f t="shared" si="88"/>
        <v>#VALUE!</v>
      </c>
      <c r="F76">
        <v>463</v>
      </c>
      <c r="G76">
        <f t="shared" si="89"/>
        <v>245.39000000000001</v>
      </c>
      <c r="H76">
        <v>7200</v>
      </c>
      <c r="I76">
        <f t="shared" si="90"/>
        <v>7200</v>
      </c>
      <c r="J76">
        <v>8640</v>
      </c>
      <c r="K76">
        <f t="shared" si="91"/>
        <v>12960</v>
      </c>
      <c r="L76">
        <v>1350</v>
      </c>
      <c r="M76">
        <f t="shared" si="92"/>
        <v>1755</v>
      </c>
      <c r="N76" t="s">
        <v>73</v>
      </c>
      <c r="O76" t="e">
        <f t="shared" si="93"/>
        <v>#VALUE!</v>
      </c>
      <c r="P76">
        <v>378</v>
      </c>
      <c r="Q76">
        <f t="shared" si="94"/>
        <v>200.34</v>
      </c>
      <c r="R76">
        <v>3780</v>
      </c>
      <c r="S76">
        <f t="shared" si="95"/>
        <v>3780</v>
      </c>
      <c r="T76">
        <v>5400</v>
      </c>
      <c r="U76">
        <f t="shared" si="96"/>
        <v>8100</v>
      </c>
      <c r="V76">
        <v>1500</v>
      </c>
      <c r="W76">
        <f t="shared" ref="W76" si="119">V76*1.3</f>
        <v>1950</v>
      </c>
      <c r="X76" t="s">
        <v>73</v>
      </c>
      <c r="Y76" t="e">
        <f t="shared" si="98"/>
        <v>#VALUE!</v>
      </c>
      <c r="Z76">
        <v>540</v>
      </c>
      <c r="AA76">
        <f t="shared" si="99"/>
        <v>286.2</v>
      </c>
      <c r="AB76">
        <v>5040</v>
      </c>
      <c r="AC76">
        <f t="shared" si="100"/>
        <v>5040</v>
      </c>
      <c r="AD76">
        <v>5760</v>
      </c>
      <c r="AE76">
        <f t="shared" si="101"/>
        <v>8640</v>
      </c>
      <c r="AF76">
        <v>2340</v>
      </c>
      <c r="AG76">
        <f t="shared" si="102"/>
        <v>3042</v>
      </c>
      <c r="AH76" t="s">
        <v>73</v>
      </c>
      <c r="AI76" t="e">
        <f t="shared" si="103"/>
        <v>#VALUE!</v>
      </c>
      <c r="AJ76">
        <v>240</v>
      </c>
      <c r="AK76">
        <f t="shared" si="104"/>
        <v>127.2</v>
      </c>
      <c r="AL76">
        <v>8820</v>
      </c>
      <c r="AM76">
        <f t="shared" si="105"/>
        <v>8820</v>
      </c>
      <c r="AN76">
        <v>10800</v>
      </c>
      <c r="AO76">
        <f t="shared" si="106"/>
        <v>16200</v>
      </c>
      <c r="AP76">
        <v>1560</v>
      </c>
      <c r="AQ76">
        <f t="shared" si="107"/>
        <v>2028</v>
      </c>
      <c r="AR76" t="s">
        <v>73</v>
      </c>
      <c r="AS76" t="e">
        <f t="shared" si="108"/>
        <v>#VALUE!</v>
      </c>
      <c r="AT76">
        <v>588</v>
      </c>
      <c r="AU76">
        <f t="shared" si="109"/>
        <v>311.64000000000004</v>
      </c>
      <c r="AV76">
        <v>8640</v>
      </c>
      <c r="AW76">
        <f t="shared" si="110"/>
        <v>8640</v>
      </c>
      <c r="AX76">
        <v>10080</v>
      </c>
      <c r="AY76">
        <f t="shared" si="111"/>
        <v>15120</v>
      </c>
      <c r="AZ76">
        <v>1950</v>
      </c>
      <c r="BA76">
        <f t="shared" si="112"/>
        <v>2535</v>
      </c>
    </row>
    <row r="77" spans="1:53" x14ac:dyDescent="0.3">
      <c r="A77" t="s">
        <v>74</v>
      </c>
      <c r="B77" t="s">
        <v>215</v>
      </c>
      <c r="C77" t="s">
        <v>216</v>
      </c>
      <c r="D77" t="s">
        <v>73</v>
      </c>
      <c r="E77" t="e">
        <f t="shared" si="88"/>
        <v>#VALUE!</v>
      </c>
      <c r="F77">
        <v>102</v>
      </c>
      <c r="G77">
        <f t="shared" si="89"/>
        <v>54.06</v>
      </c>
      <c r="H77">
        <v>4500</v>
      </c>
      <c r="I77">
        <f t="shared" si="90"/>
        <v>4500</v>
      </c>
      <c r="J77">
        <v>3000</v>
      </c>
      <c r="K77">
        <f t="shared" si="91"/>
        <v>4500</v>
      </c>
      <c r="L77" t="s">
        <v>73</v>
      </c>
      <c r="M77" t="e">
        <f t="shared" si="92"/>
        <v>#VALUE!</v>
      </c>
      <c r="N77" t="s">
        <v>73</v>
      </c>
      <c r="O77" t="e">
        <f t="shared" si="93"/>
        <v>#VALUE!</v>
      </c>
      <c r="P77">
        <v>47</v>
      </c>
      <c r="Q77">
        <f t="shared" si="94"/>
        <v>24.91</v>
      </c>
      <c r="R77">
        <v>1200</v>
      </c>
      <c r="S77">
        <f t="shared" si="95"/>
        <v>1200</v>
      </c>
      <c r="T77">
        <v>2400</v>
      </c>
      <c r="U77">
        <f t="shared" si="96"/>
        <v>3600</v>
      </c>
      <c r="V77">
        <v>150</v>
      </c>
      <c r="W77">
        <f t="shared" ref="W77" si="120">V77*1.3</f>
        <v>195</v>
      </c>
      <c r="X77" t="s">
        <v>73</v>
      </c>
      <c r="Y77" t="e">
        <f t="shared" si="98"/>
        <v>#VALUE!</v>
      </c>
      <c r="Z77">
        <v>162</v>
      </c>
      <c r="AA77">
        <f t="shared" si="99"/>
        <v>85.86</v>
      </c>
      <c r="AB77">
        <v>1920</v>
      </c>
      <c r="AC77">
        <f t="shared" si="100"/>
        <v>1920</v>
      </c>
      <c r="AD77">
        <v>1440</v>
      </c>
      <c r="AE77">
        <f t="shared" si="101"/>
        <v>2160</v>
      </c>
      <c r="AF77">
        <v>495</v>
      </c>
      <c r="AG77">
        <f t="shared" si="102"/>
        <v>643.5</v>
      </c>
      <c r="AH77" t="s">
        <v>73</v>
      </c>
      <c r="AI77" t="e">
        <f t="shared" si="103"/>
        <v>#VALUE!</v>
      </c>
      <c r="AJ77">
        <v>189</v>
      </c>
      <c r="AK77">
        <f t="shared" si="104"/>
        <v>100.17</v>
      </c>
      <c r="AL77">
        <v>4300</v>
      </c>
      <c r="AM77">
        <f t="shared" si="105"/>
        <v>4300</v>
      </c>
      <c r="AN77">
        <v>2800</v>
      </c>
      <c r="AO77">
        <f t="shared" si="106"/>
        <v>4200</v>
      </c>
      <c r="AP77">
        <v>360</v>
      </c>
      <c r="AQ77">
        <f t="shared" si="107"/>
        <v>468</v>
      </c>
      <c r="AR77" t="s">
        <v>73</v>
      </c>
      <c r="AS77" t="e">
        <f t="shared" si="108"/>
        <v>#VALUE!</v>
      </c>
      <c r="AT77">
        <v>161</v>
      </c>
      <c r="AU77">
        <f t="shared" si="109"/>
        <v>85.33</v>
      </c>
      <c r="AV77">
        <v>3060</v>
      </c>
      <c r="AW77">
        <f t="shared" si="110"/>
        <v>3060</v>
      </c>
      <c r="AX77">
        <v>2790</v>
      </c>
      <c r="AY77">
        <f t="shared" si="111"/>
        <v>4185</v>
      </c>
      <c r="AZ77">
        <v>405</v>
      </c>
      <c r="BA77">
        <f t="shared" si="112"/>
        <v>526.5</v>
      </c>
    </row>
    <row r="78" spans="1:53" x14ac:dyDescent="0.3">
      <c r="A78" t="s">
        <v>74</v>
      </c>
      <c r="B78" t="s">
        <v>217</v>
      </c>
      <c r="C78" t="s">
        <v>218</v>
      </c>
      <c r="D78" t="s">
        <v>73</v>
      </c>
      <c r="E78" t="e">
        <f t="shared" si="88"/>
        <v>#VALUE!</v>
      </c>
      <c r="F78">
        <v>3748</v>
      </c>
      <c r="G78">
        <f t="shared" si="89"/>
        <v>1986.44</v>
      </c>
      <c r="H78">
        <v>21660</v>
      </c>
      <c r="I78">
        <f t="shared" si="90"/>
        <v>21660</v>
      </c>
      <c r="J78">
        <v>42000</v>
      </c>
      <c r="K78">
        <f t="shared" si="91"/>
        <v>63000</v>
      </c>
      <c r="L78">
        <v>5280</v>
      </c>
      <c r="M78">
        <f t="shared" si="92"/>
        <v>6864</v>
      </c>
      <c r="N78" t="s">
        <v>73</v>
      </c>
      <c r="O78" t="e">
        <f t="shared" si="93"/>
        <v>#VALUE!</v>
      </c>
      <c r="P78">
        <v>4032</v>
      </c>
      <c r="Q78">
        <f t="shared" si="94"/>
        <v>2136.96</v>
      </c>
      <c r="R78">
        <v>16000</v>
      </c>
      <c r="S78">
        <f t="shared" si="95"/>
        <v>16000</v>
      </c>
      <c r="T78">
        <v>36600</v>
      </c>
      <c r="U78">
        <f t="shared" si="96"/>
        <v>54900</v>
      </c>
      <c r="V78">
        <v>6600</v>
      </c>
      <c r="W78">
        <f t="shared" ref="W78" si="121">V78*1.3</f>
        <v>8580</v>
      </c>
      <c r="X78" t="s">
        <v>73</v>
      </c>
      <c r="Y78" t="e">
        <f t="shared" si="98"/>
        <v>#VALUE!</v>
      </c>
      <c r="Z78">
        <v>5472</v>
      </c>
      <c r="AA78">
        <f t="shared" si="99"/>
        <v>2900.1600000000003</v>
      </c>
      <c r="AB78">
        <v>27570</v>
      </c>
      <c r="AC78">
        <f t="shared" si="100"/>
        <v>27570</v>
      </c>
      <c r="AD78">
        <v>34224</v>
      </c>
      <c r="AE78">
        <f t="shared" si="101"/>
        <v>51336</v>
      </c>
      <c r="AF78">
        <v>7000</v>
      </c>
      <c r="AG78">
        <f t="shared" si="102"/>
        <v>9100</v>
      </c>
      <c r="AH78" t="s">
        <v>73</v>
      </c>
      <c r="AI78" t="e">
        <f t="shared" si="103"/>
        <v>#VALUE!</v>
      </c>
      <c r="AJ78">
        <v>4350</v>
      </c>
      <c r="AK78">
        <f t="shared" si="104"/>
        <v>2305.5</v>
      </c>
      <c r="AL78">
        <v>20100</v>
      </c>
      <c r="AM78">
        <f t="shared" si="105"/>
        <v>20100</v>
      </c>
      <c r="AN78">
        <v>39060</v>
      </c>
      <c r="AO78">
        <f t="shared" si="106"/>
        <v>58590</v>
      </c>
      <c r="AP78">
        <v>5040</v>
      </c>
      <c r="AQ78">
        <f t="shared" si="107"/>
        <v>6552</v>
      </c>
      <c r="AR78" t="s">
        <v>73</v>
      </c>
      <c r="AS78" t="e">
        <f t="shared" si="108"/>
        <v>#VALUE!</v>
      </c>
      <c r="AT78">
        <v>5640</v>
      </c>
      <c r="AU78">
        <f t="shared" si="109"/>
        <v>2989.2000000000003</v>
      </c>
      <c r="AV78">
        <v>17100</v>
      </c>
      <c r="AW78">
        <f t="shared" si="110"/>
        <v>17100</v>
      </c>
      <c r="AX78">
        <v>39180</v>
      </c>
      <c r="AY78">
        <f t="shared" si="111"/>
        <v>58770</v>
      </c>
      <c r="AZ78">
        <v>7020</v>
      </c>
      <c r="BA78">
        <f t="shared" si="112"/>
        <v>9126</v>
      </c>
    </row>
    <row r="79" spans="1:53" x14ac:dyDescent="0.3">
      <c r="A79" t="s">
        <v>74</v>
      </c>
      <c r="B79" t="s">
        <v>219</v>
      </c>
      <c r="C79" t="s">
        <v>220</v>
      </c>
      <c r="D79" t="s">
        <v>73</v>
      </c>
      <c r="E79" t="e">
        <f t="shared" si="88"/>
        <v>#VALUE!</v>
      </c>
      <c r="F79">
        <v>160</v>
      </c>
      <c r="G79">
        <f t="shared" si="89"/>
        <v>84.800000000000011</v>
      </c>
      <c r="H79">
        <v>15120</v>
      </c>
      <c r="I79">
        <f t="shared" si="90"/>
        <v>15120</v>
      </c>
      <c r="J79">
        <v>22620</v>
      </c>
      <c r="K79">
        <f t="shared" si="91"/>
        <v>33930</v>
      </c>
      <c r="L79" t="s">
        <v>73</v>
      </c>
      <c r="M79" t="e">
        <f t="shared" si="92"/>
        <v>#VALUE!</v>
      </c>
      <c r="N79" t="s">
        <v>73</v>
      </c>
      <c r="O79" t="e">
        <f t="shared" si="93"/>
        <v>#VALUE!</v>
      </c>
      <c r="P79">
        <v>98</v>
      </c>
      <c r="Q79">
        <f t="shared" si="94"/>
        <v>51.940000000000005</v>
      </c>
      <c r="R79">
        <v>10800</v>
      </c>
      <c r="S79">
        <f t="shared" si="95"/>
        <v>10800</v>
      </c>
      <c r="T79">
        <v>23000</v>
      </c>
      <c r="U79">
        <f t="shared" si="96"/>
        <v>34500</v>
      </c>
      <c r="V79">
        <v>600</v>
      </c>
      <c r="W79">
        <f t="shared" ref="W79" si="122">V79*1.3</f>
        <v>780</v>
      </c>
      <c r="X79" t="s">
        <v>73</v>
      </c>
      <c r="Y79" t="e">
        <f t="shared" si="98"/>
        <v>#VALUE!</v>
      </c>
      <c r="Z79">
        <v>108</v>
      </c>
      <c r="AA79">
        <f t="shared" si="99"/>
        <v>57.24</v>
      </c>
      <c r="AB79">
        <v>7800</v>
      </c>
      <c r="AC79">
        <f t="shared" si="100"/>
        <v>7800</v>
      </c>
      <c r="AD79">
        <v>20400</v>
      </c>
      <c r="AE79">
        <f t="shared" si="101"/>
        <v>30600</v>
      </c>
      <c r="AF79">
        <v>1600</v>
      </c>
      <c r="AG79">
        <f t="shared" si="102"/>
        <v>2080</v>
      </c>
      <c r="AH79" t="s">
        <v>73</v>
      </c>
      <c r="AI79" t="e">
        <f t="shared" si="103"/>
        <v>#VALUE!</v>
      </c>
      <c r="AJ79">
        <v>84</v>
      </c>
      <c r="AK79">
        <f t="shared" si="104"/>
        <v>44.52</v>
      </c>
      <c r="AL79">
        <v>7800</v>
      </c>
      <c r="AM79">
        <f t="shared" si="105"/>
        <v>7800</v>
      </c>
      <c r="AN79">
        <v>28800</v>
      </c>
      <c r="AO79">
        <f t="shared" si="106"/>
        <v>43200</v>
      </c>
      <c r="AP79">
        <v>1050</v>
      </c>
      <c r="AQ79">
        <f t="shared" si="107"/>
        <v>1365</v>
      </c>
      <c r="AR79" t="s">
        <v>73</v>
      </c>
      <c r="AS79" t="e">
        <f t="shared" si="108"/>
        <v>#VALUE!</v>
      </c>
      <c r="AT79">
        <v>480</v>
      </c>
      <c r="AU79">
        <f t="shared" si="109"/>
        <v>254.4</v>
      </c>
      <c r="AV79">
        <v>6720</v>
      </c>
      <c r="AW79">
        <f t="shared" si="110"/>
        <v>6720</v>
      </c>
      <c r="AX79">
        <v>29700</v>
      </c>
      <c r="AY79">
        <f t="shared" si="111"/>
        <v>44550</v>
      </c>
      <c r="AZ79">
        <v>600</v>
      </c>
      <c r="BA79">
        <f t="shared" si="112"/>
        <v>780</v>
      </c>
    </row>
    <row r="80" spans="1:53" x14ac:dyDescent="0.3">
      <c r="A80" t="s">
        <v>74</v>
      </c>
      <c r="B80" t="s">
        <v>221</v>
      </c>
      <c r="C80" t="s">
        <v>222</v>
      </c>
      <c r="D80" t="s">
        <v>73</v>
      </c>
      <c r="E80" t="e">
        <f t="shared" si="88"/>
        <v>#VALUE!</v>
      </c>
      <c r="F80">
        <v>20</v>
      </c>
      <c r="G80">
        <f t="shared" si="89"/>
        <v>10.600000000000001</v>
      </c>
      <c r="H80">
        <v>9600</v>
      </c>
      <c r="I80">
        <f t="shared" si="90"/>
        <v>9600</v>
      </c>
      <c r="J80">
        <v>20202</v>
      </c>
      <c r="K80">
        <f t="shared" si="91"/>
        <v>30303</v>
      </c>
      <c r="L80" t="s">
        <v>73</v>
      </c>
      <c r="M80" t="e">
        <f t="shared" si="92"/>
        <v>#VALUE!</v>
      </c>
      <c r="N80" t="s">
        <v>73</v>
      </c>
      <c r="O80" t="e">
        <f t="shared" si="93"/>
        <v>#VALUE!</v>
      </c>
      <c r="P80">
        <v>15</v>
      </c>
      <c r="Q80">
        <f t="shared" si="94"/>
        <v>7.95</v>
      </c>
      <c r="R80">
        <v>6600</v>
      </c>
      <c r="S80">
        <f t="shared" si="95"/>
        <v>6600</v>
      </c>
      <c r="T80">
        <v>16500</v>
      </c>
      <c r="U80">
        <f t="shared" si="96"/>
        <v>24750</v>
      </c>
      <c r="V80">
        <v>900</v>
      </c>
      <c r="W80">
        <f t="shared" ref="W80" si="123">V80*1.3</f>
        <v>1170</v>
      </c>
      <c r="X80" t="s">
        <v>73</v>
      </c>
      <c r="Y80" t="e">
        <f t="shared" si="98"/>
        <v>#VALUE!</v>
      </c>
      <c r="Z80">
        <v>18</v>
      </c>
      <c r="AA80">
        <f t="shared" si="99"/>
        <v>9.5400000000000009</v>
      </c>
      <c r="AB80">
        <v>5880</v>
      </c>
      <c r="AC80">
        <f t="shared" si="100"/>
        <v>5880</v>
      </c>
      <c r="AD80">
        <v>20670</v>
      </c>
      <c r="AE80">
        <f t="shared" si="101"/>
        <v>31005</v>
      </c>
      <c r="AF80">
        <v>990</v>
      </c>
      <c r="AG80">
        <f t="shared" si="102"/>
        <v>1287</v>
      </c>
      <c r="AH80" t="s">
        <v>73</v>
      </c>
      <c r="AI80" t="e">
        <f t="shared" si="103"/>
        <v>#VALUE!</v>
      </c>
      <c r="AJ80">
        <v>18</v>
      </c>
      <c r="AK80">
        <f t="shared" si="104"/>
        <v>9.5400000000000009</v>
      </c>
      <c r="AL80">
        <v>4500</v>
      </c>
      <c r="AM80">
        <f t="shared" si="105"/>
        <v>4500</v>
      </c>
      <c r="AN80">
        <v>23940</v>
      </c>
      <c r="AO80">
        <f t="shared" si="106"/>
        <v>35910</v>
      </c>
      <c r="AP80">
        <v>900</v>
      </c>
      <c r="AQ80">
        <f t="shared" si="107"/>
        <v>1170</v>
      </c>
      <c r="AR80" t="s">
        <v>73</v>
      </c>
      <c r="AS80" t="e">
        <f t="shared" si="108"/>
        <v>#VALUE!</v>
      </c>
      <c r="AT80">
        <v>15</v>
      </c>
      <c r="AU80">
        <f t="shared" si="109"/>
        <v>7.95</v>
      </c>
      <c r="AV80">
        <v>2880</v>
      </c>
      <c r="AW80">
        <f t="shared" si="110"/>
        <v>2880</v>
      </c>
      <c r="AX80">
        <v>21240</v>
      </c>
      <c r="AY80">
        <f t="shared" si="111"/>
        <v>31860</v>
      </c>
      <c r="AZ80">
        <v>150</v>
      </c>
      <c r="BA80">
        <f t="shared" si="112"/>
        <v>195</v>
      </c>
    </row>
    <row r="81" spans="1:53" x14ac:dyDescent="0.3">
      <c r="A81" t="s">
        <v>74</v>
      </c>
      <c r="B81" t="s">
        <v>223</v>
      </c>
      <c r="C81" t="s">
        <v>224</v>
      </c>
      <c r="D81" t="s">
        <v>73</v>
      </c>
      <c r="E81" t="e">
        <f t="shared" si="88"/>
        <v>#VALUE!</v>
      </c>
      <c r="F81">
        <v>2121</v>
      </c>
      <c r="G81">
        <f t="shared" si="89"/>
        <v>1124.1300000000001</v>
      </c>
      <c r="H81">
        <v>27000</v>
      </c>
      <c r="I81">
        <f t="shared" si="90"/>
        <v>27000</v>
      </c>
      <c r="J81">
        <v>53100</v>
      </c>
      <c r="K81">
        <f t="shared" si="91"/>
        <v>79650</v>
      </c>
      <c r="L81">
        <v>3000</v>
      </c>
      <c r="M81">
        <f t="shared" si="92"/>
        <v>3900</v>
      </c>
      <c r="N81" t="s">
        <v>73</v>
      </c>
      <c r="O81" t="e">
        <f t="shared" si="93"/>
        <v>#VALUE!</v>
      </c>
      <c r="P81">
        <v>2625</v>
      </c>
      <c r="Q81">
        <f t="shared" si="94"/>
        <v>1391.25</v>
      </c>
      <c r="R81">
        <v>17360</v>
      </c>
      <c r="S81">
        <f t="shared" si="95"/>
        <v>17360</v>
      </c>
      <c r="T81">
        <v>59520</v>
      </c>
      <c r="U81">
        <f t="shared" si="96"/>
        <v>89280</v>
      </c>
      <c r="V81">
        <v>6000</v>
      </c>
      <c r="W81">
        <f t="shared" ref="W81" si="124">V81*1.3</f>
        <v>7800</v>
      </c>
      <c r="X81" t="s">
        <v>73</v>
      </c>
      <c r="Y81" t="e">
        <f t="shared" si="98"/>
        <v>#VALUE!</v>
      </c>
      <c r="Z81">
        <v>3700</v>
      </c>
      <c r="AA81">
        <f t="shared" si="99"/>
        <v>1961</v>
      </c>
      <c r="AB81">
        <v>22320</v>
      </c>
      <c r="AC81">
        <f t="shared" si="100"/>
        <v>22320</v>
      </c>
      <c r="AD81">
        <v>35136</v>
      </c>
      <c r="AE81">
        <f t="shared" si="101"/>
        <v>52704</v>
      </c>
      <c r="AF81">
        <v>15480</v>
      </c>
      <c r="AG81">
        <f t="shared" si="102"/>
        <v>20124</v>
      </c>
      <c r="AH81" t="s">
        <v>73</v>
      </c>
      <c r="AI81" t="e">
        <f t="shared" si="103"/>
        <v>#VALUE!</v>
      </c>
      <c r="AJ81">
        <v>7230</v>
      </c>
      <c r="AK81">
        <f t="shared" si="104"/>
        <v>3831.9</v>
      </c>
      <c r="AL81">
        <v>25680</v>
      </c>
      <c r="AM81">
        <f t="shared" si="105"/>
        <v>25680</v>
      </c>
      <c r="AN81">
        <v>63100</v>
      </c>
      <c r="AO81">
        <f t="shared" si="106"/>
        <v>94650</v>
      </c>
      <c r="AP81">
        <v>10500</v>
      </c>
      <c r="AQ81">
        <f t="shared" si="107"/>
        <v>13650</v>
      </c>
      <c r="AR81" t="s">
        <v>73</v>
      </c>
      <c r="AS81" t="e">
        <f t="shared" si="108"/>
        <v>#VALUE!</v>
      </c>
      <c r="AT81">
        <v>10900</v>
      </c>
      <c r="AU81">
        <f t="shared" si="109"/>
        <v>5777</v>
      </c>
      <c r="AV81">
        <v>6660</v>
      </c>
      <c r="AW81">
        <f t="shared" si="110"/>
        <v>6660</v>
      </c>
      <c r="AX81">
        <v>55920</v>
      </c>
      <c r="AY81">
        <f t="shared" si="111"/>
        <v>83880</v>
      </c>
      <c r="AZ81">
        <v>12000</v>
      </c>
      <c r="BA81">
        <f t="shared" si="112"/>
        <v>15600</v>
      </c>
    </row>
    <row r="82" spans="1:53" x14ac:dyDescent="0.3">
      <c r="A82" t="s">
        <v>74</v>
      </c>
      <c r="B82" t="s">
        <v>225</v>
      </c>
      <c r="C82" t="s">
        <v>226</v>
      </c>
      <c r="D82" t="s">
        <v>73</v>
      </c>
      <c r="E82" t="e">
        <f t="shared" si="88"/>
        <v>#VALUE!</v>
      </c>
      <c r="F82">
        <v>90</v>
      </c>
      <c r="G82">
        <f t="shared" si="89"/>
        <v>47.7</v>
      </c>
      <c r="H82">
        <v>7200</v>
      </c>
      <c r="I82">
        <f t="shared" si="90"/>
        <v>7200</v>
      </c>
      <c r="J82">
        <v>17250</v>
      </c>
      <c r="K82">
        <f t="shared" si="91"/>
        <v>25875</v>
      </c>
      <c r="L82">
        <v>630</v>
      </c>
      <c r="M82">
        <f t="shared" si="92"/>
        <v>819</v>
      </c>
      <c r="N82" t="s">
        <v>73</v>
      </c>
      <c r="O82" t="e">
        <f t="shared" si="93"/>
        <v>#VALUE!</v>
      </c>
      <c r="P82">
        <v>80</v>
      </c>
      <c r="Q82">
        <f t="shared" si="94"/>
        <v>42.400000000000006</v>
      </c>
      <c r="R82">
        <v>6000</v>
      </c>
      <c r="S82">
        <f t="shared" si="95"/>
        <v>6000</v>
      </c>
      <c r="T82">
        <v>18975</v>
      </c>
      <c r="U82">
        <f t="shared" si="96"/>
        <v>28462.5</v>
      </c>
      <c r="V82">
        <v>1650</v>
      </c>
      <c r="W82">
        <f t="shared" ref="W82" si="125">V82*1.3</f>
        <v>2145</v>
      </c>
      <c r="X82" t="s">
        <v>73</v>
      </c>
      <c r="Y82" t="e">
        <f t="shared" si="98"/>
        <v>#VALUE!</v>
      </c>
      <c r="Z82">
        <v>80</v>
      </c>
      <c r="AA82">
        <f t="shared" si="99"/>
        <v>42.400000000000006</v>
      </c>
      <c r="AB82">
        <v>5850</v>
      </c>
      <c r="AC82">
        <f t="shared" si="100"/>
        <v>5850</v>
      </c>
      <c r="AD82">
        <v>17400</v>
      </c>
      <c r="AE82">
        <f t="shared" si="101"/>
        <v>26100</v>
      </c>
      <c r="AF82">
        <v>2100</v>
      </c>
      <c r="AG82">
        <f t="shared" si="102"/>
        <v>2730</v>
      </c>
      <c r="AH82" t="s">
        <v>73</v>
      </c>
      <c r="AI82" t="e">
        <f t="shared" si="103"/>
        <v>#VALUE!</v>
      </c>
      <c r="AJ82">
        <v>90</v>
      </c>
      <c r="AK82">
        <f t="shared" si="104"/>
        <v>47.7</v>
      </c>
      <c r="AL82">
        <v>6750</v>
      </c>
      <c r="AM82">
        <f t="shared" si="105"/>
        <v>6750</v>
      </c>
      <c r="AN82">
        <v>24360</v>
      </c>
      <c r="AO82">
        <f t="shared" si="106"/>
        <v>36540</v>
      </c>
      <c r="AP82">
        <v>1200</v>
      </c>
      <c r="AQ82">
        <f t="shared" si="107"/>
        <v>1560</v>
      </c>
      <c r="AR82" t="s">
        <v>73</v>
      </c>
      <c r="AS82" t="e">
        <f t="shared" si="108"/>
        <v>#VALUE!</v>
      </c>
      <c r="AT82">
        <v>84</v>
      </c>
      <c r="AU82">
        <f t="shared" si="109"/>
        <v>44.52</v>
      </c>
      <c r="AV82">
        <v>6300</v>
      </c>
      <c r="AW82">
        <f t="shared" si="110"/>
        <v>6300</v>
      </c>
      <c r="AX82">
        <v>20880</v>
      </c>
      <c r="AY82">
        <f t="shared" si="111"/>
        <v>31320</v>
      </c>
      <c r="AZ82">
        <v>990</v>
      </c>
      <c r="BA82">
        <f t="shared" si="112"/>
        <v>1287</v>
      </c>
    </row>
    <row r="83" spans="1:53" x14ac:dyDescent="0.3">
      <c r="A83" t="s">
        <v>74</v>
      </c>
      <c r="B83" t="s">
        <v>227</v>
      </c>
      <c r="C83" t="s">
        <v>228</v>
      </c>
      <c r="D83" t="s">
        <v>73</v>
      </c>
      <c r="E83" t="e">
        <f t="shared" si="88"/>
        <v>#VALUE!</v>
      </c>
      <c r="F83">
        <v>2100</v>
      </c>
      <c r="G83">
        <f t="shared" si="89"/>
        <v>1113</v>
      </c>
      <c r="H83">
        <v>33390</v>
      </c>
      <c r="I83">
        <f t="shared" si="90"/>
        <v>33390</v>
      </c>
      <c r="J83">
        <v>45942</v>
      </c>
      <c r="K83">
        <f t="shared" si="91"/>
        <v>68913</v>
      </c>
      <c r="L83">
        <v>6600</v>
      </c>
      <c r="M83">
        <f t="shared" si="92"/>
        <v>8580</v>
      </c>
      <c r="N83" t="s">
        <v>73</v>
      </c>
      <c r="O83" t="e">
        <f t="shared" si="93"/>
        <v>#VALUE!</v>
      </c>
      <c r="P83">
        <v>1725</v>
      </c>
      <c r="Q83">
        <f t="shared" si="94"/>
        <v>914.25</v>
      </c>
      <c r="R83">
        <v>20034</v>
      </c>
      <c r="S83">
        <f t="shared" si="95"/>
        <v>20034</v>
      </c>
      <c r="T83">
        <v>34782</v>
      </c>
      <c r="U83">
        <f t="shared" si="96"/>
        <v>52173</v>
      </c>
      <c r="V83">
        <v>4800</v>
      </c>
      <c r="W83">
        <f t="shared" ref="W83" si="126">V83*1.3</f>
        <v>6240</v>
      </c>
      <c r="X83" t="s">
        <v>73</v>
      </c>
      <c r="Y83" t="e">
        <f t="shared" si="98"/>
        <v>#VALUE!</v>
      </c>
      <c r="Z83">
        <v>4320</v>
      </c>
      <c r="AA83">
        <f t="shared" si="99"/>
        <v>2289.6</v>
      </c>
      <c r="AB83">
        <v>19080</v>
      </c>
      <c r="AC83">
        <f t="shared" si="100"/>
        <v>19080</v>
      </c>
      <c r="AD83">
        <v>25650</v>
      </c>
      <c r="AE83">
        <f t="shared" si="101"/>
        <v>38475</v>
      </c>
      <c r="AF83">
        <v>8640</v>
      </c>
      <c r="AG83">
        <f t="shared" si="102"/>
        <v>11232</v>
      </c>
      <c r="AH83" t="s">
        <v>73</v>
      </c>
      <c r="AI83" t="e">
        <f t="shared" si="103"/>
        <v>#VALUE!</v>
      </c>
      <c r="AJ83">
        <v>2964</v>
      </c>
      <c r="AK83">
        <f t="shared" si="104"/>
        <v>1570.92</v>
      </c>
      <c r="AL83">
        <v>28620</v>
      </c>
      <c r="AM83">
        <f t="shared" si="105"/>
        <v>28620</v>
      </c>
      <c r="AN83">
        <v>42000</v>
      </c>
      <c r="AO83">
        <f t="shared" si="106"/>
        <v>63000</v>
      </c>
      <c r="AP83">
        <v>1260</v>
      </c>
      <c r="AQ83">
        <f t="shared" si="107"/>
        <v>1638</v>
      </c>
      <c r="AR83" t="s">
        <v>73</v>
      </c>
      <c r="AS83" t="e">
        <f t="shared" si="108"/>
        <v>#VALUE!</v>
      </c>
      <c r="AT83">
        <v>4368</v>
      </c>
      <c r="AU83">
        <f t="shared" si="109"/>
        <v>2315.04</v>
      </c>
      <c r="AV83">
        <v>22500</v>
      </c>
      <c r="AW83">
        <f t="shared" si="110"/>
        <v>22500</v>
      </c>
      <c r="AX83">
        <v>42000</v>
      </c>
      <c r="AY83">
        <f t="shared" si="111"/>
        <v>63000</v>
      </c>
      <c r="AZ83">
        <v>10890</v>
      </c>
      <c r="BA83">
        <f t="shared" si="112"/>
        <v>14157</v>
      </c>
    </row>
    <row r="84" spans="1:53" x14ac:dyDescent="0.3">
      <c r="A84" t="s">
        <v>74</v>
      </c>
      <c r="B84" t="s">
        <v>229</v>
      </c>
      <c r="C84" t="s">
        <v>230</v>
      </c>
      <c r="D84" t="s">
        <v>73</v>
      </c>
      <c r="E84" t="e">
        <f t="shared" si="88"/>
        <v>#VALUE!</v>
      </c>
      <c r="F84">
        <v>1380</v>
      </c>
      <c r="G84">
        <f t="shared" si="89"/>
        <v>731.40000000000009</v>
      </c>
      <c r="H84">
        <v>10800</v>
      </c>
      <c r="I84">
        <f t="shared" si="90"/>
        <v>10800</v>
      </c>
      <c r="J84">
        <v>17976</v>
      </c>
      <c r="K84">
        <f t="shared" si="91"/>
        <v>26964</v>
      </c>
      <c r="L84">
        <v>2592</v>
      </c>
      <c r="M84">
        <f t="shared" si="92"/>
        <v>3369.6</v>
      </c>
      <c r="N84" t="s">
        <v>73</v>
      </c>
      <c r="O84" t="e">
        <f t="shared" si="93"/>
        <v>#VALUE!</v>
      </c>
      <c r="P84">
        <v>1380</v>
      </c>
      <c r="Q84">
        <f t="shared" si="94"/>
        <v>731.40000000000009</v>
      </c>
      <c r="R84">
        <v>5040</v>
      </c>
      <c r="S84">
        <f t="shared" si="95"/>
        <v>5040</v>
      </c>
      <c r="T84">
        <v>15450</v>
      </c>
      <c r="U84">
        <f t="shared" si="96"/>
        <v>23175</v>
      </c>
      <c r="V84">
        <v>3240</v>
      </c>
      <c r="W84">
        <f t="shared" ref="W84" si="127">V84*1.3</f>
        <v>4212</v>
      </c>
      <c r="X84" t="s">
        <v>73</v>
      </c>
      <c r="Y84" t="e">
        <f t="shared" si="98"/>
        <v>#VALUE!</v>
      </c>
      <c r="Z84">
        <v>1185</v>
      </c>
      <c r="AA84">
        <f t="shared" si="99"/>
        <v>628.05000000000007</v>
      </c>
      <c r="AB84">
        <v>5940</v>
      </c>
      <c r="AC84">
        <f t="shared" si="100"/>
        <v>5940</v>
      </c>
      <c r="AD84">
        <v>7830</v>
      </c>
      <c r="AE84">
        <f t="shared" si="101"/>
        <v>11745</v>
      </c>
      <c r="AF84">
        <v>4680</v>
      </c>
      <c r="AG84">
        <f t="shared" si="102"/>
        <v>6084</v>
      </c>
      <c r="AH84" t="s">
        <v>73</v>
      </c>
      <c r="AI84" t="e">
        <f t="shared" si="103"/>
        <v>#VALUE!</v>
      </c>
      <c r="AJ84">
        <v>840</v>
      </c>
      <c r="AK84">
        <f t="shared" si="104"/>
        <v>445.20000000000005</v>
      </c>
      <c r="AL84">
        <v>8580</v>
      </c>
      <c r="AM84">
        <f t="shared" si="105"/>
        <v>8580</v>
      </c>
      <c r="AN84">
        <v>16320</v>
      </c>
      <c r="AO84">
        <f t="shared" si="106"/>
        <v>24480</v>
      </c>
      <c r="AP84">
        <v>2970</v>
      </c>
      <c r="AQ84">
        <f t="shared" si="107"/>
        <v>3861</v>
      </c>
      <c r="AR84" t="s">
        <v>73</v>
      </c>
      <c r="AS84" t="e">
        <f t="shared" si="108"/>
        <v>#VALUE!</v>
      </c>
      <c r="AT84">
        <v>570</v>
      </c>
      <c r="AU84">
        <f t="shared" si="109"/>
        <v>302.10000000000002</v>
      </c>
      <c r="AV84">
        <v>10140</v>
      </c>
      <c r="AW84">
        <f t="shared" si="110"/>
        <v>10140</v>
      </c>
      <c r="AX84">
        <v>17070</v>
      </c>
      <c r="AY84">
        <f t="shared" si="111"/>
        <v>25605</v>
      </c>
      <c r="AZ84">
        <v>3960</v>
      </c>
      <c r="BA84">
        <f t="shared" si="112"/>
        <v>5148</v>
      </c>
    </row>
    <row r="85" spans="1:53" x14ac:dyDescent="0.3">
      <c r="A85" t="s">
        <v>70</v>
      </c>
      <c r="B85" t="s">
        <v>231</v>
      </c>
      <c r="C85" t="s">
        <v>232</v>
      </c>
      <c r="D85" t="s">
        <v>73</v>
      </c>
      <c r="E85" t="e">
        <f t="shared" si="88"/>
        <v>#VALUE!</v>
      </c>
      <c r="F85">
        <v>5428</v>
      </c>
      <c r="G85">
        <f t="shared" si="89"/>
        <v>2876.84</v>
      </c>
      <c r="H85">
        <v>507766</v>
      </c>
      <c r="I85">
        <f t="shared" si="90"/>
        <v>507766</v>
      </c>
      <c r="J85">
        <v>151532</v>
      </c>
      <c r="K85">
        <f t="shared" si="91"/>
        <v>227298</v>
      </c>
      <c r="L85">
        <v>8991</v>
      </c>
      <c r="M85">
        <f t="shared" si="92"/>
        <v>11688.300000000001</v>
      </c>
      <c r="N85" t="s">
        <v>73</v>
      </c>
      <c r="O85" t="e">
        <f t="shared" si="93"/>
        <v>#VALUE!</v>
      </c>
      <c r="P85">
        <v>5911</v>
      </c>
      <c r="Q85">
        <f t="shared" si="94"/>
        <v>3132.8300000000004</v>
      </c>
      <c r="R85">
        <v>374299</v>
      </c>
      <c r="S85">
        <f t="shared" si="95"/>
        <v>374299</v>
      </c>
      <c r="T85">
        <v>160752</v>
      </c>
      <c r="U85">
        <f t="shared" si="96"/>
        <v>241128</v>
      </c>
      <c r="V85">
        <v>18864</v>
      </c>
      <c r="W85">
        <f t="shared" ref="W85" si="128">V85*1.3</f>
        <v>24523.200000000001</v>
      </c>
      <c r="X85" t="s">
        <v>73</v>
      </c>
      <c r="Y85" t="e">
        <f t="shared" si="98"/>
        <v>#VALUE!</v>
      </c>
      <c r="Z85">
        <v>5389</v>
      </c>
      <c r="AA85">
        <f t="shared" si="99"/>
        <v>2856.17</v>
      </c>
      <c r="AB85">
        <v>424066</v>
      </c>
      <c r="AC85">
        <f t="shared" si="100"/>
        <v>424066</v>
      </c>
      <c r="AD85">
        <v>192658</v>
      </c>
      <c r="AE85">
        <f t="shared" si="101"/>
        <v>288987</v>
      </c>
      <c r="AF85">
        <v>33004</v>
      </c>
      <c r="AG85">
        <f t="shared" si="102"/>
        <v>42905.200000000004</v>
      </c>
      <c r="AH85" t="s">
        <v>73</v>
      </c>
      <c r="AI85" t="e">
        <f t="shared" si="103"/>
        <v>#VALUE!</v>
      </c>
      <c r="AJ85">
        <v>6565</v>
      </c>
      <c r="AK85">
        <f t="shared" si="104"/>
        <v>3479.4500000000003</v>
      </c>
      <c r="AL85">
        <v>490048</v>
      </c>
      <c r="AM85">
        <f t="shared" si="105"/>
        <v>490048</v>
      </c>
      <c r="AN85">
        <v>230181</v>
      </c>
      <c r="AO85">
        <f t="shared" si="106"/>
        <v>345271.5</v>
      </c>
      <c r="AP85">
        <v>23107</v>
      </c>
      <c r="AQ85">
        <f t="shared" si="107"/>
        <v>30039.100000000002</v>
      </c>
      <c r="AR85" t="s">
        <v>73</v>
      </c>
      <c r="AS85" t="e">
        <f t="shared" si="108"/>
        <v>#VALUE!</v>
      </c>
      <c r="AT85">
        <v>4791</v>
      </c>
      <c r="AU85">
        <f t="shared" si="109"/>
        <v>2539.23</v>
      </c>
      <c r="AV85">
        <v>337599</v>
      </c>
      <c r="AW85">
        <f t="shared" si="110"/>
        <v>337599</v>
      </c>
      <c r="AX85">
        <v>220106</v>
      </c>
      <c r="AY85">
        <f t="shared" si="111"/>
        <v>330159</v>
      </c>
      <c r="AZ85">
        <v>28968</v>
      </c>
      <c r="BA85">
        <f t="shared" si="112"/>
        <v>37658.400000000001</v>
      </c>
    </row>
    <row r="86" spans="1:53" x14ac:dyDescent="0.3">
      <c r="A86" t="s">
        <v>74</v>
      </c>
      <c r="B86" t="s">
        <v>233</v>
      </c>
      <c r="C86" t="s">
        <v>234</v>
      </c>
      <c r="D86" t="s">
        <v>73</v>
      </c>
      <c r="E86" t="e">
        <f t="shared" si="88"/>
        <v>#VALUE!</v>
      </c>
      <c r="F86">
        <v>90</v>
      </c>
      <c r="G86">
        <f t="shared" si="89"/>
        <v>47.7</v>
      </c>
      <c r="H86">
        <v>49560</v>
      </c>
      <c r="I86">
        <f t="shared" si="90"/>
        <v>49560</v>
      </c>
      <c r="J86">
        <v>52938</v>
      </c>
      <c r="K86">
        <f t="shared" si="91"/>
        <v>79407</v>
      </c>
      <c r="L86" t="s">
        <v>73</v>
      </c>
      <c r="M86" t="e">
        <f t="shared" si="92"/>
        <v>#VALUE!</v>
      </c>
      <c r="N86" t="s">
        <v>73</v>
      </c>
      <c r="O86" t="e">
        <f t="shared" si="93"/>
        <v>#VALUE!</v>
      </c>
      <c r="P86">
        <v>65</v>
      </c>
      <c r="Q86">
        <f t="shared" si="94"/>
        <v>34.450000000000003</v>
      </c>
      <c r="R86">
        <v>42480</v>
      </c>
      <c r="S86">
        <f t="shared" si="95"/>
        <v>42480</v>
      </c>
      <c r="T86">
        <v>58080</v>
      </c>
      <c r="U86">
        <f t="shared" si="96"/>
        <v>87120</v>
      </c>
      <c r="V86">
        <v>800</v>
      </c>
      <c r="W86">
        <f t="shared" ref="W86" si="129">V86*1.3</f>
        <v>1040</v>
      </c>
      <c r="X86" t="s">
        <v>73</v>
      </c>
      <c r="Y86" t="e">
        <f t="shared" si="98"/>
        <v>#VALUE!</v>
      </c>
      <c r="Z86">
        <v>80</v>
      </c>
      <c r="AA86">
        <f t="shared" si="99"/>
        <v>42.400000000000006</v>
      </c>
      <c r="AB86">
        <v>37800</v>
      </c>
      <c r="AC86">
        <f t="shared" si="100"/>
        <v>37800</v>
      </c>
      <c r="AD86">
        <v>83700</v>
      </c>
      <c r="AE86">
        <f t="shared" si="101"/>
        <v>125550</v>
      </c>
      <c r="AF86">
        <v>1680</v>
      </c>
      <c r="AG86">
        <f t="shared" si="102"/>
        <v>2184</v>
      </c>
      <c r="AH86" t="s">
        <v>73</v>
      </c>
      <c r="AI86" t="e">
        <f t="shared" si="103"/>
        <v>#VALUE!</v>
      </c>
      <c r="AJ86" t="s">
        <v>73</v>
      </c>
      <c r="AK86" t="e">
        <f t="shared" si="104"/>
        <v>#VALUE!</v>
      </c>
      <c r="AL86">
        <v>36500</v>
      </c>
      <c r="AM86">
        <f t="shared" si="105"/>
        <v>36500</v>
      </c>
      <c r="AN86">
        <v>90000</v>
      </c>
      <c r="AO86">
        <f t="shared" si="106"/>
        <v>135000</v>
      </c>
      <c r="AP86">
        <v>984</v>
      </c>
      <c r="AQ86">
        <f t="shared" si="107"/>
        <v>1279.2</v>
      </c>
      <c r="AR86" t="s">
        <v>73</v>
      </c>
      <c r="AS86" t="e">
        <f t="shared" si="108"/>
        <v>#VALUE!</v>
      </c>
      <c r="AT86" t="s">
        <v>73</v>
      </c>
      <c r="AU86" t="e">
        <f t="shared" si="109"/>
        <v>#VALUE!</v>
      </c>
      <c r="AV86">
        <v>27000</v>
      </c>
      <c r="AW86">
        <f t="shared" si="110"/>
        <v>27000</v>
      </c>
      <c r="AX86">
        <v>82000</v>
      </c>
      <c r="AY86">
        <f t="shared" si="111"/>
        <v>123000</v>
      </c>
      <c r="AZ86">
        <v>840</v>
      </c>
      <c r="BA86">
        <f t="shared" si="112"/>
        <v>1092</v>
      </c>
    </row>
    <row r="87" spans="1:53" x14ac:dyDescent="0.3">
      <c r="A87" t="s">
        <v>74</v>
      </c>
      <c r="B87" t="s">
        <v>235</v>
      </c>
      <c r="C87" t="s">
        <v>236</v>
      </c>
      <c r="D87" t="s">
        <v>73</v>
      </c>
      <c r="E87" t="e">
        <f t="shared" si="88"/>
        <v>#VALUE!</v>
      </c>
      <c r="F87">
        <v>17</v>
      </c>
      <c r="G87">
        <f t="shared" si="89"/>
        <v>9.01</v>
      </c>
      <c r="H87">
        <v>12090</v>
      </c>
      <c r="I87">
        <f t="shared" si="90"/>
        <v>12090</v>
      </c>
      <c r="J87">
        <v>495</v>
      </c>
      <c r="K87">
        <f t="shared" si="91"/>
        <v>742.5</v>
      </c>
      <c r="L87">
        <v>250</v>
      </c>
      <c r="M87">
        <f t="shared" si="92"/>
        <v>325</v>
      </c>
      <c r="N87" t="s">
        <v>73</v>
      </c>
      <c r="O87" t="e">
        <f t="shared" si="93"/>
        <v>#VALUE!</v>
      </c>
      <c r="P87">
        <v>17</v>
      </c>
      <c r="Q87">
        <f t="shared" si="94"/>
        <v>9.01</v>
      </c>
      <c r="R87">
        <v>6200</v>
      </c>
      <c r="S87">
        <f t="shared" si="95"/>
        <v>6200</v>
      </c>
      <c r="T87">
        <v>495</v>
      </c>
      <c r="U87">
        <f t="shared" si="96"/>
        <v>742.5</v>
      </c>
      <c r="V87">
        <v>375</v>
      </c>
      <c r="W87">
        <f t="shared" ref="W87" si="130">V87*1.3</f>
        <v>487.5</v>
      </c>
      <c r="X87" t="s">
        <v>73</v>
      </c>
      <c r="Y87" t="e">
        <f t="shared" si="98"/>
        <v>#VALUE!</v>
      </c>
      <c r="Z87">
        <v>14</v>
      </c>
      <c r="AA87">
        <f t="shared" si="99"/>
        <v>7.42</v>
      </c>
      <c r="AB87">
        <v>10440</v>
      </c>
      <c r="AC87">
        <f t="shared" si="100"/>
        <v>10440</v>
      </c>
      <c r="AD87">
        <v>875</v>
      </c>
      <c r="AE87">
        <f t="shared" si="101"/>
        <v>1312.5</v>
      </c>
      <c r="AF87">
        <v>810</v>
      </c>
      <c r="AG87">
        <f t="shared" si="102"/>
        <v>1053</v>
      </c>
      <c r="AH87" t="s">
        <v>73</v>
      </c>
      <c r="AI87" t="e">
        <f t="shared" si="103"/>
        <v>#VALUE!</v>
      </c>
      <c r="AJ87">
        <v>29</v>
      </c>
      <c r="AK87">
        <f t="shared" si="104"/>
        <v>15.370000000000001</v>
      </c>
      <c r="AL87">
        <v>8700</v>
      </c>
      <c r="AM87">
        <f t="shared" si="105"/>
        <v>8700</v>
      </c>
      <c r="AN87">
        <v>825</v>
      </c>
      <c r="AO87">
        <f t="shared" si="106"/>
        <v>1237.5</v>
      </c>
      <c r="AP87">
        <v>459</v>
      </c>
      <c r="AQ87">
        <f t="shared" si="107"/>
        <v>596.70000000000005</v>
      </c>
      <c r="AR87" t="s">
        <v>73</v>
      </c>
      <c r="AS87" t="e">
        <f t="shared" si="108"/>
        <v>#VALUE!</v>
      </c>
      <c r="AT87">
        <v>12</v>
      </c>
      <c r="AU87">
        <f t="shared" si="109"/>
        <v>6.36</v>
      </c>
      <c r="AV87">
        <v>5220</v>
      </c>
      <c r="AW87">
        <f t="shared" si="110"/>
        <v>5220</v>
      </c>
      <c r="AX87">
        <v>825</v>
      </c>
      <c r="AY87">
        <f t="shared" si="111"/>
        <v>1237.5</v>
      </c>
      <c r="AZ87">
        <v>375</v>
      </c>
      <c r="BA87">
        <f t="shared" si="112"/>
        <v>487.5</v>
      </c>
    </row>
    <row r="88" spans="1:53" x14ac:dyDescent="0.3">
      <c r="A88" t="s">
        <v>74</v>
      </c>
      <c r="B88" t="s">
        <v>237</v>
      </c>
      <c r="C88" t="s">
        <v>238</v>
      </c>
      <c r="D88" t="s">
        <v>73</v>
      </c>
      <c r="E88" t="e">
        <f t="shared" si="88"/>
        <v>#VALUE!</v>
      </c>
      <c r="F88">
        <v>378</v>
      </c>
      <c r="G88">
        <f t="shared" si="89"/>
        <v>200.34</v>
      </c>
      <c r="H88">
        <v>24000</v>
      </c>
      <c r="I88">
        <f t="shared" si="90"/>
        <v>24000</v>
      </c>
      <c r="J88">
        <v>6600</v>
      </c>
      <c r="K88">
        <f t="shared" si="91"/>
        <v>9900</v>
      </c>
      <c r="L88">
        <v>240</v>
      </c>
      <c r="M88">
        <f t="shared" si="92"/>
        <v>312</v>
      </c>
      <c r="N88" t="s">
        <v>73</v>
      </c>
      <c r="O88" t="e">
        <f t="shared" si="93"/>
        <v>#VALUE!</v>
      </c>
      <c r="P88">
        <v>342</v>
      </c>
      <c r="Q88">
        <f t="shared" si="94"/>
        <v>181.26000000000002</v>
      </c>
      <c r="R88">
        <v>19600</v>
      </c>
      <c r="S88">
        <f t="shared" si="95"/>
        <v>19600</v>
      </c>
      <c r="T88">
        <v>7040</v>
      </c>
      <c r="U88">
        <f t="shared" si="96"/>
        <v>10560</v>
      </c>
      <c r="V88">
        <v>357</v>
      </c>
      <c r="W88">
        <f t="shared" ref="W88" si="131">V88*1.3</f>
        <v>464.1</v>
      </c>
      <c r="X88" t="s">
        <v>73</v>
      </c>
      <c r="Y88" t="e">
        <f t="shared" si="98"/>
        <v>#VALUE!</v>
      </c>
      <c r="Z88">
        <v>235</v>
      </c>
      <c r="AA88">
        <f t="shared" si="99"/>
        <v>124.55000000000001</v>
      </c>
      <c r="AB88">
        <v>13680</v>
      </c>
      <c r="AC88">
        <f t="shared" si="100"/>
        <v>13680</v>
      </c>
      <c r="AD88">
        <v>5472</v>
      </c>
      <c r="AE88">
        <f t="shared" si="101"/>
        <v>8208</v>
      </c>
      <c r="AF88">
        <v>1050</v>
      </c>
      <c r="AG88">
        <f t="shared" si="102"/>
        <v>1365</v>
      </c>
      <c r="AH88" t="s">
        <v>73</v>
      </c>
      <c r="AI88" t="e">
        <f t="shared" si="103"/>
        <v>#VALUE!</v>
      </c>
      <c r="AJ88">
        <v>324</v>
      </c>
      <c r="AK88">
        <f t="shared" si="104"/>
        <v>171.72</v>
      </c>
      <c r="AL88">
        <v>21000</v>
      </c>
      <c r="AM88">
        <f t="shared" si="105"/>
        <v>21000</v>
      </c>
      <c r="AN88">
        <v>9600</v>
      </c>
      <c r="AO88">
        <f t="shared" si="106"/>
        <v>14400</v>
      </c>
      <c r="AP88">
        <v>360</v>
      </c>
      <c r="AQ88">
        <f t="shared" si="107"/>
        <v>468</v>
      </c>
      <c r="AR88" t="s">
        <v>73</v>
      </c>
      <c r="AS88" t="e">
        <f t="shared" si="108"/>
        <v>#VALUE!</v>
      </c>
      <c r="AT88">
        <v>288</v>
      </c>
      <c r="AU88">
        <f t="shared" si="109"/>
        <v>152.64000000000001</v>
      </c>
      <c r="AV88">
        <v>19500</v>
      </c>
      <c r="AW88">
        <f t="shared" si="110"/>
        <v>19500</v>
      </c>
      <c r="AX88">
        <v>10400</v>
      </c>
      <c r="AY88">
        <f t="shared" si="111"/>
        <v>15600</v>
      </c>
      <c r="AZ88">
        <v>500</v>
      </c>
      <c r="BA88">
        <f t="shared" si="112"/>
        <v>650</v>
      </c>
    </row>
    <row r="89" spans="1:53" x14ac:dyDescent="0.3">
      <c r="A89" t="s">
        <v>74</v>
      </c>
      <c r="B89" t="s">
        <v>239</v>
      </c>
      <c r="C89" t="s">
        <v>240</v>
      </c>
      <c r="D89" t="s">
        <v>73</v>
      </c>
      <c r="E89" t="e">
        <f t="shared" si="88"/>
        <v>#VALUE!</v>
      </c>
      <c r="F89">
        <v>38</v>
      </c>
      <c r="G89">
        <f t="shared" si="89"/>
        <v>20.14</v>
      </c>
      <c r="H89">
        <v>2310</v>
      </c>
      <c r="I89">
        <f t="shared" si="90"/>
        <v>2310</v>
      </c>
      <c r="J89">
        <v>2750</v>
      </c>
      <c r="K89">
        <f t="shared" si="91"/>
        <v>4125</v>
      </c>
      <c r="L89" t="s">
        <v>73</v>
      </c>
      <c r="M89" t="e">
        <f t="shared" si="92"/>
        <v>#VALUE!</v>
      </c>
      <c r="N89" t="s">
        <v>73</v>
      </c>
      <c r="O89" t="e">
        <f t="shared" si="93"/>
        <v>#VALUE!</v>
      </c>
      <c r="P89">
        <v>58</v>
      </c>
      <c r="Q89">
        <f t="shared" si="94"/>
        <v>30.740000000000002</v>
      </c>
      <c r="R89">
        <v>2100</v>
      </c>
      <c r="S89">
        <f t="shared" si="95"/>
        <v>2100</v>
      </c>
      <c r="T89">
        <v>3300</v>
      </c>
      <c r="U89">
        <f t="shared" si="96"/>
        <v>4950</v>
      </c>
      <c r="V89">
        <v>130</v>
      </c>
      <c r="W89">
        <f t="shared" ref="W89" si="132">V89*1.3</f>
        <v>169</v>
      </c>
      <c r="X89" t="s">
        <v>73</v>
      </c>
      <c r="Y89" t="e">
        <f t="shared" si="98"/>
        <v>#VALUE!</v>
      </c>
      <c r="Z89">
        <v>91</v>
      </c>
      <c r="AA89">
        <f t="shared" si="99"/>
        <v>48.230000000000004</v>
      </c>
      <c r="AB89">
        <v>2750</v>
      </c>
      <c r="AC89">
        <f t="shared" si="100"/>
        <v>2750</v>
      </c>
      <c r="AD89">
        <v>2340</v>
      </c>
      <c r="AE89">
        <f t="shared" si="101"/>
        <v>3510</v>
      </c>
      <c r="AF89">
        <v>300</v>
      </c>
      <c r="AG89">
        <f t="shared" si="102"/>
        <v>390</v>
      </c>
      <c r="AH89" t="s">
        <v>73</v>
      </c>
      <c r="AI89" t="e">
        <f t="shared" si="103"/>
        <v>#VALUE!</v>
      </c>
      <c r="AJ89">
        <v>135</v>
      </c>
      <c r="AK89">
        <f t="shared" si="104"/>
        <v>71.55</v>
      </c>
      <c r="AL89">
        <v>5000</v>
      </c>
      <c r="AM89">
        <f t="shared" si="105"/>
        <v>5000</v>
      </c>
      <c r="AN89">
        <v>4500</v>
      </c>
      <c r="AO89">
        <f t="shared" si="106"/>
        <v>6750</v>
      </c>
      <c r="AP89">
        <v>240</v>
      </c>
      <c r="AQ89">
        <f t="shared" si="107"/>
        <v>312</v>
      </c>
      <c r="AR89" t="s">
        <v>73</v>
      </c>
      <c r="AS89" t="e">
        <f t="shared" si="108"/>
        <v>#VALUE!</v>
      </c>
      <c r="AT89">
        <v>130</v>
      </c>
      <c r="AU89">
        <f t="shared" si="109"/>
        <v>68.900000000000006</v>
      </c>
      <c r="AV89">
        <v>4800</v>
      </c>
      <c r="AW89">
        <f t="shared" si="110"/>
        <v>4800</v>
      </c>
      <c r="AX89">
        <v>4250</v>
      </c>
      <c r="AY89">
        <f t="shared" si="111"/>
        <v>6375</v>
      </c>
      <c r="AZ89">
        <v>300</v>
      </c>
      <c r="BA89">
        <f t="shared" si="112"/>
        <v>390</v>
      </c>
    </row>
    <row r="90" spans="1:53" x14ac:dyDescent="0.3">
      <c r="A90" t="s">
        <v>74</v>
      </c>
      <c r="B90" t="s">
        <v>241</v>
      </c>
      <c r="C90" t="s">
        <v>242</v>
      </c>
      <c r="D90" t="s">
        <v>73</v>
      </c>
      <c r="E90" t="e">
        <f t="shared" si="88"/>
        <v>#VALUE!</v>
      </c>
      <c r="F90">
        <v>216</v>
      </c>
      <c r="G90">
        <f t="shared" si="89"/>
        <v>114.48</v>
      </c>
      <c r="H90">
        <v>7140</v>
      </c>
      <c r="I90">
        <f t="shared" si="90"/>
        <v>7140</v>
      </c>
      <c r="J90">
        <v>13254</v>
      </c>
      <c r="K90">
        <f t="shared" si="91"/>
        <v>19881</v>
      </c>
      <c r="L90">
        <v>2480</v>
      </c>
      <c r="M90">
        <f t="shared" si="92"/>
        <v>3224</v>
      </c>
      <c r="N90" t="s">
        <v>73</v>
      </c>
      <c r="O90" t="e">
        <f t="shared" si="93"/>
        <v>#VALUE!</v>
      </c>
      <c r="P90">
        <v>588</v>
      </c>
      <c r="Q90">
        <f t="shared" si="94"/>
        <v>311.64000000000004</v>
      </c>
      <c r="R90">
        <v>5148</v>
      </c>
      <c r="S90">
        <f t="shared" si="95"/>
        <v>5148</v>
      </c>
      <c r="T90">
        <v>14946</v>
      </c>
      <c r="U90">
        <f t="shared" si="96"/>
        <v>22419</v>
      </c>
      <c r="V90">
        <v>5600</v>
      </c>
      <c r="W90">
        <f t="shared" ref="W90" si="133">V90*1.3</f>
        <v>7280</v>
      </c>
      <c r="X90" t="s">
        <v>73</v>
      </c>
      <c r="Y90" t="e">
        <f t="shared" si="98"/>
        <v>#VALUE!</v>
      </c>
      <c r="Z90">
        <v>840</v>
      </c>
      <c r="AA90">
        <f t="shared" si="99"/>
        <v>445.20000000000005</v>
      </c>
      <c r="AB90">
        <v>9300</v>
      </c>
      <c r="AC90">
        <f t="shared" si="100"/>
        <v>9300</v>
      </c>
      <c r="AD90">
        <v>18000</v>
      </c>
      <c r="AE90">
        <f t="shared" si="101"/>
        <v>27000</v>
      </c>
      <c r="AF90">
        <v>6500</v>
      </c>
      <c r="AG90">
        <f t="shared" si="102"/>
        <v>8450</v>
      </c>
      <c r="AH90" t="s">
        <v>73</v>
      </c>
      <c r="AI90" t="e">
        <f t="shared" si="103"/>
        <v>#VALUE!</v>
      </c>
      <c r="AJ90" t="s">
        <v>73</v>
      </c>
      <c r="AK90" t="e">
        <f t="shared" si="104"/>
        <v>#VALUE!</v>
      </c>
      <c r="AL90">
        <v>7590</v>
      </c>
      <c r="AM90">
        <f t="shared" si="105"/>
        <v>7590</v>
      </c>
      <c r="AN90">
        <v>21000</v>
      </c>
      <c r="AO90">
        <f t="shared" si="106"/>
        <v>31500</v>
      </c>
      <c r="AP90">
        <v>6612</v>
      </c>
      <c r="AQ90">
        <f t="shared" si="107"/>
        <v>8595.6</v>
      </c>
      <c r="AR90" t="s">
        <v>73</v>
      </c>
      <c r="AS90" t="e">
        <f t="shared" si="108"/>
        <v>#VALUE!</v>
      </c>
      <c r="AT90" t="s">
        <v>73</v>
      </c>
      <c r="AU90" t="e">
        <f t="shared" si="109"/>
        <v>#VALUE!</v>
      </c>
      <c r="AV90">
        <v>6250</v>
      </c>
      <c r="AW90">
        <f t="shared" si="110"/>
        <v>6250</v>
      </c>
      <c r="AX90">
        <v>16000</v>
      </c>
      <c r="AY90">
        <f t="shared" si="111"/>
        <v>24000</v>
      </c>
      <c r="AZ90">
        <v>7440</v>
      </c>
      <c r="BA90">
        <f t="shared" si="112"/>
        <v>9672</v>
      </c>
    </row>
    <row r="91" spans="1:53" x14ac:dyDescent="0.3">
      <c r="A91" t="s">
        <v>74</v>
      </c>
      <c r="B91" t="s">
        <v>243</v>
      </c>
      <c r="C91" t="s">
        <v>244</v>
      </c>
      <c r="D91" t="s">
        <v>73</v>
      </c>
      <c r="E91" t="e">
        <f t="shared" si="88"/>
        <v>#VALUE!</v>
      </c>
      <c r="F91" t="s">
        <v>73</v>
      </c>
      <c r="G91" t="e">
        <f t="shared" si="89"/>
        <v>#VALUE!</v>
      </c>
      <c r="H91">
        <v>4680</v>
      </c>
      <c r="I91">
        <f t="shared" si="90"/>
        <v>4680</v>
      </c>
      <c r="J91">
        <v>1200</v>
      </c>
      <c r="K91">
        <f t="shared" si="91"/>
        <v>1800</v>
      </c>
      <c r="L91" t="s">
        <v>73</v>
      </c>
      <c r="M91" t="e">
        <f t="shared" si="92"/>
        <v>#VALUE!</v>
      </c>
      <c r="N91" t="s">
        <v>73</v>
      </c>
      <c r="O91" t="e">
        <f t="shared" si="93"/>
        <v>#VALUE!</v>
      </c>
      <c r="P91" t="s">
        <v>73</v>
      </c>
      <c r="Q91" t="e">
        <f t="shared" si="94"/>
        <v>#VALUE!</v>
      </c>
      <c r="R91">
        <v>4320</v>
      </c>
      <c r="S91">
        <f t="shared" si="95"/>
        <v>4320</v>
      </c>
      <c r="T91">
        <v>1304</v>
      </c>
      <c r="U91">
        <f t="shared" si="96"/>
        <v>1956</v>
      </c>
      <c r="V91" t="s">
        <v>73</v>
      </c>
      <c r="W91" t="e">
        <f t="shared" ref="W91" si="134">V91*1.3</f>
        <v>#VALUE!</v>
      </c>
      <c r="X91" t="s">
        <v>73</v>
      </c>
      <c r="Y91" t="e">
        <f t="shared" si="98"/>
        <v>#VALUE!</v>
      </c>
      <c r="Z91" t="s">
        <v>73</v>
      </c>
      <c r="AA91" t="e">
        <f t="shared" si="99"/>
        <v>#VALUE!</v>
      </c>
      <c r="AB91">
        <v>4000</v>
      </c>
      <c r="AC91">
        <f t="shared" si="100"/>
        <v>4000</v>
      </c>
      <c r="AD91">
        <v>2200</v>
      </c>
      <c r="AE91">
        <f t="shared" si="101"/>
        <v>3300</v>
      </c>
      <c r="AF91">
        <v>1100</v>
      </c>
      <c r="AG91">
        <f t="shared" si="102"/>
        <v>1430</v>
      </c>
      <c r="AH91" t="s">
        <v>73</v>
      </c>
      <c r="AI91" t="e">
        <f t="shared" si="103"/>
        <v>#VALUE!</v>
      </c>
      <c r="AJ91" t="s">
        <v>73</v>
      </c>
      <c r="AK91" t="e">
        <f t="shared" si="104"/>
        <v>#VALUE!</v>
      </c>
      <c r="AL91">
        <v>3250</v>
      </c>
      <c r="AM91">
        <f t="shared" si="105"/>
        <v>3250</v>
      </c>
      <c r="AN91">
        <v>2400</v>
      </c>
      <c r="AO91">
        <f t="shared" si="106"/>
        <v>3600</v>
      </c>
      <c r="AP91">
        <v>999</v>
      </c>
      <c r="AQ91">
        <f t="shared" si="107"/>
        <v>1298.7</v>
      </c>
      <c r="AR91" t="s">
        <v>73</v>
      </c>
      <c r="AS91" t="e">
        <f t="shared" si="108"/>
        <v>#VALUE!</v>
      </c>
      <c r="AT91" t="s">
        <v>73</v>
      </c>
      <c r="AU91" t="e">
        <f t="shared" si="109"/>
        <v>#VALUE!</v>
      </c>
      <c r="AV91">
        <v>2050</v>
      </c>
      <c r="AW91">
        <f t="shared" si="110"/>
        <v>2050</v>
      </c>
      <c r="AX91">
        <v>2160</v>
      </c>
      <c r="AY91">
        <f t="shared" si="111"/>
        <v>3240</v>
      </c>
      <c r="AZ91">
        <v>1170</v>
      </c>
      <c r="BA91">
        <f t="shared" si="112"/>
        <v>1521</v>
      </c>
    </row>
    <row r="92" spans="1:53" x14ac:dyDescent="0.3">
      <c r="A92" t="s">
        <v>74</v>
      </c>
      <c r="B92" t="s">
        <v>245</v>
      </c>
      <c r="C92" t="s">
        <v>246</v>
      </c>
      <c r="D92" t="s">
        <v>73</v>
      </c>
      <c r="E92" t="e">
        <f t="shared" si="88"/>
        <v>#VALUE!</v>
      </c>
      <c r="F92">
        <v>9</v>
      </c>
      <c r="G92">
        <f t="shared" si="89"/>
        <v>4.7700000000000005</v>
      </c>
      <c r="H92">
        <v>10800</v>
      </c>
      <c r="I92">
        <f t="shared" si="90"/>
        <v>10800</v>
      </c>
      <c r="J92">
        <v>5400</v>
      </c>
      <c r="K92">
        <f t="shared" si="91"/>
        <v>8100</v>
      </c>
      <c r="L92">
        <v>380</v>
      </c>
      <c r="M92">
        <f t="shared" si="92"/>
        <v>494</v>
      </c>
      <c r="N92" t="s">
        <v>73</v>
      </c>
      <c r="O92" t="e">
        <f t="shared" si="93"/>
        <v>#VALUE!</v>
      </c>
      <c r="P92">
        <v>8</v>
      </c>
      <c r="Q92">
        <f t="shared" si="94"/>
        <v>4.24</v>
      </c>
      <c r="R92">
        <v>11490</v>
      </c>
      <c r="S92">
        <f t="shared" si="95"/>
        <v>11490</v>
      </c>
      <c r="T92">
        <v>5796</v>
      </c>
      <c r="U92">
        <f t="shared" si="96"/>
        <v>8694</v>
      </c>
      <c r="V92">
        <v>1230</v>
      </c>
      <c r="W92">
        <f t="shared" ref="W92" si="135">V92*1.3</f>
        <v>1599</v>
      </c>
      <c r="X92" t="s">
        <v>73</v>
      </c>
      <c r="Y92" t="e">
        <f t="shared" si="98"/>
        <v>#VALUE!</v>
      </c>
      <c r="Z92" t="s">
        <v>73</v>
      </c>
      <c r="AA92" t="e">
        <f t="shared" si="99"/>
        <v>#VALUE!</v>
      </c>
      <c r="AB92">
        <v>27000</v>
      </c>
      <c r="AC92">
        <f t="shared" si="100"/>
        <v>27000</v>
      </c>
      <c r="AD92">
        <v>7200</v>
      </c>
      <c r="AE92">
        <f t="shared" si="101"/>
        <v>10800</v>
      </c>
      <c r="AF92">
        <v>1260</v>
      </c>
      <c r="AG92">
        <f t="shared" si="102"/>
        <v>1638</v>
      </c>
      <c r="AH92" t="s">
        <v>73</v>
      </c>
      <c r="AI92" t="e">
        <f t="shared" si="103"/>
        <v>#VALUE!</v>
      </c>
      <c r="AJ92" t="s">
        <v>73</v>
      </c>
      <c r="AK92" t="e">
        <f t="shared" si="104"/>
        <v>#VALUE!</v>
      </c>
      <c r="AL92">
        <v>26730</v>
      </c>
      <c r="AM92">
        <f t="shared" si="105"/>
        <v>26730</v>
      </c>
      <c r="AN92">
        <v>10350</v>
      </c>
      <c r="AO92">
        <f t="shared" si="106"/>
        <v>15525</v>
      </c>
      <c r="AP92">
        <v>684</v>
      </c>
      <c r="AQ92">
        <f t="shared" si="107"/>
        <v>889.2</v>
      </c>
      <c r="AR92" t="s">
        <v>73</v>
      </c>
      <c r="AS92" t="e">
        <f t="shared" si="108"/>
        <v>#VALUE!</v>
      </c>
      <c r="AT92" t="s">
        <v>73</v>
      </c>
      <c r="AU92" t="e">
        <f t="shared" si="109"/>
        <v>#VALUE!</v>
      </c>
      <c r="AV92">
        <v>16000</v>
      </c>
      <c r="AW92">
        <f t="shared" si="110"/>
        <v>16000</v>
      </c>
      <c r="AX92">
        <v>9250</v>
      </c>
      <c r="AY92">
        <f t="shared" si="111"/>
        <v>13875</v>
      </c>
      <c r="AZ92">
        <v>780</v>
      </c>
      <c r="BA92">
        <f t="shared" si="112"/>
        <v>1014</v>
      </c>
    </row>
    <row r="93" spans="1:53" x14ac:dyDescent="0.3">
      <c r="A93" t="s">
        <v>74</v>
      </c>
      <c r="B93" t="s">
        <v>247</v>
      </c>
      <c r="C93" t="s">
        <v>248</v>
      </c>
      <c r="D93" t="s">
        <v>73</v>
      </c>
      <c r="E93" t="e">
        <f t="shared" si="88"/>
        <v>#VALUE!</v>
      </c>
      <c r="F93">
        <v>2550</v>
      </c>
      <c r="G93">
        <f t="shared" si="89"/>
        <v>1351.5</v>
      </c>
      <c r="H93">
        <v>56550</v>
      </c>
      <c r="I93">
        <f t="shared" si="90"/>
        <v>56550</v>
      </c>
      <c r="J93">
        <v>18150</v>
      </c>
      <c r="K93">
        <f t="shared" si="91"/>
        <v>27225</v>
      </c>
      <c r="L93">
        <v>1768</v>
      </c>
      <c r="M93">
        <f t="shared" si="92"/>
        <v>2298.4</v>
      </c>
      <c r="N93" t="s">
        <v>73</v>
      </c>
      <c r="O93" t="e">
        <f t="shared" si="93"/>
        <v>#VALUE!</v>
      </c>
      <c r="P93">
        <v>2783</v>
      </c>
      <c r="Q93">
        <f t="shared" si="94"/>
        <v>1474.99</v>
      </c>
      <c r="R93">
        <v>33150</v>
      </c>
      <c r="S93">
        <f t="shared" si="95"/>
        <v>33150</v>
      </c>
      <c r="T93">
        <v>18810</v>
      </c>
      <c r="U93">
        <f t="shared" si="96"/>
        <v>28215</v>
      </c>
      <c r="V93">
        <v>1950</v>
      </c>
      <c r="W93">
        <f t="shared" ref="W93" si="136">V93*1.3</f>
        <v>2535</v>
      </c>
      <c r="X93" t="s">
        <v>73</v>
      </c>
      <c r="Y93" t="e">
        <f t="shared" si="98"/>
        <v>#VALUE!</v>
      </c>
      <c r="Z93">
        <v>2625</v>
      </c>
      <c r="AA93">
        <f t="shared" si="99"/>
        <v>1391.25</v>
      </c>
      <c r="AB93">
        <v>44850</v>
      </c>
      <c r="AC93">
        <f t="shared" si="100"/>
        <v>44850</v>
      </c>
      <c r="AD93">
        <v>17400</v>
      </c>
      <c r="AE93">
        <f t="shared" si="101"/>
        <v>26100</v>
      </c>
      <c r="AF93">
        <v>4200</v>
      </c>
      <c r="AG93">
        <f t="shared" si="102"/>
        <v>5460</v>
      </c>
      <c r="AH93" t="s">
        <v>73</v>
      </c>
      <c r="AI93" t="e">
        <f t="shared" si="103"/>
        <v>#VALUE!</v>
      </c>
      <c r="AJ93">
        <v>4005</v>
      </c>
      <c r="AK93">
        <f t="shared" si="104"/>
        <v>2122.65</v>
      </c>
      <c r="AL93">
        <v>54600</v>
      </c>
      <c r="AM93">
        <f t="shared" si="105"/>
        <v>54600</v>
      </c>
      <c r="AN93">
        <v>19372</v>
      </c>
      <c r="AO93">
        <f t="shared" si="106"/>
        <v>29058</v>
      </c>
      <c r="AP93">
        <v>1560</v>
      </c>
      <c r="AQ93">
        <f t="shared" si="107"/>
        <v>2028</v>
      </c>
      <c r="AR93" t="s">
        <v>73</v>
      </c>
      <c r="AS93" t="e">
        <f t="shared" si="108"/>
        <v>#VALUE!</v>
      </c>
      <c r="AT93">
        <v>2460</v>
      </c>
      <c r="AU93">
        <f t="shared" si="109"/>
        <v>1303.8</v>
      </c>
      <c r="AV93">
        <v>32400</v>
      </c>
      <c r="AW93">
        <f t="shared" si="110"/>
        <v>32400</v>
      </c>
      <c r="AX93">
        <v>23040</v>
      </c>
      <c r="AY93">
        <f t="shared" si="111"/>
        <v>34560</v>
      </c>
      <c r="AZ93">
        <v>2635</v>
      </c>
      <c r="BA93">
        <f t="shared" si="112"/>
        <v>3425.5</v>
      </c>
    </row>
    <row r="94" spans="1:53" x14ac:dyDescent="0.3">
      <c r="A94" t="s">
        <v>74</v>
      </c>
      <c r="B94" t="s">
        <v>249</v>
      </c>
      <c r="C94" t="s">
        <v>250</v>
      </c>
      <c r="D94" t="s">
        <v>73</v>
      </c>
      <c r="E94" t="e">
        <f t="shared" si="88"/>
        <v>#VALUE!</v>
      </c>
      <c r="F94">
        <v>4</v>
      </c>
      <c r="G94">
        <f t="shared" si="89"/>
        <v>2.12</v>
      </c>
      <c r="H94">
        <v>14440</v>
      </c>
      <c r="I94">
        <f t="shared" si="90"/>
        <v>14440</v>
      </c>
      <c r="J94">
        <v>1440</v>
      </c>
      <c r="K94">
        <f t="shared" si="91"/>
        <v>2160</v>
      </c>
      <c r="L94">
        <v>116</v>
      </c>
      <c r="M94">
        <f t="shared" si="92"/>
        <v>150.80000000000001</v>
      </c>
      <c r="N94" t="s">
        <v>73</v>
      </c>
      <c r="O94" t="e">
        <f t="shared" si="93"/>
        <v>#VALUE!</v>
      </c>
      <c r="P94">
        <v>4</v>
      </c>
      <c r="Q94">
        <f t="shared" si="94"/>
        <v>2.12</v>
      </c>
      <c r="R94">
        <v>14554</v>
      </c>
      <c r="S94">
        <f t="shared" si="95"/>
        <v>14554</v>
      </c>
      <c r="T94">
        <v>1320</v>
      </c>
      <c r="U94">
        <f t="shared" si="96"/>
        <v>1980</v>
      </c>
      <c r="V94">
        <v>195</v>
      </c>
      <c r="W94">
        <f t="shared" ref="W94" si="137">V94*1.3</f>
        <v>253.5</v>
      </c>
      <c r="X94" t="s">
        <v>73</v>
      </c>
      <c r="Y94" t="e">
        <f t="shared" si="98"/>
        <v>#VALUE!</v>
      </c>
      <c r="Z94" t="s">
        <v>73</v>
      </c>
      <c r="AA94" t="e">
        <f t="shared" si="99"/>
        <v>#VALUE!</v>
      </c>
      <c r="AB94">
        <v>12350</v>
      </c>
      <c r="AC94">
        <f t="shared" si="100"/>
        <v>12350</v>
      </c>
      <c r="AD94">
        <v>1440</v>
      </c>
      <c r="AE94">
        <f t="shared" si="101"/>
        <v>2160</v>
      </c>
      <c r="AF94">
        <v>546</v>
      </c>
      <c r="AG94">
        <f t="shared" si="102"/>
        <v>709.80000000000007</v>
      </c>
      <c r="AH94" t="s">
        <v>73</v>
      </c>
      <c r="AI94" t="e">
        <f t="shared" si="103"/>
        <v>#VALUE!</v>
      </c>
      <c r="AJ94" t="s">
        <v>73</v>
      </c>
      <c r="AK94" t="e">
        <f t="shared" si="104"/>
        <v>#VALUE!</v>
      </c>
      <c r="AL94">
        <v>11500</v>
      </c>
      <c r="AM94">
        <f t="shared" si="105"/>
        <v>11500</v>
      </c>
      <c r="AN94">
        <v>1650</v>
      </c>
      <c r="AO94">
        <f t="shared" si="106"/>
        <v>2475</v>
      </c>
      <c r="AP94">
        <v>350</v>
      </c>
      <c r="AQ94">
        <f t="shared" si="107"/>
        <v>455</v>
      </c>
      <c r="AR94" t="s">
        <v>73</v>
      </c>
      <c r="AS94" t="e">
        <f t="shared" si="108"/>
        <v>#VALUE!</v>
      </c>
      <c r="AT94" t="s">
        <v>73</v>
      </c>
      <c r="AU94" t="e">
        <f t="shared" si="109"/>
        <v>#VALUE!</v>
      </c>
      <c r="AV94">
        <v>7800</v>
      </c>
      <c r="AW94">
        <f t="shared" si="110"/>
        <v>7800</v>
      </c>
      <c r="AX94">
        <v>1780</v>
      </c>
      <c r="AY94">
        <f t="shared" si="111"/>
        <v>2670</v>
      </c>
      <c r="AZ94">
        <v>546</v>
      </c>
      <c r="BA94">
        <f t="shared" si="112"/>
        <v>709.80000000000007</v>
      </c>
    </row>
    <row r="95" spans="1:53" x14ac:dyDescent="0.3">
      <c r="A95" t="s">
        <v>74</v>
      </c>
      <c r="B95" t="s">
        <v>251</v>
      </c>
      <c r="C95" t="s">
        <v>252</v>
      </c>
      <c r="D95" t="s">
        <v>73</v>
      </c>
      <c r="E95" t="e">
        <f t="shared" si="88"/>
        <v>#VALUE!</v>
      </c>
      <c r="F95">
        <v>57</v>
      </c>
      <c r="G95">
        <f t="shared" si="89"/>
        <v>30.21</v>
      </c>
      <c r="H95">
        <v>6534</v>
      </c>
      <c r="I95">
        <f t="shared" si="90"/>
        <v>6534</v>
      </c>
      <c r="J95">
        <v>1030</v>
      </c>
      <c r="K95">
        <f t="shared" si="91"/>
        <v>1545</v>
      </c>
      <c r="L95">
        <v>120</v>
      </c>
      <c r="M95">
        <f t="shared" si="92"/>
        <v>156</v>
      </c>
      <c r="N95" t="s">
        <v>73</v>
      </c>
      <c r="O95" t="e">
        <f t="shared" si="93"/>
        <v>#VALUE!</v>
      </c>
      <c r="P95">
        <v>57</v>
      </c>
      <c r="Q95">
        <f t="shared" si="94"/>
        <v>30.21</v>
      </c>
      <c r="R95">
        <v>6050</v>
      </c>
      <c r="S95">
        <f t="shared" si="95"/>
        <v>6050</v>
      </c>
      <c r="T95">
        <v>1266</v>
      </c>
      <c r="U95">
        <f t="shared" si="96"/>
        <v>1899</v>
      </c>
      <c r="V95">
        <v>425</v>
      </c>
      <c r="W95">
        <f t="shared" ref="W95" si="138">V95*1.3</f>
        <v>552.5</v>
      </c>
      <c r="X95" t="s">
        <v>73</v>
      </c>
      <c r="Y95" t="e">
        <f t="shared" si="98"/>
        <v>#VALUE!</v>
      </c>
      <c r="Z95">
        <v>43</v>
      </c>
      <c r="AA95">
        <f t="shared" si="99"/>
        <v>22.790000000000003</v>
      </c>
      <c r="AB95">
        <v>5324</v>
      </c>
      <c r="AC95">
        <f t="shared" si="100"/>
        <v>5324</v>
      </c>
      <c r="AD95">
        <v>870</v>
      </c>
      <c r="AE95">
        <f t="shared" si="101"/>
        <v>1305</v>
      </c>
      <c r="AF95">
        <v>500</v>
      </c>
      <c r="AG95">
        <f t="shared" si="102"/>
        <v>650</v>
      </c>
      <c r="AH95" t="s">
        <v>73</v>
      </c>
      <c r="AI95" t="e">
        <f t="shared" si="103"/>
        <v>#VALUE!</v>
      </c>
      <c r="AJ95">
        <v>57</v>
      </c>
      <c r="AK95">
        <f t="shared" si="104"/>
        <v>30.21</v>
      </c>
      <c r="AL95">
        <v>7260</v>
      </c>
      <c r="AM95">
        <f t="shared" si="105"/>
        <v>7260</v>
      </c>
      <c r="AN95">
        <v>1278</v>
      </c>
      <c r="AO95">
        <f t="shared" si="106"/>
        <v>1917</v>
      </c>
      <c r="AP95">
        <v>300</v>
      </c>
      <c r="AQ95">
        <f t="shared" si="107"/>
        <v>390</v>
      </c>
      <c r="AR95" t="s">
        <v>73</v>
      </c>
      <c r="AS95" t="e">
        <f t="shared" si="108"/>
        <v>#VALUE!</v>
      </c>
      <c r="AT95">
        <v>48</v>
      </c>
      <c r="AU95">
        <f t="shared" si="109"/>
        <v>25.44</v>
      </c>
      <c r="AV95">
        <v>6615</v>
      </c>
      <c r="AW95">
        <f t="shared" si="110"/>
        <v>6615</v>
      </c>
      <c r="AX95">
        <v>1180</v>
      </c>
      <c r="AY95">
        <f t="shared" si="111"/>
        <v>1770</v>
      </c>
      <c r="AZ95">
        <v>520</v>
      </c>
      <c r="BA95">
        <f t="shared" si="112"/>
        <v>676</v>
      </c>
    </row>
    <row r="96" spans="1:53" x14ac:dyDescent="0.3">
      <c r="A96" t="s">
        <v>74</v>
      </c>
      <c r="B96" t="s">
        <v>253</v>
      </c>
      <c r="C96" t="s">
        <v>254</v>
      </c>
      <c r="D96" t="s">
        <v>73</v>
      </c>
      <c r="E96" t="e">
        <f t="shared" si="88"/>
        <v>#VALUE!</v>
      </c>
      <c r="F96">
        <v>6</v>
      </c>
      <c r="G96">
        <f t="shared" si="89"/>
        <v>3.18</v>
      </c>
      <c r="H96">
        <v>22752</v>
      </c>
      <c r="I96">
        <f t="shared" si="90"/>
        <v>22752</v>
      </c>
      <c r="J96">
        <v>660</v>
      </c>
      <c r="K96">
        <f t="shared" si="91"/>
        <v>990</v>
      </c>
      <c r="L96">
        <v>140</v>
      </c>
      <c r="M96">
        <f t="shared" si="92"/>
        <v>182</v>
      </c>
      <c r="N96" t="s">
        <v>73</v>
      </c>
      <c r="O96" t="e">
        <f t="shared" si="93"/>
        <v>#VALUE!</v>
      </c>
      <c r="P96">
        <v>5</v>
      </c>
      <c r="Q96">
        <f t="shared" si="94"/>
        <v>2.6500000000000004</v>
      </c>
      <c r="R96">
        <v>21197</v>
      </c>
      <c r="S96">
        <f t="shared" si="95"/>
        <v>21197</v>
      </c>
      <c r="T96">
        <v>600</v>
      </c>
      <c r="U96">
        <f t="shared" si="96"/>
        <v>900</v>
      </c>
      <c r="V96">
        <v>180</v>
      </c>
      <c r="W96">
        <f t="shared" ref="W96" si="139">V96*1.3</f>
        <v>234</v>
      </c>
      <c r="X96" t="s">
        <v>73</v>
      </c>
      <c r="Y96" t="e">
        <f t="shared" si="98"/>
        <v>#VALUE!</v>
      </c>
      <c r="Z96">
        <v>6</v>
      </c>
      <c r="AA96">
        <f t="shared" si="99"/>
        <v>3.18</v>
      </c>
      <c r="AB96">
        <v>22500</v>
      </c>
      <c r="AC96">
        <f t="shared" si="100"/>
        <v>22500</v>
      </c>
      <c r="AD96">
        <v>1450</v>
      </c>
      <c r="AE96">
        <f t="shared" si="101"/>
        <v>2175</v>
      </c>
      <c r="AF96">
        <v>1050</v>
      </c>
      <c r="AG96">
        <f t="shared" si="102"/>
        <v>1365</v>
      </c>
      <c r="AH96" t="s">
        <v>73</v>
      </c>
      <c r="AI96" t="e">
        <f t="shared" si="103"/>
        <v>#VALUE!</v>
      </c>
      <c r="AJ96">
        <v>6</v>
      </c>
      <c r="AK96">
        <f t="shared" si="104"/>
        <v>3.18</v>
      </c>
      <c r="AL96">
        <v>21000</v>
      </c>
      <c r="AM96">
        <f t="shared" si="105"/>
        <v>21000</v>
      </c>
      <c r="AN96">
        <v>1650</v>
      </c>
      <c r="AO96">
        <f t="shared" si="106"/>
        <v>2475</v>
      </c>
      <c r="AP96">
        <v>648</v>
      </c>
      <c r="AQ96">
        <f t="shared" si="107"/>
        <v>842.4</v>
      </c>
      <c r="AR96" t="s">
        <v>73</v>
      </c>
      <c r="AS96" t="e">
        <f t="shared" si="108"/>
        <v>#VALUE!</v>
      </c>
      <c r="AT96">
        <v>6</v>
      </c>
      <c r="AU96">
        <f t="shared" si="109"/>
        <v>3.18</v>
      </c>
      <c r="AV96">
        <v>14000</v>
      </c>
      <c r="AW96">
        <f t="shared" si="110"/>
        <v>14000</v>
      </c>
      <c r="AX96">
        <v>1850</v>
      </c>
      <c r="AY96">
        <f t="shared" si="111"/>
        <v>2775</v>
      </c>
      <c r="AZ96">
        <v>780</v>
      </c>
      <c r="BA96">
        <f t="shared" si="112"/>
        <v>1014</v>
      </c>
    </row>
    <row r="97" spans="1:53" x14ac:dyDescent="0.3">
      <c r="A97" t="s">
        <v>74</v>
      </c>
      <c r="B97" t="s">
        <v>255</v>
      </c>
      <c r="C97" t="s">
        <v>256</v>
      </c>
      <c r="D97" t="s">
        <v>73</v>
      </c>
      <c r="E97" t="e">
        <f t="shared" si="88"/>
        <v>#VALUE!</v>
      </c>
      <c r="F97">
        <v>11</v>
      </c>
      <c r="G97">
        <f t="shared" si="89"/>
        <v>5.83</v>
      </c>
      <c r="H97">
        <v>18450</v>
      </c>
      <c r="I97">
        <f t="shared" si="90"/>
        <v>18450</v>
      </c>
      <c r="J97">
        <v>1350</v>
      </c>
      <c r="K97">
        <f t="shared" si="91"/>
        <v>2025</v>
      </c>
      <c r="L97">
        <v>138</v>
      </c>
      <c r="M97">
        <f t="shared" si="92"/>
        <v>179.4</v>
      </c>
      <c r="N97" t="s">
        <v>73</v>
      </c>
      <c r="O97" t="e">
        <f t="shared" si="93"/>
        <v>#VALUE!</v>
      </c>
      <c r="P97">
        <v>8</v>
      </c>
      <c r="Q97">
        <f t="shared" si="94"/>
        <v>4.24</v>
      </c>
      <c r="R97">
        <v>9635</v>
      </c>
      <c r="S97">
        <f t="shared" si="95"/>
        <v>9635</v>
      </c>
      <c r="T97">
        <v>1350</v>
      </c>
      <c r="U97">
        <f t="shared" si="96"/>
        <v>2025</v>
      </c>
      <c r="V97">
        <v>300</v>
      </c>
      <c r="W97">
        <f t="shared" ref="W97" si="140">V97*1.3</f>
        <v>390</v>
      </c>
      <c r="X97" t="s">
        <v>73</v>
      </c>
      <c r="Y97" t="e">
        <f t="shared" si="98"/>
        <v>#VALUE!</v>
      </c>
      <c r="Z97">
        <v>11</v>
      </c>
      <c r="AA97">
        <f t="shared" si="99"/>
        <v>5.83</v>
      </c>
      <c r="AB97">
        <v>9594</v>
      </c>
      <c r="AC97">
        <f t="shared" si="100"/>
        <v>9594</v>
      </c>
      <c r="AD97">
        <v>1215</v>
      </c>
      <c r="AE97">
        <f t="shared" si="101"/>
        <v>1822.5</v>
      </c>
      <c r="AF97">
        <v>308</v>
      </c>
      <c r="AG97">
        <f t="shared" si="102"/>
        <v>400.40000000000003</v>
      </c>
      <c r="AH97" t="s">
        <v>73</v>
      </c>
      <c r="AI97" t="e">
        <f t="shared" si="103"/>
        <v>#VALUE!</v>
      </c>
      <c r="AJ97">
        <v>11</v>
      </c>
      <c r="AK97">
        <f t="shared" si="104"/>
        <v>5.83</v>
      </c>
      <c r="AL97">
        <v>14350</v>
      </c>
      <c r="AM97">
        <f t="shared" si="105"/>
        <v>14350</v>
      </c>
      <c r="AN97">
        <v>1575</v>
      </c>
      <c r="AO97">
        <f t="shared" si="106"/>
        <v>2362.5</v>
      </c>
      <c r="AP97">
        <v>240</v>
      </c>
      <c r="AQ97">
        <f t="shared" si="107"/>
        <v>312</v>
      </c>
      <c r="AR97" t="s">
        <v>73</v>
      </c>
      <c r="AS97" t="e">
        <f t="shared" si="108"/>
        <v>#VALUE!</v>
      </c>
      <c r="AT97">
        <v>11</v>
      </c>
      <c r="AU97">
        <f t="shared" si="109"/>
        <v>5.83</v>
      </c>
      <c r="AV97">
        <v>12300</v>
      </c>
      <c r="AW97">
        <f t="shared" si="110"/>
        <v>12300</v>
      </c>
      <c r="AX97">
        <v>1350</v>
      </c>
      <c r="AY97">
        <f t="shared" si="111"/>
        <v>2025</v>
      </c>
      <c r="AZ97">
        <v>875</v>
      </c>
      <c r="BA97">
        <f t="shared" si="112"/>
        <v>1137.5</v>
      </c>
    </row>
    <row r="98" spans="1:53" x14ac:dyDescent="0.3">
      <c r="A98" t="s">
        <v>74</v>
      </c>
      <c r="B98" t="s">
        <v>257</v>
      </c>
      <c r="C98" t="s">
        <v>258</v>
      </c>
      <c r="D98" t="s">
        <v>73</v>
      </c>
      <c r="E98" t="e">
        <f t="shared" si="88"/>
        <v>#VALUE!</v>
      </c>
      <c r="F98" t="s">
        <v>73</v>
      </c>
      <c r="G98" t="e">
        <f t="shared" si="89"/>
        <v>#VALUE!</v>
      </c>
      <c r="H98">
        <v>16146</v>
      </c>
      <c r="I98">
        <f t="shared" si="90"/>
        <v>16146</v>
      </c>
      <c r="J98">
        <v>1500</v>
      </c>
      <c r="K98">
        <f t="shared" si="91"/>
        <v>2250</v>
      </c>
      <c r="L98">
        <v>60</v>
      </c>
      <c r="M98">
        <f t="shared" si="92"/>
        <v>78</v>
      </c>
      <c r="N98" t="s">
        <v>73</v>
      </c>
      <c r="O98" t="e">
        <f t="shared" si="93"/>
        <v>#VALUE!</v>
      </c>
      <c r="P98" t="s">
        <v>73</v>
      </c>
      <c r="Q98" t="e">
        <f t="shared" si="94"/>
        <v>#VALUE!</v>
      </c>
      <c r="R98">
        <v>15856</v>
      </c>
      <c r="S98">
        <f t="shared" si="95"/>
        <v>15856</v>
      </c>
      <c r="T98">
        <v>1610</v>
      </c>
      <c r="U98">
        <f t="shared" si="96"/>
        <v>2415</v>
      </c>
      <c r="V98">
        <v>73</v>
      </c>
      <c r="W98">
        <f t="shared" ref="W98" si="141">V98*1.3</f>
        <v>94.9</v>
      </c>
      <c r="X98" t="s">
        <v>73</v>
      </c>
      <c r="Y98" t="e">
        <f t="shared" si="98"/>
        <v>#VALUE!</v>
      </c>
      <c r="Z98" t="s">
        <v>73</v>
      </c>
      <c r="AA98" t="e">
        <f t="shared" si="99"/>
        <v>#VALUE!</v>
      </c>
      <c r="AB98">
        <v>18000</v>
      </c>
      <c r="AC98">
        <f t="shared" si="100"/>
        <v>18000</v>
      </c>
      <c r="AD98">
        <v>3600</v>
      </c>
      <c r="AE98">
        <f t="shared" si="101"/>
        <v>5400</v>
      </c>
      <c r="AF98">
        <v>1200</v>
      </c>
      <c r="AG98">
        <f t="shared" si="102"/>
        <v>1560</v>
      </c>
      <c r="AH98" t="s">
        <v>73</v>
      </c>
      <c r="AI98" t="e">
        <f t="shared" si="103"/>
        <v>#VALUE!</v>
      </c>
      <c r="AJ98" t="s">
        <v>73</v>
      </c>
      <c r="AK98" t="e">
        <f t="shared" si="104"/>
        <v>#VALUE!</v>
      </c>
      <c r="AL98">
        <v>18000</v>
      </c>
      <c r="AM98">
        <f t="shared" si="105"/>
        <v>18000</v>
      </c>
      <c r="AN98">
        <v>5300</v>
      </c>
      <c r="AO98">
        <f t="shared" si="106"/>
        <v>7950</v>
      </c>
      <c r="AP98">
        <v>1200</v>
      </c>
      <c r="AQ98">
        <f t="shared" si="107"/>
        <v>1560</v>
      </c>
      <c r="AR98" t="s">
        <v>73</v>
      </c>
      <c r="AS98" t="e">
        <f t="shared" si="108"/>
        <v>#VALUE!</v>
      </c>
      <c r="AT98" t="s">
        <v>73</v>
      </c>
      <c r="AU98" t="e">
        <f t="shared" si="109"/>
        <v>#VALUE!</v>
      </c>
      <c r="AV98">
        <v>10000</v>
      </c>
      <c r="AW98">
        <f t="shared" si="110"/>
        <v>10000</v>
      </c>
      <c r="AX98">
        <v>5500</v>
      </c>
      <c r="AY98">
        <f t="shared" si="111"/>
        <v>8250</v>
      </c>
      <c r="AZ98">
        <v>2520</v>
      </c>
      <c r="BA98">
        <f t="shared" si="112"/>
        <v>3276</v>
      </c>
    </row>
    <row r="99" spans="1:53" x14ac:dyDescent="0.3">
      <c r="A99" t="s">
        <v>74</v>
      </c>
      <c r="B99" t="s">
        <v>259</v>
      </c>
      <c r="C99" t="s">
        <v>260</v>
      </c>
      <c r="D99" t="s">
        <v>73</v>
      </c>
      <c r="E99" t="e">
        <f t="shared" si="88"/>
        <v>#VALUE!</v>
      </c>
      <c r="F99">
        <v>19</v>
      </c>
      <c r="G99">
        <f t="shared" si="89"/>
        <v>10.07</v>
      </c>
      <c r="H99">
        <v>25620</v>
      </c>
      <c r="I99">
        <f t="shared" si="90"/>
        <v>25620</v>
      </c>
      <c r="J99">
        <v>1716</v>
      </c>
      <c r="K99">
        <f t="shared" si="91"/>
        <v>2574</v>
      </c>
      <c r="L99">
        <v>75</v>
      </c>
      <c r="M99">
        <f t="shared" si="92"/>
        <v>97.5</v>
      </c>
      <c r="N99" t="s">
        <v>73</v>
      </c>
      <c r="O99" t="e">
        <f t="shared" si="93"/>
        <v>#VALUE!</v>
      </c>
      <c r="P99">
        <v>18</v>
      </c>
      <c r="Q99">
        <f t="shared" si="94"/>
        <v>9.5400000000000009</v>
      </c>
      <c r="R99">
        <v>23180</v>
      </c>
      <c r="S99">
        <f t="shared" si="95"/>
        <v>23180</v>
      </c>
      <c r="T99">
        <v>1760</v>
      </c>
      <c r="U99">
        <f t="shared" si="96"/>
        <v>2640</v>
      </c>
      <c r="V99">
        <v>400</v>
      </c>
      <c r="W99">
        <f t="shared" ref="W99" si="142">V99*1.3</f>
        <v>520</v>
      </c>
      <c r="X99" t="s">
        <v>73</v>
      </c>
      <c r="Y99" t="e">
        <f t="shared" si="98"/>
        <v>#VALUE!</v>
      </c>
      <c r="Z99">
        <v>12</v>
      </c>
      <c r="AA99">
        <f t="shared" si="99"/>
        <v>6.36</v>
      </c>
      <c r="AB99">
        <v>27000</v>
      </c>
      <c r="AC99">
        <f t="shared" si="100"/>
        <v>27000</v>
      </c>
      <c r="AD99">
        <v>4700</v>
      </c>
      <c r="AE99">
        <f t="shared" si="101"/>
        <v>7050</v>
      </c>
      <c r="AF99">
        <v>1000</v>
      </c>
      <c r="AG99">
        <f t="shared" si="102"/>
        <v>1300</v>
      </c>
      <c r="AH99" t="s">
        <v>73</v>
      </c>
      <c r="AI99" t="e">
        <f t="shared" si="103"/>
        <v>#VALUE!</v>
      </c>
      <c r="AJ99">
        <v>24</v>
      </c>
      <c r="AK99">
        <f t="shared" si="104"/>
        <v>12.72</v>
      </c>
      <c r="AL99">
        <v>25400</v>
      </c>
      <c r="AM99">
        <f t="shared" si="105"/>
        <v>25400</v>
      </c>
      <c r="AN99">
        <v>5400</v>
      </c>
      <c r="AO99">
        <f t="shared" si="106"/>
        <v>8100</v>
      </c>
      <c r="AP99">
        <v>600</v>
      </c>
      <c r="AQ99">
        <f t="shared" si="107"/>
        <v>780</v>
      </c>
      <c r="AR99" t="s">
        <v>73</v>
      </c>
      <c r="AS99" t="e">
        <f t="shared" si="108"/>
        <v>#VALUE!</v>
      </c>
      <c r="AT99">
        <v>7</v>
      </c>
      <c r="AU99">
        <f t="shared" si="109"/>
        <v>3.71</v>
      </c>
      <c r="AV99">
        <v>16700</v>
      </c>
      <c r="AW99">
        <f t="shared" si="110"/>
        <v>16700</v>
      </c>
      <c r="AX99">
        <v>5210</v>
      </c>
      <c r="AY99">
        <f t="shared" si="111"/>
        <v>7815</v>
      </c>
      <c r="AZ99">
        <v>975</v>
      </c>
      <c r="BA99">
        <f t="shared" si="112"/>
        <v>1267.5</v>
      </c>
    </row>
    <row r="100" spans="1:53" x14ac:dyDescent="0.3">
      <c r="A100" t="s">
        <v>74</v>
      </c>
      <c r="B100" t="s">
        <v>261</v>
      </c>
      <c r="C100" t="s">
        <v>262</v>
      </c>
      <c r="D100" t="s">
        <v>73</v>
      </c>
      <c r="E100" t="e">
        <f t="shared" si="88"/>
        <v>#VALUE!</v>
      </c>
      <c r="F100" t="s">
        <v>73</v>
      </c>
      <c r="G100" t="e">
        <f t="shared" si="89"/>
        <v>#VALUE!</v>
      </c>
      <c r="H100">
        <v>12714</v>
      </c>
      <c r="I100">
        <f t="shared" si="90"/>
        <v>12714</v>
      </c>
      <c r="J100">
        <v>187</v>
      </c>
      <c r="K100">
        <f t="shared" si="91"/>
        <v>280.5</v>
      </c>
      <c r="L100">
        <v>87</v>
      </c>
      <c r="M100">
        <f t="shared" si="92"/>
        <v>113.10000000000001</v>
      </c>
      <c r="N100" t="s">
        <v>73</v>
      </c>
      <c r="O100" t="e">
        <f t="shared" si="93"/>
        <v>#VALUE!</v>
      </c>
      <c r="P100" t="s">
        <v>73</v>
      </c>
      <c r="Q100" t="e">
        <f t="shared" si="94"/>
        <v>#VALUE!</v>
      </c>
      <c r="R100">
        <v>9617</v>
      </c>
      <c r="S100">
        <f t="shared" si="95"/>
        <v>9617</v>
      </c>
      <c r="T100">
        <v>184</v>
      </c>
      <c r="U100">
        <f t="shared" si="96"/>
        <v>276</v>
      </c>
      <c r="V100">
        <v>180</v>
      </c>
      <c r="W100">
        <f t="shared" ref="W100" si="143">V100*1.3</f>
        <v>234</v>
      </c>
      <c r="X100" t="s">
        <v>73</v>
      </c>
      <c r="Y100" t="e">
        <f t="shared" si="98"/>
        <v>#VALUE!</v>
      </c>
      <c r="Z100" t="s">
        <v>73</v>
      </c>
      <c r="AA100" t="e">
        <f t="shared" si="99"/>
        <v>#VALUE!</v>
      </c>
      <c r="AB100">
        <v>18000</v>
      </c>
      <c r="AC100">
        <f t="shared" si="100"/>
        <v>18000</v>
      </c>
      <c r="AD100">
        <v>1510</v>
      </c>
      <c r="AE100">
        <f t="shared" si="101"/>
        <v>2265</v>
      </c>
      <c r="AF100">
        <v>580</v>
      </c>
      <c r="AG100">
        <f t="shared" si="102"/>
        <v>754</v>
      </c>
      <c r="AH100" t="s">
        <v>73</v>
      </c>
      <c r="AI100" t="e">
        <f t="shared" si="103"/>
        <v>#VALUE!</v>
      </c>
      <c r="AJ100" t="s">
        <v>73</v>
      </c>
      <c r="AK100" t="e">
        <f t="shared" si="104"/>
        <v>#VALUE!</v>
      </c>
      <c r="AL100">
        <v>17500</v>
      </c>
      <c r="AM100">
        <f t="shared" si="105"/>
        <v>17500</v>
      </c>
      <c r="AN100">
        <v>1700</v>
      </c>
      <c r="AO100">
        <f t="shared" si="106"/>
        <v>2550</v>
      </c>
      <c r="AP100">
        <v>350</v>
      </c>
      <c r="AQ100">
        <f t="shared" si="107"/>
        <v>455</v>
      </c>
      <c r="AR100" t="s">
        <v>73</v>
      </c>
      <c r="AS100" t="e">
        <f t="shared" si="108"/>
        <v>#VALUE!</v>
      </c>
      <c r="AT100" t="s">
        <v>73</v>
      </c>
      <c r="AU100" t="e">
        <f t="shared" si="109"/>
        <v>#VALUE!</v>
      </c>
      <c r="AV100">
        <v>13000</v>
      </c>
      <c r="AW100">
        <f t="shared" si="110"/>
        <v>13000</v>
      </c>
      <c r="AX100">
        <v>1777</v>
      </c>
      <c r="AY100">
        <f t="shared" si="111"/>
        <v>2665.5</v>
      </c>
      <c r="AZ100">
        <v>585</v>
      </c>
      <c r="BA100">
        <f t="shared" si="112"/>
        <v>760.5</v>
      </c>
    </row>
    <row r="101" spans="1:53" x14ac:dyDescent="0.3">
      <c r="A101" t="s">
        <v>74</v>
      </c>
      <c r="B101" t="s">
        <v>263</v>
      </c>
      <c r="C101" t="s">
        <v>264</v>
      </c>
      <c r="D101" t="s">
        <v>73</v>
      </c>
      <c r="E101" t="e">
        <f t="shared" si="88"/>
        <v>#VALUE!</v>
      </c>
      <c r="F101">
        <v>1081</v>
      </c>
      <c r="G101">
        <f t="shared" si="89"/>
        <v>572.93000000000006</v>
      </c>
      <c r="H101">
        <v>25200</v>
      </c>
      <c r="I101">
        <f t="shared" si="90"/>
        <v>25200</v>
      </c>
      <c r="J101">
        <v>10989</v>
      </c>
      <c r="K101">
        <f t="shared" si="91"/>
        <v>16483.5</v>
      </c>
      <c r="L101">
        <v>448</v>
      </c>
      <c r="M101">
        <f t="shared" si="92"/>
        <v>582.4</v>
      </c>
      <c r="N101" t="s">
        <v>73</v>
      </c>
      <c r="O101" t="e">
        <f t="shared" si="93"/>
        <v>#VALUE!</v>
      </c>
      <c r="P101">
        <v>1089</v>
      </c>
      <c r="Q101">
        <f t="shared" si="94"/>
        <v>577.17000000000007</v>
      </c>
      <c r="R101">
        <v>15300</v>
      </c>
      <c r="S101">
        <f t="shared" si="95"/>
        <v>15300</v>
      </c>
      <c r="T101">
        <v>10890</v>
      </c>
      <c r="U101">
        <f t="shared" si="96"/>
        <v>16335</v>
      </c>
      <c r="V101">
        <v>1215</v>
      </c>
      <c r="W101">
        <f t="shared" ref="W101" si="144">V101*1.3</f>
        <v>1579.5</v>
      </c>
      <c r="X101" t="s">
        <v>73</v>
      </c>
      <c r="Y101" t="e">
        <f t="shared" si="98"/>
        <v>#VALUE!</v>
      </c>
      <c r="Z101">
        <v>684</v>
      </c>
      <c r="AA101">
        <f t="shared" si="99"/>
        <v>362.52000000000004</v>
      </c>
      <c r="AB101">
        <v>11895</v>
      </c>
      <c r="AC101">
        <f t="shared" si="100"/>
        <v>11895</v>
      </c>
      <c r="AD101">
        <v>7560</v>
      </c>
      <c r="AE101">
        <f t="shared" si="101"/>
        <v>11340</v>
      </c>
      <c r="AF101">
        <v>1200</v>
      </c>
      <c r="AG101">
        <f t="shared" si="102"/>
        <v>1560</v>
      </c>
      <c r="AH101" t="s">
        <v>73</v>
      </c>
      <c r="AI101" t="e">
        <f t="shared" si="103"/>
        <v>#VALUE!</v>
      </c>
      <c r="AJ101">
        <v>1197</v>
      </c>
      <c r="AK101">
        <f t="shared" si="104"/>
        <v>634.41000000000008</v>
      </c>
      <c r="AL101">
        <v>23485</v>
      </c>
      <c r="AM101">
        <f t="shared" si="105"/>
        <v>23485</v>
      </c>
      <c r="AN101">
        <v>11550</v>
      </c>
      <c r="AO101">
        <f t="shared" si="106"/>
        <v>17325</v>
      </c>
      <c r="AP101">
        <v>1440</v>
      </c>
      <c r="AQ101">
        <f t="shared" si="107"/>
        <v>1872</v>
      </c>
      <c r="AR101" t="s">
        <v>73</v>
      </c>
      <c r="AS101" t="e">
        <f t="shared" si="108"/>
        <v>#VALUE!</v>
      </c>
      <c r="AT101">
        <v>1140</v>
      </c>
      <c r="AU101">
        <f t="shared" si="109"/>
        <v>604.20000000000005</v>
      </c>
      <c r="AV101">
        <v>16909</v>
      </c>
      <c r="AW101">
        <f t="shared" si="110"/>
        <v>16909</v>
      </c>
      <c r="AX101">
        <v>12540</v>
      </c>
      <c r="AY101">
        <f t="shared" si="111"/>
        <v>18810</v>
      </c>
      <c r="AZ101">
        <v>1050</v>
      </c>
      <c r="BA101">
        <f t="shared" si="112"/>
        <v>1365</v>
      </c>
    </row>
    <row r="102" spans="1:53" x14ac:dyDescent="0.3">
      <c r="A102" t="s">
        <v>74</v>
      </c>
      <c r="B102" t="s">
        <v>265</v>
      </c>
      <c r="C102" t="s">
        <v>266</v>
      </c>
      <c r="D102" t="s">
        <v>73</v>
      </c>
      <c r="E102" t="e">
        <f t="shared" si="88"/>
        <v>#VALUE!</v>
      </c>
      <c r="F102">
        <v>29</v>
      </c>
      <c r="G102">
        <f t="shared" si="89"/>
        <v>15.370000000000001</v>
      </c>
      <c r="H102">
        <v>11760</v>
      </c>
      <c r="I102">
        <f t="shared" si="90"/>
        <v>11760</v>
      </c>
      <c r="J102">
        <v>686</v>
      </c>
      <c r="K102">
        <f t="shared" si="91"/>
        <v>1029</v>
      </c>
      <c r="L102">
        <v>50</v>
      </c>
      <c r="M102">
        <f t="shared" si="92"/>
        <v>65</v>
      </c>
      <c r="N102" t="s">
        <v>73</v>
      </c>
      <c r="O102" t="e">
        <f t="shared" si="93"/>
        <v>#VALUE!</v>
      </c>
      <c r="P102">
        <v>18</v>
      </c>
      <c r="Q102">
        <f t="shared" si="94"/>
        <v>9.5400000000000009</v>
      </c>
      <c r="R102">
        <v>9120</v>
      </c>
      <c r="S102">
        <f t="shared" si="95"/>
        <v>9120</v>
      </c>
      <c r="T102">
        <v>1386</v>
      </c>
      <c r="U102">
        <f t="shared" si="96"/>
        <v>2079</v>
      </c>
      <c r="V102">
        <v>183</v>
      </c>
      <c r="W102">
        <f t="shared" ref="W102" si="145">V102*1.3</f>
        <v>237.9</v>
      </c>
      <c r="X102" t="s">
        <v>73</v>
      </c>
      <c r="Y102" t="e">
        <f t="shared" si="98"/>
        <v>#VALUE!</v>
      </c>
      <c r="Z102">
        <v>21</v>
      </c>
      <c r="AA102">
        <f t="shared" si="99"/>
        <v>11.13</v>
      </c>
      <c r="AB102">
        <v>18000</v>
      </c>
      <c r="AC102">
        <f t="shared" si="100"/>
        <v>18000</v>
      </c>
      <c r="AD102">
        <v>1512</v>
      </c>
      <c r="AE102">
        <f t="shared" si="101"/>
        <v>2268</v>
      </c>
      <c r="AF102">
        <v>350</v>
      </c>
      <c r="AG102">
        <f t="shared" si="102"/>
        <v>455</v>
      </c>
      <c r="AH102" t="s">
        <v>73</v>
      </c>
      <c r="AI102" t="e">
        <f t="shared" si="103"/>
        <v>#VALUE!</v>
      </c>
      <c r="AJ102">
        <v>20</v>
      </c>
      <c r="AK102">
        <f t="shared" si="104"/>
        <v>10.600000000000001</v>
      </c>
      <c r="AL102">
        <v>16800</v>
      </c>
      <c r="AM102">
        <f t="shared" si="105"/>
        <v>16800</v>
      </c>
      <c r="AN102">
        <v>1770</v>
      </c>
      <c r="AO102">
        <f t="shared" si="106"/>
        <v>2655</v>
      </c>
      <c r="AP102">
        <v>243</v>
      </c>
      <c r="AQ102">
        <f t="shared" si="107"/>
        <v>315.90000000000003</v>
      </c>
      <c r="AR102" t="s">
        <v>73</v>
      </c>
      <c r="AS102" t="e">
        <f t="shared" si="108"/>
        <v>#VALUE!</v>
      </c>
      <c r="AT102">
        <v>8</v>
      </c>
      <c r="AU102">
        <f t="shared" si="109"/>
        <v>4.24</v>
      </c>
      <c r="AV102">
        <v>11340</v>
      </c>
      <c r="AW102">
        <f t="shared" si="110"/>
        <v>11340</v>
      </c>
      <c r="AX102">
        <v>2080</v>
      </c>
      <c r="AY102">
        <f t="shared" si="111"/>
        <v>3120</v>
      </c>
      <c r="AZ102">
        <v>351</v>
      </c>
      <c r="BA102">
        <f t="shared" si="112"/>
        <v>456.3</v>
      </c>
    </row>
    <row r="103" spans="1:53" x14ac:dyDescent="0.3">
      <c r="A103" t="s">
        <v>74</v>
      </c>
      <c r="B103" t="s">
        <v>267</v>
      </c>
      <c r="C103" t="s">
        <v>268</v>
      </c>
      <c r="D103" t="s">
        <v>73</v>
      </c>
      <c r="E103" t="e">
        <f t="shared" si="88"/>
        <v>#VALUE!</v>
      </c>
      <c r="F103">
        <v>14</v>
      </c>
      <c r="G103">
        <f t="shared" si="89"/>
        <v>7.42</v>
      </c>
      <c r="H103">
        <v>8400</v>
      </c>
      <c r="I103">
        <f t="shared" si="90"/>
        <v>8400</v>
      </c>
      <c r="J103">
        <v>290</v>
      </c>
      <c r="K103">
        <f t="shared" si="91"/>
        <v>435</v>
      </c>
      <c r="L103" t="s">
        <v>73</v>
      </c>
      <c r="M103" t="e">
        <f t="shared" si="92"/>
        <v>#VALUE!</v>
      </c>
      <c r="N103" t="s">
        <v>73</v>
      </c>
      <c r="O103" t="e">
        <f t="shared" si="93"/>
        <v>#VALUE!</v>
      </c>
      <c r="P103">
        <v>14</v>
      </c>
      <c r="Q103">
        <f t="shared" si="94"/>
        <v>7.42</v>
      </c>
      <c r="R103">
        <v>5040</v>
      </c>
      <c r="S103">
        <f t="shared" si="95"/>
        <v>5040</v>
      </c>
      <c r="T103">
        <v>297</v>
      </c>
      <c r="U103">
        <f t="shared" si="96"/>
        <v>445.5</v>
      </c>
      <c r="V103">
        <v>338</v>
      </c>
      <c r="W103">
        <f t="shared" ref="W103" si="146">V103*1.3</f>
        <v>439.40000000000003</v>
      </c>
      <c r="X103" t="s">
        <v>73</v>
      </c>
      <c r="Y103" t="e">
        <f t="shared" si="98"/>
        <v>#VALUE!</v>
      </c>
      <c r="Z103">
        <v>14</v>
      </c>
      <c r="AA103">
        <f t="shared" si="99"/>
        <v>7.42</v>
      </c>
      <c r="AB103">
        <v>7560</v>
      </c>
      <c r="AC103">
        <f t="shared" si="100"/>
        <v>7560</v>
      </c>
      <c r="AD103">
        <v>435</v>
      </c>
      <c r="AE103">
        <f t="shared" si="101"/>
        <v>652.5</v>
      </c>
      <c r="AF103">
        <v>828</v>
      </c>
      <c r="AG103">
        <f t="shared" si="102"/>
        <v>1076.4000000000001</v>
      </c>
      <c r="AH103" t="s">
        <v>73</v>
      </c>
      <c r="AI103" t="e">
        <f t="shared" si="103"/>
        <v>#VALUE!</v>
      </c>
      <c r="AJ103">
        <v>14</v>
      </c>
      <c r="AK103">
        <f t="shared" si="104"/>
        <v>7.42</v>
      </c>
      <c r="AL103">
        <v>8640</v>
      </c>
      <c r="AM103">
        <f t="shared" si="105"/>
        <v>8640</v>
      </c>
      <c r="AN103">
        <v>540</v>
      </c>
      <c r="AO103">
        <f t="shared" si="106"/>
        <v>810</v>
      </c>
      <c r="AP103">
        <v>400</v>
      </c>
      <c r="AQ103">
        <f t="shared" si="107"/>
        <v>520</v>
      </c>
      <c r="AR103" t="s">
        <v>73</v>
      </c>
      <c r="AS103" t="e">
        <f t="shared" si="108"/>
        <v>#VALUE!</v>
      </c>
      <c r="AT103">
        <v>8</v>
      </c>
      <c r="AU103">
        <f t="shared" si="109"/>
        <v>4.24</v>
      </c>
      <c r="AV103">
        <v>6480</v>
      </c>
      <c r="AW103">
        <f t="shared" si="110"/>
        <v>6480</v>
      </c>
      <c r="AX103">
        <v>444</v>
      </c>
      <c r="AY103">
        <f t="shared" si="111"/>
        <v>666</v>
      </c>
      <c r="AZ103">
        <v>250</v>
      </c>
      <c r="BA103">
        <f t="shared" si="112"/>
        <v>325</v>
      </c>
    </row>
    <row r="104" spans="1:53" x14ac:dyDescent="0.3">
      <c r="A104" t="s">
        <v>74</v>
      </c>
      <c r="B104" t="s">
        <v>269</v>
      </c>
      <c r="C104" t="s">
        <v>270</v>
      </c>
      <c r="D104" t="s">
        <v>73</v>
      </c>
      <c r="E104" t="e">
        <f t="shared" si="88"/>
        <v>#VALUE!</v>
      </c>
      <c r="F104">
        <v>272</v>
      </c>
      <c r="G104">
        <f t="shared" si="89"/>
        <v>144.16</v>
      </c>
      <c r="H104">
        <v>7200</v>
      </c>
      <c r="I104">
        <f t="shared" si="90"/>
        <v>7200</v>
      </c>
      <c r="J104">
        <v>900</v>
      </c>
      <c r="K104">
        <f t="shared" si="91"/>
        <v>1350</v>
      </c>
      <c r="L104" t="s">
        <v>73</v>
      </c>
      <c r="M104" t="e">
        <f t="shared" si="92"/>
        <v>#VALUE!</v>
      </c>
      <c r="N104" t="s">
        <v>73</v>
      </c>
      <c r="O104" t="e">
        <f t="shared" si="93"/>
        <v>#VALUE!</v>
      </c>
      <c r="P104">
        <v>207</v>
      </c>
      <c r="Q104">
        <f t="shared" si="94"/>
        <v>109.71000000000001</v>
      </c>
      <c r="R104">
        <v>6000</v>
      </c>
      <c r="S104">
        <f t="shared" si="95"/>
        <v>6000</v>
      </c>
      <c r="T104">
        <v>920</v>
      </c>
      <c r="U104">
        <f t="shared" si="96"/>
        <v>1380</v>
      </c>
      <c r="V104" t="s">
        <v>73</v>
      </c>
      <c r="W104" t="e">
        <f t="shared" ref="W104" si="147">V104*1.3</f>
        <v>#VALUE!</v>
      </c>
      <c r="X104" t="s">
        <v>73</v>
      </c>
      <c r="Y104" t="e">
        <f t="shared" si="98"/>
        <v>#VALUE!</v>
      </c>
      <c r="Z104">
        <v>212</v>
      </c>
      <c r="AA104">
        <f t="shared" si="99"/>
        <v>112.36</v>
      </c>
      <c r="AB104">
        <v>5980</v>
      </c>
      <c r="AC104">
        <f t="shared" si="100"/>
        <v>5980</v>
      </c>
      <c r="AD104">
        <v>957</v>
      </c>
      <c r="AE104">
        <f t="shared" si="101"/>
        <v>1435.5</v>
      </c>
      <c r="AF104">
        <v>63</v>
      </c>
      <c r="AG104">
        <f t="shared" si="102"/>
        <v>81.900000000000006</v>
      </c>
      <c r="AH104" t="s">
        <v>73</v>
      </c>
      <c r="AI104" t="e">
        <f t="shared" si="103"/>
        <v>#VALUE!</v>
      </c>
      <c r="AJ104">
        <v>86</v>
      </c>
      <c r="AK104">
        <f t="shared" si="104"/>
        <v>45.580000000000005</v>
      </c>
      <c r="AL104">
        <v>6593</v>
      </c>
      <c r="AM104">
        <f t="shared" si="105"/>
        <v>6593</v>
      </c>
      <c r="AN104">
        <v>1200</v>
      </c>
      <c r="AO104">
        <f t="shared" si="106"/>
        <v>1800</v>
      </c>
      <c r="AP104">
        <v>25</v>
      </c>
      <c r="AQ104">
        <f t="shared" si="107"/>
        <v>32.5</v>
      </c>
      <c r="AR104" t="s">
        <v>73</v>
      </c>
      <c r="AS104" t="e">
        <f t="shared" si="108"/>
        <v>#VALUE!</v>
      </c>
      <c r="AT104">
        <v>89</v>
      </c>
      <c r="AU104">
        <f t="shared" si="109"/>
        <v>47.17</v>
      </c>
      <c r="AV104">
        <v>4025</v>
      </c>
      <c r="AW104">
        <f t="shared" si="110"/>
        <v>4025</v>
      </c>
      <c r="AX104">
        <v>1209</v>
      </c>
      <c r="AY104">
        <f t="shared" si="111"/>
        <v>1813.5</v>
      </c>
      <c r="AZ104">
        <v>13</v>
      </c>
      <c r="BA104">
        <f t="shared" si="112"/>
        <v>16.900000000000002</v>
      </c>
    </row>
    <row r="105" spans="1:53" x14ac:dyDescent="0.3">
      <c r="A105" t="s">
        <v>74</v>
      </c>
      <c r="B105" t="s">
        <v>271</v>
      </c>
      <c r="C105" t="s">
        <v>272</v>
      </c>
      <c r="D105" t="s">
        <v>73</v>
      </c>
      <c r="E105" t="e">
        <f t="shared" si="88"/>
        <v>#VALUE!</v>
      </c>
      <c r="F105">
        <v>27</v>
      </c>
      <c r="G105">
        <f t="shared" si="89"/>
        <v>14.31</v>
      </c>
      <c r="H105">
        <v>15960</v>
      </c>
      <c r="I105">
        <f t="shared" si="90"/>
        <v>15960</v>
      </c>
      <c r="J105">
        <v>1650</v>
      </c>
      <c r="K105">
        <f t="shared" si="91"/>
        <v>2475</v>
      </c>
      <c r="L105">
        <v>150</v>
      </c>
      <c r="M105">
        <f t="shared" si="92"/>
        <v>195</v>
      </c>
      <c r="N105" t="s">
        <v>73</v>
      </c>
      <c r="O105" t="e">
        <f t="shared" si="93"/>
        <v>#VALUE!</v>
      </c>
      <c r="P105">
        <v>16</v>
      </c>
      <c r="Q105">
        <f t="shared" si="94"/>
        <v>8.48</v>
      </c>
      <c r="R105">
        <v>15200</v>
      </c>
      <c r="S105">
        <f t="shared" si="95"/>
        <v>15200</v>
      </c>
      <c r="T105">
        <v>1760</v>
      </c>
      <c r="U105">
        <f t="shared" si="96"/>
        <v>2640</v>
      </c>
      <c r="V105">
        <v>183</v>
      </c>
      <c r="W105">
        <f t="shared" ref="W105" si="148">V105*1.3</f>
        <v>237.9</v>
      </c>
      <c r="X105" t="s">
        <v>73</v>
      </c>
      <c r="Y105" t="e">
        <f t="shared" si="98"/>
        <v>#VALUE!</v>
      </c>
      <c r="Z105">
        <v>18</v>
      </c>
      <c r="AA105">
        <f t="shared" si="99"/>
        <v>9.5400000000000009</v>
      </c>
      <c r="AB105">
        <v>9000</v>
      </c>
      <c r="AC105">
        <f t="shared" si="100"/>
        <v>9000</v>
      </c>
      <c r="AD105">
        <v>2500</v>
      </c>
      <c r="AE105">
        <f t="shared" si="101"/>
        <v>3750</v>
      </c>
      <c r="AF105">
        <v>780</v>
      </c>
      <c r="AG105">
        <f t="shared" si="102"/>
        <v>1014</v>
      </c>
      <c r="AH105" t="s">
        <v>73</v>
      </c>
      <c r="AI105" t="e">
        <f t="shared" si="103"/>
        <v>#VALUE!</v>
      </c>
      <c r="AJ105">
        <v>16</v>
      </c>
      <c r="AK105">
        <f t="shared" si="104"/>
        <v>8.48</v>
      </c>
      <c r="AL105">
        <v>15800</v>
      </c>
      <c r="AM105">
        <f t="shared" si="105"/>
        <v>15800</v>
      </c>
      <c r="AN105">
        <v>3000</v>
      </c>
      <c r="AO105">
        <f t="shared" si="106"/>
        <v>4500</v>
      </c>
      <c r="AP105">
        <v>810</v>
      </c>
      <c r="AQ105">
        <f t="shared" si="107"/>
        <v>1053</v>
      </c>
      <c r="AR105" t="s">
        <v>73</v>
      </c>
      <c r="AS105" t="e">
        <f t="shared" si="108"/>
        <v>#VALUE!</v>
      </c>
      <c r="AT105">
        <v>7</v>
      </c>
      <c r="AU105">
        <f t="shared" si="109"/>
        <v>3.71</v>
      </c>
      <c r="AV105">
        <v>11500</v>
      </c>
      <c r="AW105">
        <f t="shared" si="110"/>
        <v>11500</v>
      </c>
      <c r="AX105">
        <v>3000</v>
      </c>
      <c r="AY105">
        <f t="shared" si="111"/>
        <v>4500</v>
      </c>
      <c r="AZ105">
        <v>1170</v>
      </c>
      <c r="BA105">
        <f t="shared" si="112"/>
        <v>1521</v>
      </c>
    </row>
    <row r="106" spans="1:53" x14ac:dyDescent="0.3">
      <c r="A106" t="s">
        <v>74</v>
      </c>
      <c r="B106" t="s">
        <v>273</v>
      </c>
      <c r="C106" t="s">
        <v>274</v>
      </c>
      <c r="D106" t="s">
        <v>73</v>
      </c>
      <c r="E106" t="e">
        <f t="shared" si="88"/>
        <v>#VALUE!</v>
      </c>
      <c r="F106">
        <v>11</v>
      </c>
      <c r="G106">
        <f t="shared" si="89"/>
        <v>5.83</v>
      </c>
      <c r="H106">
        <v>7500</v>
      </c>
      <c r="I106">
        <f t="shared" si="90"/>
        <v>7500</v>
      </c>
      <c r="J106">
        <v>828</v>
      </c>
      <c r="K106">
        <f t="shared" si="91"/>
        <v>1242</v>
      </c>
      <c r="L106">
        <v>22</v>
      </c>
      <c r="M106">
        <f t="shared" si="92"/>
        <v>28.6</v>
      </c>
      <c r="N106" t="s">
        <v>73</v>
      </c>
      <c r="O106" t="e">
        <f t="shared" si="93"/>
        <v>#VALUE!</v>
      </c>
      <c r="P106">
        <v>11</v>
      </c>
      <c r="Q106">
        <f t="shared" si="94"/>
        <v>5.83</v>
      </c>
      <c r="R106">
        <v>4220</v>
      </c>
      <c r="S106">
        <f t="shared" si="95"/>
        <v>4220</v>
      </c>
      <c r="T106">
        <v>165</v>
      </c>
      <c r="U106">
        <f t="shared" si="96"/>
        <v>247.5</v>
      </c>
      <c r="V106">
        <v>168</v>
      </c>
      <c r="W106">
        <f t="shared" ref="W106" si="149">V106*1.3</f>
        <v>218.4</v>
      </c>
      <c r="X106" t="s">
        <v>73</v>
      </c>
      <c r="Y106" t="e">
        <f t="shared" si="98"/>
        <v>#VALUE!</v>
      </c>
      <c r="Z106">
        <v>11</v>
      </c>
      <c r="AA106">
        <f t="shared" si="99"/>
        <v>5.83</v>
      </c>
      <c r="AB106">
        <v>6000</v>
      </c>
      <c r="AC106">
        <f t="shared" si="100"/>
        <v>6000</v>
      </c>
      <c r="AD106">
        <v>121</v>
      </c>
      <c r="AE106">
        <f t="shared" si="101"/>
        <v>181.5</v>
      </c>
      <c r="AF106">
        <v>600</v>
      </c>
      <c r="AG106">
        <f t="shared" si="102"/>
        <v>780</v>
      </c>
      <c r="AH106" t="s">
        <v>73</v>
      </c>
      <c r="AI106" t="e">
        <f t="shared" si="103"/>
        <v>#VALUE!</v>
      </c>
      <c r="AJ106">
        <v>11</v>
      </c>
      <c r="AK106">
        <f t="shared" si="104"/>
        <v>5.83</v>
      </c>
      <c r="AL106">
        <v>7200</v>
      </c>
      <c r="AM106">
        <f t="shared" si="105"/>
        <v>7200</v>
      </c>
      <c r="AN106">
        <v>600</v>
      </c>
      <c r="AO106">
        <f t="shared" si="106"/>
        <v>900</v>
      </c>
      <c r="AP106">
        <v>140</v>
      </c>
      <c r="AQ106">
        <f t="shared" si="107"/>
        <v>182</v>
      </c>
      <c r="AR106" t="s">
        <v>73</v>
      </c>
      <c r="AS106" t="e">
        <f t="shared" si="108"/>
        <v>#VALUE!</v>
      </c>
      <c r="AT106">
        <v>54</v>
      </c>
      <c r="AU106">
        <f t="shared" si="109"/>
        <v>28.62</v>
      </c>
      <c r="AV106">
        <v>6300</v>
      </c>
      <c r="AW106">
        <f t="shared" si="110"/>
        <v>6300</v>
      </c>
      <c r="AX106">
        <v>625</v>
      </c>
      <c r="AY106">
        <f t="shared" si="111"/>
        <v>937.5</v>
      </c>
      <c r="AZ106">
        <v>168</v>
      </c>
      <c r="BA106">
        <f t="shared" si="112"/>
        <v>218.4</v>
      </c>
    </row>
    <row r="107" spans="1:53" x14ac:dyDescent="0.3">
      <c r="A107" t="s">
        <v>74</v>
      </c>
      <c r="B107" t="s">
        <v>275</v>
      </c>
      <c r="C107" t="s">
        <v>276</v>
      </c>
      <c r="D107" t="s">
        <v>73</v>
      </c>
      <c r="E107" t="e">
        <f t="shared" si="88"/>
        <v>#VALUE!</v>
      </c>
      <c r="F107">
        <v>49</v>
      </c>
      <c r="G107">
        <f t="shared" si="89"/>
        <v>25.970000000000002</v>
      </c>
      <c r="H107">
        <v>34200</v>
      </c>
      <c r="I107">
        <f t="shared" si="90"/>
        <v>34200</v>
      </c>
      <c r="J107">
        <v>6300</v>
      </c>
      <c r="K107">
        <f t="shared" si="91"/>
        <v>9450</v>
      </c>
      <c r="L107">
        <v>125</v>
      </c>
      <c r="M107">
        <f t="shared" si="92"/>
        <v>162.5</v>
      </c>
      <c r="N107" t="s">
        <v>73</v>
      </c>
      <c r="O107" t="e">
        <f t="shared" si="93"/>
        <v>#VALUE!</v>
      </c>
      <c r="P107">
        <v>50</v>
      </c>
      <c r="Q107">
        <f t="shared" si="94"/>
        <v>26.5</v>
      </c>
      <c r="R107">
        <v>13680</v>
      </c>
      <c r="S107">
        <f t="shared" si="95"/>
        <v>13680</v>
      </c>
      <c r="T107">
        <v>6359</v>
      </c>
      <c r="U107">
        <f t="shared" si="96"/>
        <v>9538.5</v>
      </c>
      <c r="V107">
        <v>1250</v>
      </c>
      <c r="W107">
        <f t="shared" ref="W107" si="150">V107*1.3</f>
        <v>1625</v>
      </c>
      <c r="X107" t="s">
        <v>73</v>
      </c>
      <c r="Y107" t="e">
        <f t="shared" si="98"/>
        <v>#VALUE!</v>
      </c>
      <c r="Z107">
        <v>40</v>
      </c>
      <c r="AA107">
        <f t="shared" si="99"/>
        <v>21.200000000000003</v>
      </c>
      <c r="AB107">
        <v>24500</v>
      </c>
      <c r="AC107">
        <f t="shared" si="100"/>
        <v>24500</v>
      </c>
      <c r="AD107">
        <v>5940</v>
      </c>
      <c r="AE107">
        <f t="shared" si="101"/>
        <v>8910</v>
      </c>
      <c r="AF107">
        <v>1404</v>
      </c>
      <c r="AG107">
        <f t="shared" si="102"/>
        <v>1825.2</v>
      </c>
      <c r="AH107" t="s">
        <v>73</v>
      </c>
      <c r="AI107" t="e">
        <f t="shared" si="103"/>
        <v>#VALUE!</v>
      </c>
      <c r="AJ107">
        <v>104</v>
      </c>
      <c r="AK107">
        <f t="shared" si="104"/>
        <v>55.120000000000005</v>
      </c>
      <c r="AL107">
        <v>25110</v>
      </c>
      <c r="AM107">
        <f t="shared" si="105"/>
        <v>25110</v>
      </c>
      <c r="AN107">
        <v>7040</v>
      </c>
      <c r="AO107">
        <f t="shared" si="106"/>
        <v>10560</v>
      </c>
      <c r="AP107">
        <v>945</v>
      </c>
      <c r="AQ107">
        <f t="shared" si="107"/>
        <v>1228.5</v>
      </c>
      <c r="AR107" t="s">
        <v>73</v>
      </c>
      <c r="AS107" t="e">
        <f t="shared" si="108"/>
        <v>#VALUE!</v>
      </c>
      <c r="AT107">
        <v>83</v>
      </c>
      <c r="AU107">
        <f t="shared" si="109"/>
        <v>43.99</v>
      </c>
      <c r="AV107">
        <v>13750</v>
      </c>
      <c r="AW107">
        <f t="shared" si="110"/>
        <v>13750</v>
      </c>
      <c r="AX107">
        <v>7680</v>
      </c>
      <c r="AY107">
        <f t="shared" si="111"/>
        <v>11520</v>
      </c>
      <c r="AZ107">
        <v>975</v>
      </c>
      <c r="BA107">
        <f t="shared" si="112"/>
        <v>1267.5</v>
      </c>
    </row>
    <row r="108" spans="1:53" x14ac:dyDescent="0.3">
      <c r="A108" t="s">
        <v>74</v>
      </c>
      <c r="B108" t="s">
        <v>277</v>
      </c>
      <c r="C108" t="s">
        <v>278</v>
      </c>
      <c r="D108" t="s">
        <v>73</v>
      </c>
      <c r="E108" t="e">
        <f t="shared" si="88"/>
        <v>#VALUE!</v>
      </c>
      <c r="F108">
        <v>20</v>
      </c>
      <c r="G108">
        <f t="shared" si="89"/>
        <v>10.600000000000001</v>
      </c>
      <c r="H108">
        <v>9600</v>
      </c>
      <c r="I108">
        <f t="shared" si="90"/>
        <v>9600</v>
      </c>
      <c r="J108">
        <v>100</v>
      </c>
      <c r="K108">
        <f t="shared" si="91"/>
        <v>150</v>
      </c>
      <c r="L108">
        <v>150</v>
      </c>
      <c r="M108">
        <f t="shared" si="92"/>
        <v>195</v>
      </c>
      <c r="N108" t="s">
        <v>73</v>
      </c>
      <c r="O108" t="e">
        <f t="shared" si="93"/>
        <v>#VALUE!</v>
      </c>
      <c r="P108">
        <v>20</v>
      </c>
      <c r="Q108">
        <f t="shared" si="94"/>
        <v>10.600000000000001</v>
      </c>
      <c r="R108">
        <v>1410</v>
      </c>
      <c r="S108">
        <f t="shared" si="95"/>
        <v>1410</v>
      </c>
      <c r="T108">
        <v>130</v>
      </c>
      <c r="U108">
        <f t="shared" si="96"/>
        <v>195</v>
      </c>
      <c r="V108">
        <v>210</v>
      </c>
      <c r="W108">
        <f t="shared" ref="W108" si="151">V108*1.3</f>
        <v>273</v>
      </c>
      <c r="X108" t="s">
        <v>73</v>
      </c>
      <c r="Y108" t="e">
        <f t="shared" si="98"/>
        <v>#VALUE!</v>
      </c>
      <c r="Z108">
        <v>20</v>
      </c>
      <c r="AA108">
        <f t="shared" si="99"/>
        <v>10.600000000000001</v>
      </c>
      <c r="AB108">
        <v>9000</v>
      </c>
      <c r="AC108">
        <f t="shared" si="100"/>
        <v>9000</v>
      </c>
      <c r="AD108">
        <v>231</v>
      </c>
      <c r="AE108">
        <f t="shared" si="101"/>
        <v>346.5</v>
      </c>
      <c r="AF108">
        <v>270</v>
      </c>
      <c r="AG108">
        <f t="shared" si="102"/>
        <v>351</v>
      </c>
      <c r="AH108" t="s">
        <v>73</v>
      </c>
      <c r="AI108" t="e">
        <f t="shared" si="103"/>
        <v>#VALUE!</v>
      </c>
      <c r="AJ108">
        <v>20</v>
      </c>
      <c r="AK108">
        <f t="shared" si="104"/>
        <v>10.600000000000001</v>
      </c>
      <c r="AL108">
        <v>8100</v>
      </c>
      <c r="AM108">
        <f t="shared" si="105"/>
        <v>8100</v>
      </c>
      <c r="AN108">
        <v>231</v>
      </c>
      <c r="AO108">
        <f t="shared" si="106"/>
        <v>346.5</v>
      </c>
      <c r="AP108">
        <v>200</v>
      </c>
      <c r="AQ108">
        <f t="shared" si="107"/>
        <v>260</v>
      </c>
      <c r="AR108" t="s">
        <v>73</v>
      </c>
      <c r="AS108" t="e">
        <f t="shared" si="108"/>
        <v>#VALUE!</v>
      </c>
      <c r="AT108">
        <v>20</v>
      </c>
      <c r="AU108">
        <f t="shared" si="109"/>
        <v>10.600000000000001</v>
      </c>
      <c r="AV108">
        <v>6750</v>
      </c>
      <c r="AW108">
        <f t="shared" si="110"/>
        <v>6750</v>
      </c>
      <c r="AX108">
        <v>196</v>
      </c>
      <c r="AY108">
        <f t="shared" si="111"/>
        <v>294</v>
      </c>
      <c r="AZ108">
        <v>30</v>
      </c>
      <c r="BA108">
        <f t="shared" si="112"/>
        <v>39</v>
      </c>
    </row>
    <row r="109" spans="1:53" x14ac:dyDescent="0.3">
      <c r="A109" t="s">
        <v>74</v>
      </c>
      <c r="B109" t="s">
        <v>279</v>
      </c>
      <c r="C109" t="s">
        <v>280</v>
      </c>
      <c r="D109" t="s">
        <v>73</v>
      </c>
      <c r="E109" t="e">
        <f t="shared" si="88"/>
        <v>#VALUE!</v>
      </c>
      <c r="F109">
        <v>105</v>
      </c>
      <c r="G109">
        <f t="shared" si="89"/>
        <v>55.650000000000006</v>
      </c>
      <c r="H109">
        <v>39600</v>
      </c>
      <c r="I109">
        <f t="shared" si="90"/>
        <v>39600</v>
      </c>
      <c r="J109">
        <v>9000</v>
      </c>
      <c r="K109">
        <f t="shared" si="91"/>
        <v>13500</v>
      </c>
      <c r="L109">
        <v>1640</v>
      </c>
      <c r="M109">
        <f t="shared" si="92"/>
        <v>2132</v>
      </c>
      <c r="N109" t="s">
        <v>73</v>
      </c>
      <c r="O109" t="e">
        <f t="shared" si="93"/>
        <v>#VALUE!</v>
      </c>
      <c r="P109">
        <v>108</v>
      </c>
      <c r="Q109">
        <f t="shared" si="94"/>
        <v>57.24</v>
      </c>
      <c r="R109">
        <v>27500</v>
      </c>
      <c r="S109">
        <f t="shared" si="95"/>
        <v>27500</v>
      </c>
      <c r="T109">
        <v>9000</v>
      </c>
      <c r="U109">
        <f t="shared" si="96"/>
        <v>13500</v>
      </c>
      <c r="V109">
        <v>2210</v>
      </c>
      <c r="W109">
        <f t="shared" ref="W109" si="152">V109*1.3</f>
        <v>2873</v>
      </c>
      <c r="X109" t="s">
        <v>73</v>
      </c>
      <c r="Y109" t="e">
        <f t="shared" si="98"/>
        <v>#VALUE!</v>
      </c>
      <c r="Z109">
        <v>106</v>
      </c>
      <c r="AA109">
        <f t="shared" si="99"/>
        <v>56.18</v>
      </c>
      <c r="AB109">
        <v>26460</v>
      </c>
      <c r="AC109">
        <f t="shared" si="100"/>
        <v>26460</v>
      </c>
      <c r="AD109">
        <v>9450</v>
      </c>
      <c r="AE109">
        <f t="shared" si="101"/>
        <v>14175</v>
      </c>
      <c r="AF109">
        <v>3000</v>
      </c>
      <c r="AG109">
        <f t="shared" si="102"/>
        <v>3900</v>
      </c>
      <c r="AH109" t="s">
        <v>73</v>
      </c>
      <c r="AI109" t="e">
        <f t="shared" si="103"/>
        <v>#VALUE!</v>
      </c>
      <c r="AJ109">
        <v>105</v>
      </c>
      <c r="AK109">
        <f t="shared" si="104"/>
        <v>55.650000000000006</v>
      </c>
      <c r="AL109">
        <v>33840</v>
      </c>
      <c r="AM109">
        <f t="shared" si="105"/>
        <v>33840</v>
      </c>
      <c r="AN109">
        <v>10850</v>
      </c>
      <c r="AO109">
        <f t="shared" si="106"/>
        <v>16275</v>
      </c>
      <c r="AP109">
        <v>1500</v>
      </c>
      <c r="AQ109">
        <f t="shared" si="107"/>
        <v>1950</v>
      </c>
      <c r="AR109" t="s">
        <v>73</v>
      </c>
      <c r="AS109" t="e">
        <f t="shared" si="108"/>
        <v>#VALUE!</v>
      </c>
      <c r="AT109">
        <v>105</v>
      </c>
      <c r="AU109">
        <f t="shared" si="109"/>
        <v>55.650000000000006</v>
      </c>
      <c r="AV109">
        <v>25380</v>
      </c>
      <c r="AW109">
        <f t="shared" si="110"/>
        <v>25380</v>
      </c>
      <c r="AX109">
        <v>10616</v>
      </c>
      <c r="AY109">
        <f t="shared" si="111"/>
        <v>15924</v>
      </c>
      <c r="AZ109">
        <v>1560</v>
      </c>
      <c r="BA109">
        <f t="shared" si="112"/>
        <v>2028</v>
      </c>
    </row>
    <row r="110" spans="1:53" x14ac:dyDescent="0.3">
      <c r="A110" t="s">
        <v>74</v>
      </c>
      <c r="B110" t="s">
        <v>281</v>
      </c>
      <c r="C110" t="s">
        <v>282</v>
      </c>
      <c r="D110" t="s">
        <v>73</v>
      </c>
      <c r="E110" t="e">
        <f t="shared" si="88"/>
        <v>#VALUE!</v>
      </c>
      <c r="F110" t="s">
        <v>73</v>
      </c>
      <c r="G110" t="e">
        <f t="shared" si="89"/>
        <v>#VALUE!</v>
      </c>
      <c r="H110">
        <v>14985</v>
      </c>
      <c r="I110">
        <f t="shared" si="90"/>
        <v>14985</v>
      </c>
      <c r="J110">
        <v>1344</v>
      </c>
      <c r="K110">
        <f t="shared" si="91"/>
        <v>2016</v>
      </c>
      <c r="L110" t="s">
        <v>73</v>
      </c>
      <c r="M110" t="e">
        <f t="shared" si="92"/>
        <v>#VALUE!</v>
      </c>
      <c r="N110" t="s">
        <v>73</v>
      </c>
      <c r="O110" t="e">
        <f t="shared" si="93"/>
        <v>#VALUE!</v>
      </c>
      <c r="P110" t="s">
        <v>73</v>
      </c>
      <c r="Q110" t="e">
        <f t="shared" si="94"/>
        <v>#VALUE!</v>
      </c>
      <c r="R110">
        <v>14060</v>
      </c>
      <c r="S110">
        <f t="shared" si="95"/>
        <v>14060</v>
      </c>
      <c r="T110">
        <v>1304</v>
      </c>
      <c r="U110">
        <f t="shared" si="96"/>
        <v>1956</v>
      </c>
      <c r="V110">
        <v>183</v>
      </c>
      <c r="W110">
        <f t="shared" ref="W110" si="153">V110*1.3</f>
        <v>237.9</v>
      </c>
      <c r="X110" t="s">
        <v>73</v>
      </c>
      <c r="Y110" t="e">
        <f t="shared" si="98"/>
        <v>#VALUE!</v>
      </c>
      <c r="Z110" t="s">
        <v>73</v>
      </c>
      <c r="AA110" t="e">
        <f t="shared" si="99"/>
        <v>#VALUE!</v>
      </c>
      <c r="AB110">
        <v>9000</v>
      </c>
      <c r="AC110">
        <f t="shared" si="100"/>
        <v>9000</v>
      </c>
      <c r="AD110">
        <v>2800</v>
      </c>
      <c r="AE110">
        <f t="shared" si="101"/>
        <v>4200</v>
      </c>
      <c r="AF110">
        <v>1550</v>
      </c>
      <c r="AG110">
        <f t="shared" si="102"/>
        <v>2015</v>
      </c>
      <c r="AH110" t="s">
        <v>73</v>
      </c>
      <c r="AI110" t="e">
        <f t="shared" si="103"/>
        <v>#VALUE!</v>
      </c>
      <c r="AJ110" t="s">
        <v>73</v>
      </c>
      <c r="AK110" t="e">
        <f t="shared" si="104"/>
        <v>#VALUE!</v>
      </c>
      <c r="AL110">
        <v>15500</v>
      </c>
      <c r="AM110">
        <f t="shared" si="105"/>
        <v>15500</v>
      </c>
      <c r="AN110">
        <v>3400</v>
      </c>
      <c r="AO110">
        <f t="shared" si="106"/>
        <v>5100</v>
      </c>
      <c r="AP110">
        <v>720</v>
      </c>
      <c r="AQ110">
        <f t="shared" si="107"/>
        <v>936</v>
      </c>
      <c r="AR110" t="s">
        <v>73</v>
      </c>
      <c r="AS110" t="e">
        <f t="shared" si="108"/>
        <v>#VALUE!</v>
      </c>
      <c r="AT110" t="s">
        <v>73</v>
      </c>
      <c r="AU110" t="e">
        <f t="shared" si="109"/>
        <v>#VALUE!</v>
      </c>
      <c r="AV110">
        <v>9200</v>
      </c>
      <c r="AW110">
        <f t="shared" si="110"/>
        <v>9200</v>
      </c>
      <c r="AX110">
        <v>3040</v>
      </c>
      <c r="AY110">
        <f t="shared" si="111"/>
        <v>4560</v>
      </c>
      <c r="AZ110">
        <v>780</v>
      </c>
      <c r="BA110">
        <f t="shared" si="112"/>
        <v>1014</v>
      </c>
    </row>
    <row r="111" spans="1:53" x14ac:dyDescent="0.3">
      <c r="A111" t="s">
        <v>74</v>
      </c>
      <c r="B111" t="s">
        <v>283</v>
      </c>
      <c r="C111" t="s">
        <v>284</v>
      </c>
      <c r="D111" t="s">
        <v>73</v>
      </c>
      <c r="E111" t="e">
        <f t="shared" si="88"/>
        <v>#VALUE!</v>
      </c>
      <c r="F111" t="s">
        <v>73</v>
      </c>
      <c r="G111" t="e">
        <f t="shared" si="89"/>
        <v>#VALUE!</v>
      </c>
      <c r="H111">
        <v>10800</v>
      </c>
      <c r="I111">
        <f t="shared" si="90"/>
        <v>10800</v>
      </c>
      <c r="J111">
        <v>3600</v>
      </c>
      <c r="K111">
        <f t="shared" si="91"/>
        <v>5400</v>
      </c>
      <c r="L111" t="s">
        <v>73</v>
      </c>
      <c r="M111" t="e">
        <f t="shared" si="92"/>
        <v>#VALUE!</v>
      </c>
      <c r="N111" t="s">
        <v>73</v>
      </c>
      <c r="O111" t="e">
        <f t="shared" si="93"/>
        <v>#VALUE!</v>
      </c>
      <c r="P111" t="s">
        <v>73</v>
      </c>
      <c r="Q111" t="e">
        <f t="shared" si="94"/>
        <v>#VALUE!</v>
      </c>
      <c r="R111">
        <v>9192</v>
      </c>
      <c r="S111">
        <f t="shared" si="95"/>
        <v>9192</v>
      </c>
      <c r="T111">
        <v>3260</v>
      </c>
      <c r="U111">
        <f t="shared" si="96"/>
        <v>4890</v>
      </c>
      <c r="V111" t="s">
        <v>73</v>
      </c>
      <c r="W111" t="e">
        <f t="shared" ref="W111" si="154">V111*1.3</f>
        <v>#VALUE!</v>
      </c>
      <c r="X111" t="s">
        <v>73</v>
      </c>
      <c r="Y111" t="e">
        <f t="shared" si="98"/>
        <v>#VALUE!</v>
      </c>
      <c r="Z111" t="s">
        <v>73</v>
      </c>
      <c r="AA111" t="e">
        <f t="shared" si="99"/>
        <v>#VALUE!</v>
      </c>
      <c r="AB111">
        <v>7623</v>
      </c>
      <c r="AC111">
        <f t="shared" si="100"/>
        <v>7623</v>
      </c>
      <c r="AD111">
        <v>3660</v>
      </c>
      <c r="AE111">
        <f t="shared" si="101"/>
        <v>5490</v>
      </c>
      <c r="AF111" t="s">
        <v>73</v>
      </c>
      <c r="AG111" t="e">
        <f t="shared" si="102"/>
        <v>#VALUE!</v>
      </c>
      <c r="AH111" t="s">
        <v>73</v>
      </c>
      <c r="AI111" t="e">
        <f t="shared" si="103"/>
        <v>#VALUE!</v>
      </c>
      <c r="AJ111" t="s">
        <v>73</v>
      </c>
      <c r="AK111" t="e">
        <f t="shared" si="104"/>
        <v>#VALUE!</v>
      </c>
      <c r="AL111">
        <v>6500</v>
      </c>
      <c r="AM111">
        <f t="shared" si="105"/>
        <v>6500</v>
      </c>
      <c r="AN111">
        <v>4200</v>
      </c>
      <c r="AO111">
        <f t="shared" si="106"/>
        <v>6300</v>
      </c>
      <c r="AP111">
        <v>468</v>
      </c>
      <c r="AQ111">
        <f t="shared" si="107"/>
        <v>608.4</v>
      </c>
      <c r="AR111" t="s">
        <v>73</v>
      </c>
      <c r="AS111" t="e">
        <f t="shared" si="108"/>
        <v>#VALUE!</v>
      </c>
      <c r="AT111" t="s">
        <v>73</v>
      </c>
      <c r="AU111" t="e">
        <f t="shared" si="109"/>
        <v>#VALUE!</v>
      </c>
      <c r="AV111">
        <v>2930</v>
      </c>
      <c r="AW111">
        <f t="shared" si="110"/>
        <v>2930</v>
      </c>
      <c r="AX111">
        <v>4070</v>
      </c>
      <c r="AY111">
        <f t="shared" si="111"/>
        <v>6105</v>
      </c>
      <c r="AZ111">
        <v>780</v>
      </c>
      <c r="BA111">
        <f t="shared" si="112"/>
        <v>1014</v>
      </c>
    </row>
    <row r="112" spans="1:53" x14ac:dyDescent="0.3">
      <c r="A112" t="s">
        <v>74</v>
      </c>
      <c r="B112" t="s">
        <v>285</v>
      </c>
      <c r="C112" t="s">
        <v>286</v>
      </c>
      <c r="D112" t="s">
        <v>73</v>
      </c>
      <c r="E112" t="e">
        <f t="shared" si="88"/>
        <v>#VALUE!</v>
      </c>
      <c r="F112">
        <v>425</v>
      </c>
      <c r="G112">
        <f t="shared" si="89"/>
        <v>225.25</v>
      </c>
      <c r="H112">
        <v>38775</v>
      </c>
      <c r="I112">
        <f t="shared" si="90"/>
        <v>38775</v>
      </c>
      <c r="J112">
        <v>7175</v>
      </c>
      <c r="K112">
        <f t="shared" si="91"/>
        <v>10762.5</v>
      </c>
      <c r="L112">
        <v>552</v>
      </c>
      <c r="M112">
        <f t="shared" si="92"/>
        <v>717.6</v>
      </c>
      <c r="N112" t="s">
        <v>73</v>
      </c>
      <c r="O112" t="e">
        <f t="shared" si="93"/>
        <v>#VALUE!</v>
      </c>
      <c r="P112">
        <v>425</v>
      </c>
      <c r="Q112">
        <f t="shared" si="94"/>
        <v>225.25</v>
      </c>
      <c r="R112">
        <v>29000</v>
      </c>
      <c r="S112">
        <f t="shared" si="95"/>
        <v>29000</v>
      </c>
      <c r="T112">
        <v>7420</v>
      </c>
      <c r="U112">
        <f t="shared" si="96"/>
        <v>11130</v>
      </c>
      <c r="V112">
        <v>729</v>
      </c>
      <c r="W112">
        <f t="shared" ref="W112" si="155">V112*1.3</f>
        <v>947.7</v>
      </c>
      <c r="X112" t="s">
        <v>73</v>
      </c>
      <c r="Y112" t="e">
        <f t="shared" si="98"/>
        <v>#VALUE!</v>
      </c>
      <c r="Z112">
        <v>306</v>
      </c>
      <c r="AA112">
        <f t="shared" si="99"/>
        <v>162.18</v>
      </c>
      <c r="AB112">
        <v>26460</v>
      </c>
      <c r="AC112">
        <f t="shared" si="100"/>
        <v>26460</v>
      </c>
      <c r="AD112">
        <v>5520</v>
      </c>
      <c r="AE112">
        <f t="shared" si="101"/>
        <v>8280</v>
      </c>
      <c r="AF112">
        <v>875</v>
      </c>
      <c r="AG112">
        <f t="shared" si="102"/>
        <v>1137.5</v>
      </c>
      <c r="AH112" t="s">
        <v>73</v>
      </c>
      <c r="AI112" t="e">
        <f t="shared" si="103"/>
        <v>#VALUE!</v>
      </c>
      <c r="AJ112">
        <v>401</v>
      </c>
      <c r="AK112">
        <f t="shared" si="104"/>
        <v>212.53</v>
      </c>
      <c r="AL112">
        <v>44100</v>
      </c>
      <c r="AM112">
        <f t="shared" si="105"/>
        <v>44100</v>
      </c>
      <c r="AN112">
        <v>9200</v>
      </c>
      <c r="AO112">
        <f t="shared" si="106"/>
        <v>13800</v>
      </c>
      <c r="AP112">
        <v>630</v>
      </c>
      <c r="AQ112">
        <f t="shared" si="107"/>
        <v>819</v>
      </c>
      <c r="AR112" t="s">
        <v>73</v>
      </c>
      <c r="AS112" t="e">
        <f t="shared" si="108"/>
        <v>#VALUE!</v>
      </c>
      <c r="AT112">
        <v>315</v>
      </c>
      <c r="AU112">
        <f t="shared" si="109"/>
        <v>166.95000000000002</v>
      </c>
      <c r="AV112">
        <v>29400</v>
      </c>
      <c r="AW112">
        <f t="shared" si="110"/>
        <v>29400</v>
      </c>
      <c r="AX112">
        <v>8034</v>
      </c>
      <c r="AY112">
        <f t="shared" si="111"/>
        <v>12051</v>
      </c>
      <c r="AZ112">
        <v>1000</v>
      </c>
      <c r="BA112">
        <f t="shared" si="112"/>
        <v>1300</v>
      </c>
    </row>
    <row r="113" spans="1:53" x14ac:dyDescent="0.3">
      <c r="A113" t="s">
        <v>70</v>
      </c>
      <c r="B113" t="s">
        <v>287</v>
      </c>
      <c r="C113" t="s">
        <v>288</v>
      </c>
      <c r="D113">
        <v>3</v>
      </c>
      <c r="E113">
        <f t="shared" si="88"/>
        <v>3.5999999999999996</v>
      </c>
      <c r="F113">
        <v>677</v>
      </c>
      <c r="G113">
        <f t="shared" si="89"/>
        <v>358.81</v>
      </c>
      <c r="H113">
        <v>161493</v>
      </c>
      <c r="I113">
        <f t="shared" si="90"/>
        <v>161493</v>
      </c>
      <c r="J113">
        <v>22128</v>
      </c>
      <c r="K113">
        <f t="shared" si="91"/>
        <v>33192</v>
      </c>
      <c r="L113">
        <v>1440</v>
      </c>
      <c r="M113">
        <f t="shared" si="92"/>
        <v>1872</v>
      </c>
      <c r="N113">
        <v>2</v>
      </c>
      <c r="O113">
        <f t="shared" si="93"/>
        <v>2.4</v>
      </c>
      <c r="P113">
        <v>536</v>
      </c>
      <c r="Q113">
        <f t="shared" si="94"/>
        <v>284.08000000000004</v>
      </c>
      <c r="R113">
        <v>62166</v>
      </c>
      <c r="S113">
        <f t="shared" si="95"/>
        <v>62166</v>
      </c>
      <c r="T113">
        <v>21725</v>
      </c>
      <c r="U113">
        <f t="shared" si="96"/>
        <v>32587.5</v>
      </c>
      <c r="V113">
        <v>5690</v>
      </c>
      <c r="W113">
        <f t="shared" ref="W113" si="156">V113*1.3</f>
        <v>7397</v>
      </c>
      <c r="X113">
        <v>3</v>
      </c>
      <c r="Y113">
        <f t="shared" si="98"/>
        <v>3.5999999999999996</v>
      </c>
      <c r="Z113">
        <v>632</v>
      </c>
      <c r="AA113">
        <f t="shared" si="99"/>
        <v>334.96000000000004</v>
      </c>
      <c r="AB113">
        <v>92620</v>
      </c>
      <c r="AC113">
        <f t="shared" si="100"/>
        <v>92620</v>
      </c>
      <c r="AD113">
        <v>21598</v>
      </c>
      <c r="AE113">
        <f t="shared" si="101"/>
        <v>32397</v>
      </c>
      <c r="AF113">
        <v>8677</v>
      </c>
      <c r="AG113">
        <f t="shared" si="102"/>
        <v>11280.1</v>
      </c>
      <c r="AH113" t="s">
        <v>73</v>
      </c>
      <c r="AI113" t="e">
        <f t="shared" si="103"/>
        <v>#VALUE!</v>
      </c>
      <c r="AJ113">
        <v>362</v>
      </c>
      <c r="AK113">
        <f t="shared" si="104"/>
        <v>191.86</v>
      </c>
      <c r="AL113">
        <v>95915</v>
      </c>
      <c r="AM113">
        <f t="shared" si="105"/>
        <v>95915</v>
      </c>
      <c r="AN113">
        <v>32544</v>
      </c>
      <c r="AO113">
        <f t="shared" si="106"/>
        <v>48816</v>
      </c>
      <c r="AP113">
        <v>7795</v>
      </c>
      <c r="AQ113">
        <f t="shared" si="107"/>
        <v>10133.5</v>
      </c>
      <c r="AR113" t="s">
        <v>73</v>
      </c>
      <c r="AS113" t="e">
        <f t="shared" si="108"/>
        <v>#VALUE!</v>
      </c>
      <c r="AT113">
        <v>382</v>
      </c>
      <c r="AU113">
        <f t="shared" si="109"/>
        <v>202.46</v>
      </c>
      <c r="AV113">
        <v>74092</v>
      </c>
      <c r="AW113">
        <f t="shared" si="110"/>
        <v>74092</v>
      </c>
      <c r="AX113">
        <v>33780</v>
      </c>
      <c r="AY113">
        <f t="shared" si="111"/>
        <v>50670</v>
      </c>
      <c r="AZ113">
        <v>8792</v>
      </c>
      <c r="BA113">
        <f t="shared" si="112"/>
        <v>11429.6</v>
      </c>
    </row>
    <row r="114" spans="1:53" x14ac:dyDescent="0.3">
      <c r="A114" t="s">
        <v>74</v>
      </c>
      <c r="B114" t="s">
        <v>289</v>
      </c>
      <c r="C114" t="s">
        <v>290</v>
      </c>
      <c r="D114" t="s">
        <v>73</v>
      </c>
      <c r="E114" t="e">
        <f t="shared" si="88"/>
        <v>#VALUE!</v>
      </c>
      <c r="F114">
        <v>16</v>
      </c>
      <c r="G114">
        <f t="shared" si="89"/>
        <v>8.48</v>
      </c>
      <c r="H114">
        <v>4680</v>
      </c>
      <c r="I114">
        <f t="shared" si="90"/>
        <v>4680</v>
      </c>
      <c r="J114">
        <v>660</v>
      </c>
      <c r="K114">
        <f t="shared" si="91"/>
        <v>990</v>
      </c>
      <c r="L114">
        <v>160</v>
      </c>
      <c r="M114">
        <f t="shared" si="92"/>
        <v>208</v>
      </c>
      <c r="N114" t="s">
        <v>73</v>
      </c>
      <c r="O114" t="e">
        <f t="shared" si="93"/>
        <v>#VALUE!</v>
      </c>
      <c r="P114">
        <v>9</v>
      </c>
      <c r="Q114">
        <f t="shared" si="94"/>
        <v>4.7700000000000005</v>
      </c>
      <c r="R114">
        <v>2000</v>
      </c>
      <c r="S114">
        <f t="shared" si="95"/>
        <v>2000</v>
      </c>
      <c r="T114">
        <v>600</v>
      </c>
      <c r="U114">
        <f t="shared" si="96"/>
        <v>900</v>
      </c>
      <c r="V114">
        <v>245</v>
      </c>
      <c r="W114">
        <f t="shared" ref="W114" si="157">V114*1.3</f>
        <v>318.5</v>
      </c>
      <c r="X114" t="s">
        <v>73</v>
      </c>
      <c r="Y114" t="e">
        <f t="shared" si="98"/>
        <v>#VALUE!</v>
      </c>
      <c r="Z114">
        <v>15</v>
      </c>
      <c r="AA114">
        <f t="shared" si="99"/>
        <v>7.95</v>
      </c>
      <c r="AB114">
        <v>2160</v>
      </c>
      <c r="AC114">
        <f t="shared" si="100"/>
        <v>2160</v>
      </c>
      <c r="AD114">
        <v>1406</v>
      </c>
      <c r="AE114">
        <f t="shared" si="101"/>
        <v>2109</v>
      </c>
      <c r="AF114">
        <v>850</v>
      </c>
      <c r="AG114">
        <f t="shared" si="102"/>
        <v>1105</v>
      </c>
      <c r="AH114" t="s">
        <v>73</v>
      </c>
      <c r="AI114" t="e">
        <f t="shared" si="103"/>
        <v>#VALUE!</v>
      </c>
      <c r="AJ114">
        <v>6</v>
      </c>
      <c r="AK114">
        <f t="shared" si="104"/>
        <v>3.18</v>
      </c>
      <c r="AL114">
        <v>2160</v>
      </c>
      <c r="AM114">
        <f t="shared" si="105"/>
        <v>2160</v>
      </c>
      <c r="AN114">
        <v>1200</v>
      </c>
      <c r="AO114">
        <f t="shared" si="106"/>
        <v>1800</v>
      </c>
      <c r="AP114">
        <v>351</v>
      </c>
      <c r="AQ114">
        <f t="shared" si="107"/>
        <v>456.3</v>
      </c>
      <c r="AR114" t="s">
        <v>73</v>
      </c>
      <c r="AS114" t="e">
        <f t="shared" si="108"/>
        <v>#VALUE!</v>
      </c>
      <c r="AT114">
        <v>6</v>
      </c>
      <c r="AU114">
        <f t="shared" si="109"/>
        <v>3.18</v>
      </c>
      <c r="AV114">
        <v>2970</v>
      </c>
      <c r="AW114">
        <f t="shared" si="110"/>
        <v>2970</v>
      </c>
      <c r="AX114">
        <v>1476</v>
      </c>
      <c r="AY114">
        <f t="shared" si="111"/>
        <v>2214</v>
      </c>
      <c r="AZ114">
        <v>666</v>
      </c>
      <c r="BA114">
        <f t="shared" si="112"/>
        <v>865.80000000000007</v>
      </c>
    </row>
    <row r="115" spans="1:53" x14ac:dyDescent="0.3">
      <c r="A115" t="s">
        <v>74</v>
      </c>
      <c r="B115" t="s">
        <v>291</v>
      </c>
      <c r="C115" t="s">
        <v>292</v>
      </c>
      <c r="D115">
        <v>3</v>
      </c>
      <c r="E115">
        <f t="shared" si="88"/>
        <v>3.5999999999999996</v>
      </c>
      <c r="F115">
        <v>30</v>
      </c>
      <c r="G115">
        <f t="shared" si="89"/>
        <v>15.9</v>
      </c>
      <c r="H115">
        <v>6498</v>
      </c>
      <c r="I115">
        <f t="shared" si="90"/>
        <v>6498</v>
      </c>
      <c r="J115">
        <v>195</v>
      </c>
      <c r="K115">
        <f t="shared" si="91"/>
        <v>292.5</v>
      </c>
      <c r="L115" t="s">
        <v>73</v>
      </c>
      <c r="M115" t="e">
        <f t="shared" si="92"/>
        <v>#VALUE!</v>
      </c>
      <c r="N115">
        <v>2</v>
      </c>
      <c r="O115">
        <f t="shared" si="93"/>
        <v>2.4</v>
      </c>
      <c r="P115">
        <v>13</v>
      </c>
      <c r="Q115">
        <f t="shared" si="94"/>
        <v>6.8900000000000006</v>
      </c>
      <c r="R115">
        <v>3150</v>
      </c>
      <c r="S115">
        <f t="shared" si="95"/>
        <v>3150</v>
      </c>
      <c r="T115">
        <v>150</v>
      </c>
      <c r="U115">
        <f t="shared" si="96"/>
        <v>225</v>
      </c>
      <c r="V115" t="s">
        <v>73</v>
      </c>
      <c r="W115" t="e">
        <f t="shared" ref="W115" si="158">V115*1.3</f>
        <v>#VALUE!</v>
      </c>
      <c r="X115">
        <v>3</v>
      </c>
      <c r="Y115">
        <f t="shared" si="98"/>
        <v>3.5999999999999996</v>
      </c>
      <c r="Z115">
        <v>9</v>
      </c>
      <c r="AA115">
        <f t="shared" si="99"/>
        <v>4.7700000000000005</v>
      </c>
      <c r="AB115">
        <v>3150</v>
      </c>
      <c r="AC115">
        <f t="shared" si="100"/>
        <v>3150</v>
      </c>
      <c r="AD115">
        <v>135</v>
      </c>
      <c r="AE115">
        <f t="shared" si="101"/>
        <v>202.5</v>
      </c>
      <c r="AF115" t="s">
        <v>73</v>
      </c>
      <c r="AG115" t="e">
        <f t="shared" si="102"/>
        <v>#VALUE!</v>
      </c>
      <c r="AH115" t="s">
        <v>73</v>
      </c>
      <c r="AI115" t="e">
        <f t="shared" si="103"/>
        <v>#VALUE!</v>
      </c>
      <c r="AJ115">
        <v>9</v>
      </c>
      <c r="AK115">
        <f t="shared" si="104"/>
        <v>4.7700000000000005</v>
      </c>
      <c r="AL115">
        <v>2100</v>
      </c>
      <c r="AM115">
        <f t="shared" si="105"/>
        <v>2100</v>
      </c>
      <c r="AN115">
        <v>70</v>
      </c>
      <c r="AO115">
        <f t="shared" si="106"/>
        <v>105</v>
      </c>
      <c r="AP115" t="s">
        <v>73</v>
      </c>
      <c r="AQ115" t="e">
        <f t="shared" si="107"/>
        <v>#VALUE!</v>
      </c>
      <c r="AR115" t="s">
        <v>73</v>
      </c>
      <c r="AS115" t="e">
        <f t="shared" si="108"/>
        <v>#VALUE!</v>
      </c>
      <c r="AT115">
        <v>7</v>
      </c>
      <c r="AU115">
        <f t="shared" si="109"/>
        <v>3.71</v>
      </c>
      <c r="AV115">
        <v>2100</v>
      </c>
      <c r="AW115">
        <f t="shared" si="110"/>
        <v>2100</v>
      </c>
      <c r="AX115">
        <v>36</v>
      </c>
      <c r="AY115">
        <f t="shared" si="111"/>
        <v>54</v>
      </c>
      <c r="AZ115" t="s">
        <v>73</v>
      </c>
      <c r="BA115" t="e">
        <f t="shared" si="112"/>
        <v>#VALUE!</v>
      </c>
    </row>
    <row r="116" spans="1:53" x14ac:dyDescent="0.3">
      <c r="A116" t="s">
        <v>74</v>
      </c>
      <c r="B116" t="s">
        <v>293</v>
      </c>
      <c r="C116" t="s">
        <v>294</v>
      </c>
      <c r="D116" t="s">
        <v>73</v>
      </c>
      <c r="E116" t="e">
        <f t="shared" si="88"/>
        <v>#VALUE!</v>
      </c>
      <c r="F116">
        <v>18</v>
      </c>
      <c r="G116">
        <f t="shared" si="89"/>
        <v>9.5400000000000009</v>
      </c>
      <c r="H116">
        <v>2400</v>
      </c>
      <c r="I116">
        <f t="shared" si="90"/>
        <v>2400</v>
      </c>
      <c r="J116">
        <v>200</v>
      </c>
      <c r="K116">
        <f t="shared" si="91"/>
        <v>300</v>
      </c>
      <c r="L116" t="s">
        <v>73</v>
      </c>
      <c r="M116" t="e">
        <f t="shared" si="92"/>
        <v>#VALUE!</v>
      </c>
      <c r="N116" t="s">
        <v>73</v>
      </c>
      <c r="O116" t="e">
        <f t="shared" si="93"/>
        <v>#VALUE!</v>
      </c>
      <c r="P116" t="s">
        <v>73</v>
      </c>
      <c r="Q116" t="e">
        <f t="shared" si="94"/>
        <v>#VALUE!</v>
      </c>
      <c r="R116">
        <v>1000</v>
      </c>
      <c r="S116">
        <f t="shared" si="95"/>
        <v>1000</v>
      </c>
      <c r="T116">
        <v>230</v>
      </c>
      <c r="U116">
        <f t="shared" si="96"/>
        <v>345</v>
      </c>
      <c r="V116" t="s">
        <v>73</v>
      </c>
      <c r="W116" t="e">
        <f t="shared" ref="W116" si="159">V116*1.3</f>
        <v>#VALUE!</v>
      </c>
      <c r="X116" t="s">
        <v>73</v>
      </c>
      <c r="Y116" t="e">
        <f t="shared" si="98"/>
        <v>#VALUE!</v>
      </c>
      <c r="Z116">
        <v>20</v>
      </c>
      <c r="AA116">
        <f t="shared" si="99"/>
        <v>10.600000000000001</v>
      </c>
      <c r="AB116">
        <v>1200</v>
      </c>
      <c r="AC116">
        <f t="shared" si="100"/>
        <v>1200</v>
      </c>
      <c r="AD116">
        <v>150</v>
      </c>
      <c r="AE116">
        <f t="shared" si="101"/>
        <v>225</v>
      </c>
      <c r="AF116">
        <v>60</v>
      </c>
      <c r="AG116">
        <f t="shared" si="102"/>
        <v>78</v>
      </c>
      <c r="AH116" t="s">
        <v>73</v>
      </c>
      <c r="AI116" t="e">
        <f t="shared" si="103"/>
        <v>#VALUE!</v>
      </c>
      <c r="AJ116">
        <v>21</v>
      </c>
      <c r="AK116">
        <f t="shared" si="104"/>
        <v>11.13</v>
      </c>
      <c r="AL116">
        <v>3150</v>
      </c>
      <c r="AM116">
        <f t="shared" si="105"/>
        <v>3150</v>
      </c>
      <c r="AN116">
        <v>624</v>
      </c>
      <c r="AO116">
        <f t="shared" si="106"/>
        <v>936</v>
      </c>
      <c r="AP116">
        <v>135</v>
      </c>
      <c r="AQ116">
        <f t="shared" si="107"/>
        <v>175.5</v>
      </c>
      <c r="AR116" t="s">
        <v>73</v>
      </c>
      <c r="AS116" t="e">
        <f t="shared" si="108"/>
        <v>#VALUE!</v>
      </c>
      <c r="AT116">
        <v>21</v>
      </c>
      <c r="AU116">
        <f t="shared" si="109"/>
        <v>11.13</v>
      </c>
      <c r="AV116">
        <v>972</v>
      </c>
      <c r="AW116">
        <f t="shared" si="110"/>
        <v>972</v>
      </c>
      <c r="AX116">
        <v>750</v>
      </c>
      <c r="AY116">
        <f t="shared" si="111"/>
        <v>1125</v>
      </c>
      <c r="AZ116">
        <v>60</v>
      </c>
      <c r="BA116">
        <f t="shared" si="112"/>
        <v>78</v>
      </c>
    </row>
    <row r="117" spans="1:53" x14ac:dyDescent="0.3">
      <c r="A117" t="s">
        <v>74</v>
      </c>
      <c r="B117" t="s">
        <v>295</v>
      </c>
      <c r="C117" t="s">
        <v>296</v>
      </c>
      <c r="D117" t="s">
        <v>73</v>
      </c>
      <c r="E117" t="e">
        <f t="shared" si="88"/>
        <v>#VALUE!</v>
      </c>
      <c r="F117">
        <v>300</v>
      </c>
      <c r="G117">
        <f t="shared" si="89"/>
        <v>159</v>
      </c>
      <c r="H117">
        <v>50400</v>
      </c>
      <c r="I117">
        <f t="shared" si="90"/>
        <v>50400</v>
      </c>
      <c r="J117">
        <v>5070</v>
      </c>
      <c r="K117">
        <f t="shared" si="91"/>
        <v>7605</v>
      </c>
      <c r="L117">
        <v>960</v>
      </c>
      <c r="M117">
        <f t="shared" si="92"/>
        <v>1248</v>
      </c>
      <c r="N117" t="s">
        <v>73</v>
      </c>
      <c r="O117" t="e">
        <f t="shared" si="93"/>
        <v>#VALUE!</v>
      </c>
      <c r="P117">
        <v>270</v>
      </c>
      <c r="Q117">
        <f t="shared" si="94"/>
        <v>143.1</v>
      </c>
      <c r="R117">
        <v>16616</v>
      </c>
      <c r="S117">
        <f t="shared" si="95"/>
        <v>16616</v>
      </c>
      <c r="T117">
        <v>4880</v>
      </c>
      <c r="U117">
        <f t="shared" si="96"/>
        <v>7320</v>
      </c>
      <c r="V117">
        <v>1500</v>
      </c>
      <c r="W117">
        <f t="shared" ref="W117" si="160">V117*1.3</f>
        <v>1950</v>
      </c>
      <c r="X117" t="s">
        <v>73</v>
      </c>
      <c r="Y117" t="e">
        <f t="shared" si="98"/>
        <v>#VALUE!</v>
      </c>
      <c r="Z117">
        <v>100</v>
      </c>
      <c r="AA117">
        <f t="shared" si="99"/>
        <v>53</v>
      </c>
      <c r="AB117">
        <v>37800</v>
      </c>
      <c r="AC117">
        <f t="shared" si="100"/>
        <v>37800</v>
      </c>
      <c r="AD117">
        <v>6000</v>
      </c>
      <c r="AE117">
        <f t="shared" si="101"/>
        <v>9000</v>
      </c>
      <c r="AF117">
        <v>2100</v>
      </c>
      <c r="AG117">
        <f t="shared" si="102"/>
        <v>2730</v>
      </c>
      <c r="AH117" t="s">
        <v>73</v>
      </c>
      <c r="AI117" t="e">
        <f t="shared" si="103"/>
        <v>#VALUE!</v>
      </c>
      <c r="AJ117">
        <v>100</v>
      </c>
      <c r="AK117">
        <f t="shared" si="104"/>
        <v>53</v>
      </c>
      <c r="AL117">
        <v>36000</v>
      </c>
      <c r="AM117">
        <f t="shared" si="105"/>
        <v>36000</v>
      </c>
      <c r="AN117">
        <v>7590</v>
      </c>
      <c r="AO117">
        <f t="shared" si="106"/>
        <v>11385</v>
      </c>
      <c r="AP117">
        <v>2040</v>
      </c>
      <c r="AQ117">
        <f t="shared" si="107"/>
        <v>2652</v>
      </c>
      <c r="AR117" t="s">
        <v>73</v>
      </c>
      <c r="AS117" t="e">
        <f t="shared" si="108"/>
        <v>#VALUE!</v>
      </c>
      <c r="AT117">
        <v>60</v>
      </c>
      <c r="AU117">
        <f t="shared" si="109"/>
        <v>31.8</v>
      </c>
      <c r="AV117">
        <v>30000</v>
      </c>
      <c r="AW117">
        <f t="shared" si="110"/>
        <v>30000</v>
      </c>
      <c r="AX117">
        <v>7320</v>
      </c>
      <c r="AY117">
        <f t="shared" si="111"/>
        <v>10980</v>
      </c>
      <c r="AZ117">
        <v>2700</v>
      </c>
      <c r="BA117">
        <f t="shared" si="112"/>
        <v>3510</v>
      </c>
    </row>
    <row r="118" spans="1:53" x14ac:dyDescent="0.3">
      <c r="A118" t="s">
        <v>74</v>
      </c>
      <c r="B118" t="s">
        <v>297</v>
      </c>
      <c r="C118" t="s">
        <v>298</v>
      </c>
      <c r="D118" t="s">
        <v>73</v>
      </c>
      <c r="E118" t="e">
        <f t="shared" si="88"/>
        <v>#VALUE!</v>
      </c>
      <c r="F118">
        <v>40</v>
      </c>
      <c r="G118">
        <f t="shared" si="89"/>
        <v>21.200000000000003</v>
      </c>
      <c r="H118">
        <v>9360</v>
      </c>
      <c r="I118">
        <f t="shared" si="90"/>
        <v>9360</v>
      </c>
      <c r="J118">
        <v>600</v>
      </c>
      <c r="K118">
        <f t="shared" si="91"/>
        <v>900</v>
      </c>
      <c r="L118">
        <v>320</v>
      </c>
      <c r="M118">
        <f t="shared" si="92"/>
        <v>416</v>
      </c>
      <c r="N118" t="s">
        <v>73</v>
      </c>
      <c r="O118" t="e">
        <f t="shared" si="93"/>
        <v>#VALUE!</v>
      </c>
      <c r="P118">
        <v>12</v>
      </c>
      <c r="Q118">
        <f t="shared" si="94"/>
        <v>6.36</v>
      </c>
      <c r="R118">
        <v>2700</v>
      </c>
      <c r="S118">
        <f t="shared" si="95"/>
        <v>2700</v>
      </c>
      <c r="T118">
        <v>520</v>
      </c>
      <c r="U118">
        <f t="shared" si="96"/>
        <v>780</v>
      </c>
      <c r="V118">
        <v>360</v>
      </c>
      <c r="W118">
        <f t="shared" ref="W118" si="161">V118*1.3</f>
        <v>468</v>
      </c>
      <c r="X118" t="s">
        <v>73</v>
      </c>
      <c r="Y118" t="e">
        <f t="shared" si="98"/>
        <v>#VALUE!</v>
      </c>
      <c r="Z118">
        <v>35</v>
      </c>
      <c r="AA118">
        <f t="shared" si="99"/>
        <v>18.55</v>
      </c>
      <c r="AB118">
        <v>4800</v>
      </c>
      <c r="AC118">
        <f t="shared" si="100"/>
        <v>4800</v>
      </c>
      <c r="AD118">
        <v>500</v>
      </c>
      <c r="AE118">
        <f t="shared" si="101"/>
        <v>750</v>
      </c>
      <c r="AF118">
        <v>648</v>
      </c>
      <c r="AG118">
        <f t="shared" si="102"/>
        <v>842.4</v>
      </c>
      <c r="AH118" t="s">
        <v>73</v>
      </c>
      <c r="AI118" t="e">
        <f t="shared" si="103"/>
        <v>#VALUE!</v>
      </c>
      <c r="AJ118">
        <v>20</v>
      </c>
      <c r="AK118">
        <f t="shared" si="104"/>
        <v>10.600000000000001</v>
      </c>
      <c r="AL118">
        <v>3825</v>
      </c>
      <c r="AM118">
        <f t="shared" si="105"/>
        <v>3825</v>
      </c>
      <c r="AN118">
        <v>980</v>
      </c>
      <c r="AO118">
        <f t="shared" si="106"/>
        <v>1470</v>
      </c>
      <c r="AP118">
        <v>270</v>
      </c>
      <c r="AQ118">
        <f t="shared" si="107"/>
        <v>351</v>
      </c>
      <c r="AR118" t="s">
        <v>73</v>
      </c>
      <c r="AS118" t="e">
        <f t="shared" si="108"/>
        <v>#VALUE!</v>
      </c>
      <c r="AT118">
        <v>15</v>
      </c>
      <c r="AU118">
        <f t="shared" si="109"/>
        <v>7.95</v>
      </c>
      <c r="AV118">
        <v>4590</v>
      </c>
      <c r="AW118">
        <f t="shared" si="110"/>
        <v>4590</v>
      </c>
      <c r="AX118">
        <v>1224</v>
      </c>
      <c r="AY118">
        <f t="shared" si="111"/>
        <v>1836</v>
      </c>
      <c r="AZ118">
        <v>459</v>
      </c>
      <c r="BA118">
        <f t="shared" si="112"/>
        <v>596.70000000000005</v>
      </c>
    </row>
    <row r="119" spans="1:53" x14ac:dyDescent="0.3">
      <c r="A119" t="s">
        <v>74</v>
      </c>
      <c r="B119" t="s">
        <v>299</v>
      </c>
      <c r="C119" t="s">
        <v>300</v>
      </c>
      <c r="D119" t="s">
        <v>73</v>
      </c>
      <c r="E119" t="e">
        <f t="shared" si="88"/>
        <v>#VALUE!</v>
      </c>
      <c r="F119">
        <v>30</v>
      </c>
      <c r="G119">
        <f t="shared" si="89"/>
        <v>15.9</v>
      </c>
      <c r="H119">
        <v>9000</v>
      </c>
      <c r="I119">
        <f t="shared" si="90"/>
        <v>9000</v>
      </c>
      <c r="J119">
        <v>900</v>
      </c>
      <c r="K119">
        <f t="shared" si="91"/>
        <v>1350</v>
      </c>
      <c r="L119" t="s">
        <v>73</v>
      </c>
      <c r="M119" t="e">
        <f t="shared" si="92"/>
        <v>#VALUE!</v>
      </c>
      <c r="N119" t="s">
        <v>73</v>
      </c>
      <c r="O119" t="e">
        <f t="shared" si="93"/>
        <v>#VALUE!</v>
      </c>
      <c r="P119">
        <v>21</v>
      </c>
      <c r="Q119">
        <f t="shared" si="94"/>
        <v>11.13</v>
      </c>
      <c r="R119">
        <v>3800</v>
      </c>
      <c r="S119">
        <f t="shared" si="95"/>
        <v>3800</v>
      </c>
      <c r="T119">
        <v>1000</v>
      </c>
      <c r="U119">
        <f t="shared" si="96"/>
        <v>1500</v>
      </c>
      <c r="V119">
        <v>650</v>
      </c>
      <c r="W119">
        <f t="shared" ref="W119" si="162">V119*1.3</f>
        <v>845</v>
      </c>
      <c r="X119" t="s">
        <v>73</v>
      </c>
      <c r="Y119" t="e">
        <f t="shared" si="98"/>
        <v>#VALUE!</v>
      </c>
      <c r="Z119">
        <v>22</v>
      </c>
      <c r="AA119">
        <f t="shared" si="99"/>
        <v>11.66</v>
      </c>
      <c r="AB119">
        <v>4800</v>
      </c>
      <c r="AC119">
        <f t="shared" si="100"/>
        <v>4800</v>
      </c>
      <c r="AD119">
        <v>1000</v>
      </c>
      <c r="AE119">
        <f t="shared" si="101"/>
        <v>1500</v>
      </c>
      <c r="AF119">
        <v>240</v>
      </c>
      <c r="AG119">
        <f t="shared" si="102"/>
        <v>312</v>
      </c>
      <c r="AH119" t="s">
        <v>73</v>
      </c>
      <c r="AI119" t="e">
        <f t="shared" si="103"/>
        <v>#VALUE!</v>
      </c>
      <c r="AJ119">
        <v>25</v>
      </c>
      <c r="AK119">
        <f t="shared" si="104"/>
        <v>13.25</v>
      </c>
      <c r="AL119">
        <v>5760</v>
      </c>
      <c r="AM119">
        <f t="shared" si="105"/>
        <v>5760</v>
      </c>
      <c r="AN119">
        <v>1560</v>
      </c>
      <c r="AO119">
        <f t="shared" si="106"/>
        <v>2340</v>
      </c>
      <c r="AP119">
        <v>240</v>
      </c>
      <c r="AQ119">
        <f t="shared" si="107"/>
        <v>312</v>
      </c>
      <c r="AR119" t="s">
        <v>73</v>
      </c>
      <c r="AS119" t="e">
        <f t="shared" si="108"/>
        <v>#VALUE!</v>
      </c>
      <c r="AT119">
        <v>21</v>
      </c>
      <c r="AU119">
        <f t="shared" si="109"/>
        <v>11.13</v>
      </c>
      <c r="AV119">
        <v>3600</v>
      </c>
      <c r="AW119">
        <f t="shared" si="110"/>
        <v>3600</v>
      </c>
      <c r="AX119">
        <v>1080</v>
      </c>
      <c r="AY119">
        <f t="shared" si="111"/>
        <v>1620</v>
      </c>
      <c r="AZ119">
        <v>360</v>
      </c>
      <c r="BA119">
        <f t="shared" si="112"/>
        <v>468</v>
      </c>
    </row>
    <row r="120" spans="1:53" x14ac:dyDescent="0.3">
      <c r="A120" t="s">
        <v>74</v>
      </c>
      <c r="B120" t="s">
        <v>301</v>
      </c>
      <c r="C120" t="s">
        <v>302</v>
      </c>
      <c r="D120" t="s">
        <v>73</v>
      </c>
      <c r="E120" t="e">
        <f t="shared" si="88"/>
        <v>#VALUE!</v>
      </c>
      <c r="F120">
        <v>30</v>
      </c>
      <c r="G120">
        <f t="shared" si="89"/>
        <v>15.9</v>
      </c>
      <c r="H120">
        <v>13800</v>
      </c>
      <c r="I120">
        <f t="shared" si="90"/>
        <v>13800</v>
      </c>
      <c r="J120">
        <v>9500</v>
      </c>
      <c r="K120">
        <f t="shared" si="91"/>
        <v>14250</v>
      </c>
      <c r="L120" t="s">
        <v>73</v>
      </c>
      <c r="M120" t="e">
        <f t="shared" si="92"/>
        <v>#VALUE!</v>
      </c>
      <c r="N120" t="s">
        <v>73</v>
      </c>
      <c r="O120" t="e">
        <f t="shared" si="93"/>
        <v>#VALUE!</v>
      </c>
      <c r="P120">
        <v>30</v>
      </c>
      <c r="Q120">
        <f t="shared" si="94"/>
        <v>15.9</v>
      </c>
      <c r="R120">
        <v>8400</v>
      </c>
      <c r="S120">
        <f t="shared" si="95"/>
        <v>8400</v>
      </c>
      <c r="T120">
        <v>9360</v>
      </c>
      <c r="U120">
        <f t="shared" si="96"/>
        <v>14040</v>
      </c>
      <c r="V120">
        <v>1050</v>
      </c>
      <c r="W120">
        <f t="shared" ref="W120" si="163">V120*1.3</f>
        <v>1365</v>
      </c>
      <c r="X120" t="s">
        <v>73</v>
      </c>
      <c r="Y120" t="e">
        <f t="shared" si="98"/>
        <v>#VALUE!</v>
      </c>
      <c r="Z120">
        <v>18</v>
      </c>
      <c r="AA120">
        <f t="shared" si="99"/>
        <v>9.5400000000000009</v>
      </c>
      <c r="AB120">
        <v>8100</v>
      </c>
      <c r="AC120">
        <f t="shared" si="100"/>
        <v>8100</v>
      </c>
      <c r="AD120">
        <v>6720</v>
      </c>
      <c r="AE120">
        <f t="shared" si="101"/>
        <v>10080</v>
      </c>
      <c r="AF120">
        <v>1500</v>
      </c>
      <c r="AG120">
        <f t="shared" si="102"/>
        <v>1950</v>
      </c>
      <c r="AH120" t="s">
        <v>73</v>
      </c>
      <c r="AI120" t="e">
        <f t="shared" si="103"/>
        <v>#VALUE!</v>
      </c>
      <c r="AJ120">
        <v>23</v>
      </c>
      <c r="AK120">
        <f t="shared" si="104"/>
        <v>12.190000000000001</v>
      </c>
      <c r="AL120">
        <v>9300</v>
      </c>
      <c r="AM120">
        <f t="shared" si="105"/>
        <v>9300</v>
      </c>
      <c r="AN120">
        <v>12000</v>
      </c>
      <c r="AO120">
        <f t="shared" si="106"/>
        <v>18000</v>
      </c>
      <c r="AP120">
        <v>1800</v>
      </c>
      <c r="AQ120">
        <f t="shared" si="107"/>
        <v>2340</v>
      </c>
      <c r="AR120" t="s">
        <v>73</v>
      </c>
      <c r="AS120" t="e">
        <f t="shared" si="108"/>
        <v>#VALUE!</v>
      </c>
      <c r="AT120">
        <v>10</v>
      </c>
      <c r="AU120">
        <f t="shared" si="109"/>
        <v>5.3000000000000007</v>
      </c>
      <c r="AV120">
        <v>3840</v>
      </c>
      <c r="AW120">
        <f t="shared" si="110"/>
        <v>3840</v>
      </c>
      <c r="AX120">
        <v>13260</v>
      </c>
      <c r="AY120">
        <f t="shared" si="111"/>
        <v>19890</v>
      </c>
      <c r="AZ120">
        <v>1518</v>
      </c>
      <c r="BA120">
        <f t="shared" si="112"/>
        <v>1973.4</v>
      </c>
    </row>
    <row r="121" spans="1:53" x14ac:dyDescent="0.3">
      <c r="A121" t="s">
        <v>74</v>
      </c>
      <c r="B121" t="s">
        <v>303</v>
      </c>
      <c r="C121" t="s">
        <v>304</v>
      </c>
      <c r="D121" t="s">
        <v>73</v>
      </c>
      <c r="E121" t="e">
        <f t="shared" si="88"/>
        <v>#VALUE!</v>
      </c>
      <c r="F121">
        <v>36</v>
      </c>
      <c r="G121">
        <f t="shared" si="89"/>
        <v>19.080000000000002</v>
      </c>
      <c r="H121">
        <v>5850</v>
      </c>
      <c r="I121">
        <f t="shared" si="90"/>
        <v>5850</v>
      </c>
      <c r="J121">
        <v>1120</v>
      </c>
      <c r="K121">
        <f t="shared" si="91"/>
        <v>1680</v>
      </c>
      <c r="L121" t="s">
        <v>73</v>
      </c>
      <c r="M121" t="e">
        <f t="shared" si="92"/>
        <v>#VALUE!</v>
      </c>
      <c r="N121" t="s">
        <v>73</v>
      </c>
      <c r="O121" t="e">
        <f t="shared" si="93"/>
        <v>#VALUE!</v>
      </c>
      <c r="P121">
        <v>25</v>
      </c>
      <c r="Q121">
        <f t="shared" si="94"/>
        <v>13.25</v>
      </c>
      <c r="R121">
        <v>1900</v>
      </c>
      <c r="S121">
        <f t="shared" si="95"/>
        <v>1900</v>
      </c>
      <c r="T121">
        <v>750</v>
      </c>
      <c r="U121">
        <f t="shared" si="96"/>
        <v>1125</v>
      </c>
      <c r="V121">
        <v>600</v>
      </c>
      <c r="W121">
        <f t="shared" ref="W121" si="164">V121*1.3</f>
        <v>780</v>
      </c>
      <c r="X121" t="s">
        <v>73</v>
      </c>
      <c r="Y121" t="e">
        <f t="shared" si="98"/>
        <v>#VALUE!</v>
      </c>
      <c r="Z121">
        <v>30</v>
      </c>
      <c r="AA121">
        <f t="shared" si="99"/>
        <v>15.9</v>
      </c>
      <c r="AB121">
        <v>4320</v>
      </c>
      <c r="AC121">
        <f t="shared" si="100"/>
        <v>4320</v>
      </c>
      <c r="AD121">
        <v>735</v>
      </c>
      <c r="AE121">
        <f t="shared" si="101"/>
        <v>1102.5</v>
      </c>
      <c r="AF121">
        <v>700</v>
      </c>
      <c r="AG121">
        <f t="shared" si="102"/>
        <v>910</v>
      </c>
      <c r="AH121" t="s">
        <v>73</v>
      </c>
      <c r="AI121" t="e">
        <f t="shared" si="103"/>
        <v>#VALUE!</v>
      </c>
      <c r="AJ121">
        <v>10</v>
      </c>
      <c r="AK121">
        <f t="shared" si="104"/>
        <v>5.3000000000000007</v>
      </c>
      <c r="AL121">
        <v>1440</v>
      </c>
      <c r="AM121">
        <f t="shared" si="105"/>
        <v>1440</v>
      </c>
      <c r="AN121">
        <v>1800</v>
      </c>
      <c r="AO121">
        <f t="shared" si="106"/>
        <v>2700</v>
      </c>
      <c r="AP121">
        <v>550</v>
      </c>
      <c r="AQ121">
        <f t="shared" si="107"/>
        <v>715</v>
      </c>
      <c r="AR121" t="s">
        <v>73</v>
      </c>
      <c r="AS121" t="e">
        <f t="shared" si="108"/>
        <v>#VALUE!</v>
      </c>
      <c r="AT121">
        <v>7</v>
      </c>
      <c r="AU121">
        <f t="shared" si="109"/>
        <v>3.71</v>
      </c>
      <c r="AV121">
        <v>1440</v>
      </c>
      <c r="AW121">
        <f t="shared" si="110"/>
        <v>1440</v>
      </c>
      <c r="AX121">
        <v>1650</v>
      </c>
      <c r="AY121">
        <f t="shared" si="111"/>
        <v>2475</v>
      </c>
      <c r="AZ121">
        <v>528</v>
      </c>
      <c r="BA121">
        <f t="shared" si="112"/>
        <v>686.4</v>
      </c>
    </row>
    <row r="122" spans="1:53" x14ac:dyDescent="0.3">
      <c r="A122" t="s">
        <v>74</v>
      </c>
      <c r="B122" t="s">
        <v>305</v>
      </c>
      <c r="C122" t="s">
        <v>306</v>
      </c>
      <c r="D122" t="s">
        <v>73</v>
      </c>
      <c r="E122" t="e">
        <f t="shared" si="88"/>
        <v>#VALUE!</v>
      </c>
      <c r="F122">
        <v>28</v>
      </c>
      <c r="G122">
        <f t="shared" si="89"/>
        <v>14.84</v>
      </c>
      <c r="H122">
        <v>7590</v>
      </c>
      <c r="I122">
        <f t="shared" si="90"/>
        <v>7590</v>
      </c>
      <c r="J122">
        <v>782</v>
      </c>
      <c r="K122">
        <f t="shared" si="91"/>
        <v>1173</v>
      </c>
      <c r="L122" t="s">
        <v>73</v>
      </c>
      <c r="M122" t="e">
        <f t="shared" si="92"/>
        <v>#VALUE!</v>
      </c>
      <c r="N122" t="s">
        <v>73</v>
      </c>
      <c r="O122" t="e">
        <f t="shared" si="93"/>
        <v>#VALUE!</v>
      </c>
      <c r="P122">
        <v>20</v>
      </c>
      <c r="Q122">
        <f t="shared" si="94"/>
        <v>10.600000000000001</v>
      </c>
      <c r="R122">
        <v>2300</v>
      </c>
      <c r="S122">
        <f t="shared" si="95"/>
        <v>2300</v>
      </c>
      <c r="T122">
        <v>750</v>
      </c>
      <c r="U122">
        <f t="shared" si="96"/>
        <v>1125</v>
      </c>
      <c r="V122">
        <v>45</v>
      </c>
      <c r="W122">
        <f t="shared" ref="W122" si="165">V122*1.3</f>
        <v>58.5</v>
      </c>
      <c r="X122" t="s">
        <v>73</v>
      </c>
      <c r="Y122" t="e">
        <f t="shared" si="98"/>
        <v>#VALUE!</v>
      </c>
      <c r="Z122">
        <v>29</v>
      </c>
      <c r="AA122">
        <f t="shared" si="99"/>
        <v>15.370000000000001</v>
      </c>
      <c r="AB122">
        <v>3360</v>
      </c>
      <c r="AC122">
        <f t="shared" si="100"/>
        <v>3360</v>
      </c>
      <c r="AD122">
        <v>975</v>
      </c>
      <c r="AE122">
        <f t="shared" si="101"/>
        <v>1462.5</v>
      </c>
      <c r="AF122" t="s">
        <v>73</v>
      </c>
      <c r="AG122" t="e">
        <f t="shared" si="102"/>
        <v>#VALUE!</v>
      </c>
      <c r="AH122" t="s">
        <v>73</v>
      </c>
      <c r="AI122" t="e">
        <f t="shared" si="103"/>
        <v>#VALUE!</v>
      </c>
      <c r="AJ122" t="s">
        <v>73</v>
      </c>
      <c r="AK122" t="e">
        <f t="shared" si="104"/>
        <v>#VALUE!</v>
      </c>
      <c r="AL122">
        <v>7500</v>
      </c>
      <c r="AM122">
        <f t="shared" si="105"/>
        <v>7500</v>
      </c>
      <c r="AN122">
        <v>1040</v>
      </c>
      <c r="AO122">
        <f t="shared" si="106"/>
        <v>1560</v>
      </c>
      <c r="AP122" t="s">
        <v>73</v>
      </c>
      <c r="AQ122" t="e">
        <f t="shared" si="107"/>
        <v>#VALUE!</v>
      </c>
      <c r="AR122" t="s">
        <v>73</v>
      </c>
      <c r="AS122" t="e">
        <f t="shared" si="108"/>
        <v>#VALUE!</v>
      </c>
      <c r="AT122" t="s">
        <v>73</v>
      </c>
      <c r="AU122" t="e">
        <f t="shared" si="109"/>
        <v>#VALUE!</v>
      </c>
      <c r="AV122">
        <v>2100</v>
      </c>
      <c r="AW122">
        <f t="shared" si="110"/>
        <v>2100</v>
      </c>
      <c r="AX122">
        <v>750</v>
      </c>
      <c r="AY122">
        <f t="shared" si="111"/>
        <v>1125</v>
      </c>
      <c r="AZ122">
        <v>150</v>
      </c>
      <c r="BA122">
        <f t="shared" si="112"/>
        <v>195</v>
      </c>
    </row>
    <row r="123" spans="1:53" x14ac:dyDescent="0.3">
      <c r="A123" t="s">
        <v>74</v>
      </c>
      <c r="B123" t="s">
        <v>307</v>
      </c>
      <c r="C123" t="s">
        <v>308</v>
      </c>
      <c r="D123" t="s">
        <v>73</v>
      </c>
      <c r="E123" t="e">
        <f t="shared" si="88"/>
        <v>#VALUE!</v>
      </c>
      <c r="F123">
        <v>20</v>
      </c>
      <c r="G123">
        <f t="shared" si="89"/>
        <v>10.600000000000001</v>
      </c>
      <c r="H123">
        <v>3600</v>
      </c>
      <c r="I123">
        <f t="shared" si="90"/>
        <v>3600</v>
      </c>
      <c r="J123">
        <v>448</v>
      </c>
      <c r="K123">
        <f t="shared" si="91"/>
        <v>672</v>
      </c>
      <c r="L123" t="s">
        <v>73</v>
      </c>
      <c r="M123" t="e">
        <f t="shared" si="92"/>
        <v>#VALUE!</v>
      </c>
      <c r="N123" t="s">
        <v>73</v>
      </c>
      <c r="O123" t="e">
        <f t="shared" si="93"/>
        <v>#VALUE!</v>
      </c>
      <c r="P123">
        <v>10</v>
      </c>
      <c r="Q123">
        <f t="shared" si="94"/>
        <v>5.3000000000000007</v>
      </c>
      <c r="R123">
        <v>2400</v>
      </c>
      <c r="S123">
        <f t="shared" si="95"/>
        <v>2400</v>
      </c>
      <c r="T123">
        <v>350</v>
      </c>
      <c r="U123">
        <f t="shared" si="96"/>
        <v>525</v>
      </c>
      <c r="V123">
        <v>120</v>
      </c>
      <c r="W123">
        <f t="shared" ref="W123" si="166">V123*1.3</f>
        <v>156</v>
      </c>
      <c r="X123" t="s">
        <v>73</v>
      </c>
      <c r="Y123" t="e">
        <f t="shared" si="98"/>
        <v>#VALUE!</v>
      </c>
      <c r="Z123">
        <v>18</v>
      </c>
      <c r="AA123">
        <f t="shared" si="99"/>
        <v>9.5400000000000009</v>
      </c>
      <c r="AB123">
        <v>2170</v>
      </c>
      <c r="AC123">
        <f t="shared" si="100"/>
        <v>2170</v>
      </c>
      <c r="AD123">
        <v>200</v>
      </c>
      <c r="AE123">
        <f t="shared" si="101"/>
        <v>300</v>
      </c>
      <c r="AF123">
        <v>30</v>
      </c>
      <c r="AG123">
        <f t="shared" si="102"/>
        <v>39</v>
      </c>
      <c r="AH123" t="s">
        <v>73</v>
      </c>
      <c r="AI123" t="e">
        <f t="shared" si="103"/>
        <v>#VALUE!</v>
      </c>
      <c r="AJ123">
        <v>10</v>
      </c>
      <c r="AK123">
        <f t="shared" si="104"/>
        <v>5.3000000000000007</v>
      </c>
      <c r="AL123">
        <v>1800</v>
      </c>
      <c r="AM123">
        <f t="shared" si="105"/>
        <v>1800</v>
      </c>
      <c r="AN123">
        <v>360</v>
      </c>
      <c r="AO123">
        <f t="shared" si="106"/>
        <v>540</v>
      </c>
      <c r="AP123">
        <v>24</v>
      </c>
      <c r="AQ123">
        <f t="shared" si="107"/>
        <v>31.200000000000003</v>
      </c>
      <c r="AR123" t="s">
        <v>73</v>
      </c>
      <c r="AS123" t="e">
        <f t="shared" si="108"/>
        <v>#VALUE!</v>
      </c>
      <c r="AT123">
        <v>7</v>
      </c>
      <c r="AU123">
        <f t="shared" si="109"/>
        <v>3.71</v>
      </c>
      <c r="AV123">
        <v>960</v>
      </c>
      <c r="AW123">
        <f t="shared" si="110"/>
        <v>960</v>
      </c>
      <c r="AX123">
        <v>630</v>
      </c>
      <c r="AY123">
        <f t="shared" si="111"/>
        <v>945</v>
      </c>
      <c r="AZ123">
        <v>200</v>
      </c>
      <c r="BA123">
        <f t="shared" si="112"/>
        <v>260</v>
      </c>
    </row>
    <row r="124" spans="1:53" x14ac:dyDescent="0.3">
      <c r="A124" t="s">
        <v>74</v>
      </c>
      <c r="B124" t="s">
        <v>309</v>
      </c>
      <c r="C124" t="s">
        <v>310</v>
      </c>
      <c r="D124" t="s">
        <v>73</v>
      </c>
      <c r="E124" t="e">
        <f t="shared" si="88"/>
        <v>#VALUE!</v>
      </c>
      <c r="F124">
        <v>11</v>
      </c>
      <c r="G124">
        <f t="shared" si="89"/>
        <v>5.83</v>
      </c>
      <c r="H124">
        <v>9525</v>
      </c>
      <c r="I124">
        <f t="shared" si="90"/>
        <v>9525</v>
      </c>
      <c r="J124">
        <v>360</v>
      </c>
      <c r="K124">
        <f t="shared" si="91"/>
        <v>540</v>
      </c>
      <c r="L124" t="s">
        <v>73</v>
      </c>
      <c r="M124" t="e">
        <f t="shared" si="92"/>
        <v>#VALUE!</v>
      </c>
      <c r="N124" t="s">
        <v>73</v>
      </c>
      <c r="O124" t="e">
        <f t="shared" si="93"/>
        <v>#VALUE!</v>
      </c>
      <c r="P124">
        <v>5</v>
      </c>
      <c r="Q124">
        <f t="shared" si="94"/>
        <v>2.6500000000000004</v>
      </c>
      <c r="R124">
        <v>2700</v>
      </c>
      <c r="S124">
        <f t="shared" si="95"/>
        <v>2700</v>
      </c>
      <c r="T124">
        <v>300</v>
      </c>
      <c r="U124">
        <f t="shared" si="96"/>
        <v>450</v>
      </c>
      <c r="V124">
        <v>240</v>
      </c>
      <c r="W124">
        <f t="shared" ref="W124" si="167">V124*1.3</f>
        <v>312</v>
      </c>
      <c r="X124" t="s">
        <v>73</v>
      </c>
      <c r="Y124" t="e">
        <f t="shared" si="98"/>
        <v>#VALUE!</v>
      </c>
      <c r="Z124">
        <v>12</v>
      </c>
      <c r="AA124">
        <f t="shared" si="99"/>
        <v>6.36</v>
      </c>
      <c r="AB124">
        <v>4320</v>
      </c>
      <c r="AC124">
        <f t="shared" si="100"/>
        <v>4320</v>
      </c>
      <c r="AD124">
        <v>660</v>
      </c>
      <c r="AE124">
        <f t="shared" si="101"/>
        <v>990</v>
      </c>
      <c r="AF124">
        <v>450</v>
      </c>
      <c r="AG124">
        <f t="shared" si="102"/>
        <v>585</v>
      </c>
      <c r="AH124" t="s">
        <v>73</v>
      </c>
      <c r="AI124" t="e">
        <f t="shared" si="103"/>
        <v>#VALUE!</v>
      </c>
      <c r="AJ124">
        <v>12</v>
      </c>
      <c r="AK124">
        <f t="shared" si="104"/>
        <v>6.36</v>
      </c>
      <c r="AL124">
        <v>2400</v>
      </c>
      <c r="AM124">
        <f t="shared" si="105"/>
        <v>2400</v>
      </c>
      <c r="AN124">
        <v>550</v>
      </c>
      <c r="AO124">
        <f t="shared" si="106"/>
        <v>825</v>
      </c>
      <c r="AP124">
        <v>75</v>
      </c>
      <c r="AQ124">
        <f t="shared" si="107"/>
        <v>97.5</v>
      </c>
      <c r="AR124" t="s">
        <v>73</v>
      </c>
      <c r="AS124" t="e">
        <f t="shared" si="108"/>
        <v>#VALUE!</v>
      </c>
      <c r="AT124" t="s">
        <v>73</v>
      </c>
      <c r="AU124" t="e">
        <f t="shared" si="109"/>
        <v>#VALUE!</v>
      </c>
      <c r="AV124">
        <v>3300</v>
      </c>
      <c r="AW124">
        <f t="shared" si="110"/>
        <v>3300</v>
      </c>
      <c r="AX124">
        <v>264</v>
      </c>
      <c r="AY124">
        <f t="shared" si="111"/>
        <v>396</v>
      </c>
      <c r="AZ124">
        <v>216</v>
      </c>
      <c r="BA124">
        <f t="shared" si="112"/>
        <v>280.8</v>
      </c>
    </row>
    <row r="125" spans="1:53" x14ac:dyDescent="0.3">
      <c r="A125" t="s">
        <v>74</v>
      </c>
      <c r="B125" t="s">
        <v>311</v>
      </c>
      <c r="C125" t="s">
        <v>312</v>
      </c>
      <c r="D125" t="s">
        <v>73</v>
      </c>
      <c r="E125" t="e">
        <f t="shared" si="88"/>
        <v>#VALUE!</v>
      </c>
      <c r="F125">
        <v>23</v>
      </c>
      <c r="G125">
        <f t="shared" si="89"/>
        <v>12.190000000000001</v>
      </c>
      <c r="H125">
        <v>3150</v>
      </c>
      <c r="I125">
        <f t="shared" si="90"/>
        <v>3150</v>
      </c>
      <c r="J125">
        <v>1197</v>
      </c>
      <c r="K125">
        <f t="shared" si="91"/>
        <v>1795.5</v>
      </c>
      <c r="L125" t="s">
        <v>73</v>
      </c>
      <c r="M125" t="e">
        <f t="shared" si="92"/>
        <v>#VALUE!</v>
      </c>
      <c r="N125" t="s">
        <v>73</v>
      </c>
      <c r="O125" t="e">
        <f t="shared" si="93"/>
        <v>#VALUE!</v>
      </c>
      <c r="P125">
        <v>20</v>
      </c>
      <c r="Q125">
        <f t="shared" si="94"/>
        <v>10.600000000000001</v>
      </c>
      <c r="R125">
        <v>2100</v>
      </c>
      <c r="S125">
        <f t="shared" si="95"/>
        <v>2100</v>
      </c>
      <c r="T125">
        <v>1700</v>
      </c>
      <c r="U125">
        <f t="shared" si="96"/>
        <v>2550</v>
      </c>
      <c r="V125">
        <v>640</v>
      </c>
      <c r="W125">
        <f t="shared" ref="W125" si="168">V125*1.3</f>
        <v>832</v>
      </c>
      <c r="X125" t="s">
        <v>73</v>
      </c>
      <c r="Y125" t="e">
        <f t="shared" si="98"/>
        <v>#VALUE!</v>
      </c>
      <c r="Z125">
        <v>200</v>
      </c>
      <c r="AA125">
        <f t="shared" si="99"/>
        <v>106</v>
      </c>
      <c r="AB125">
        <v>1800</v>
      </c>
      <c r="AC125">
        <f t="shared" si="100"/>
        <v>1800</v>
      </c>
      <c r="AD125">
        <v>1890</v>
      </c>
      <c r="AE125">
        <f t="shared" si="101"/>
        <v>2835</v>
      </c>
      <c r="AF125">
        <v>1650</v>
      </c>
      <c r="AG125">
        <f t="shared" si="102"/>
        <v>2145</v>
      </c>
      <c r="AH125" t="s">
        <v>73</v>
      </c>
      <c r="AI125" t="e">
        <f t="shared" si="103"/>
        <v>#VALUE!</v>
      </c>
      <c r="AJ125">
        <v>24</v>
      </c>
      <c r="AK125">
        <f t="shared" si="104"/>
        <v>12.72</v>
      </c>
      <c r="AL125">
        <v>1890</v>
      </c>
      <c r="AM125">
        <f t="shared" si="105"/>
        <v>1890</v>
      </c>
      <c r="AN125">
        <v>2640</v>
      </c>
      <c r="AO125">
        <f t="shared" si="106"/>
        <v>3960</v>
      </c>
      <c r="AP125">
        <v>1500</v>
      </c>
      <c r="AQ125">
        <f t="shared" si="107"/>
        <v>1950</v>
      </c>
      <c r="AR125" t="s">
        <v>73</v>
      </c>
      <c r="AS125" t="e">
        <f t="shared" si="108"/>
        <v>#VALUE!</v>
      </c>
      <c r="AT125">
        <v>138</v>
      </c>
      <c r="AU125">
        <f t="shared" si="109"/>
        <v>73.14</v>
      </c>
      <c r="AV125">
        <v>2400</v>
      </c>
      <c r="AW125">
        <f t="shared" si="110"/>
        <v>2400</v>
      </c>
      <c r="AX125">
        <v>2640</v>
      </c>
      <c r="AY125">
        <f t="shared" si="111"/>
        <v>3960</v>
      </c>
      <c r="AZ125">
        <v>1152</v>
      </c>
      <c r="BA125">
        <f t="shared" si="112"/>
        <v>1497.6000000000001</v>
      </c>
    </row>
    <row r="126" spans="1:53" x14ac:dyDescent="0.3">
      <c r="A126" t="s">
        <v>74</v>
      </c>
      <c r="B126" t="s">
        <v>313</v>
      </c>
      <c r="C126" t="s">
        <v>314</v>
      </c>
      <c r="D126" t="s">
        <v>73</v>
      </c>
      <c r="E126" t="e">
        <f t="shared" si="88"/>
        <v>#VALUE!</v>
      </c>
      <c r="F126">
        <v>5</v>
      </c>
      <c r="G126">
        <f t="shared" si="89"/>
        <v>2.6500000000000004</v>
      </c>
      <c r="H126">
        <v>4200</v>
      </c>
      <c r="I126">
        <f t="shared" si="90"/>
        <v>4200</v>
      </c>
      <c r="J126">
        <v>90</v>
      </c>
      <c r="K126">
        <f t="shared" si="91"/>
        <v>135</v>
      </c>
      <c r="L126" t="s">
        <v>73</v>
      </c>
      <c r="M126" t="e">
        <f t="shared" si="92"/>
        <v>#VALUE!</v>
      </c>
      <c r="N126" t="s">
        <v>73</v>
      </c>
      <c r="O126" t="e">
        <f t="shared" si="93"/>
        <v>#VALUE!</v>
      </c>
      <c r="P126">
        <v>5</v>
      </c>
      <c r="Q126">
        <f t="shared" si="94"/>
        <v>2.6500000000000004</v>
      </c>
      <c r="R126">
        <v>2400</v>
      </c>
      <c r="S126">
        <f t="shared" si="95"/>
        <v>2400</v>
      </c>
      <c r="T126">
        <v>90</v>
      </c>
      <c r="U126">
        <f t="shared" si="96"/>
        <v>135</v>
      </c>
      <c r="V126" t="s">
        <v>73</v>
      </c>
      <c r="W126" t="e">
        <f t="shared" ref="W126" si="169">V126*1.3</f>
        <v>#VALUE!</v>
      </c>
      <c r="X126" t="s">
        <v>73</v>
      </c>
      <c r="Y126" t="e">
        <f t="shared" si="98"/>
        <v>#VALUE!</v>
      </c>
      <c r="Z126">
        <v>5</v>
      </c>
      <c r="AA126">
        <f t="shared" si="99"/>
        <v>2.6500000000000004</v>
      </c>
      <c r="AB126">
        <v>4320</v>
      </c>
      <c r="AC126">
        <f t="shared" si="100"/>
        <v>4320</v>
      </c>
      <c r="AD126">
        <v>105</v>
      </c>
      <c r="AE126">
        <f t="shared" si="101"/>
        <v>157.5</v>
      </c>
      <c r="AF126">
        <v>124</v>
      </c>
      <c r="AG126">
        <f t="shared" si="102"/>
        <v>161.20000000000002</v>
      </c>
      <c r="AH126" t="s">
        <v>73</v>
      </c>
      <c r="AI126" t="e">
        <f t="shared" si="103"/>
        <v>#VALUE!</v>
      </c>
      <c r="AJ126">
        <v>5</v>
      </c>
      <c r="AK126">
        <f t="shared" si="104"/>
        <v>2.6500000000000004</v>
      </c>
      <c r="AL126">
        <v>2300</v>
      </c>
      <c r="AM126">
        <f t="shared" si="105"/>
        <v>2300</v>
      </c>
      <c r="AN126">
        <v>90</v>
      </c>
      <c r="AO126">
        <f t="shared" si="106"/>
        <v>135</v>
      </c>
      <c r="AP126">
        <v>120</v>
      </c>
      <c r="AQ126">
        <f t="shared" si="107"/>
        <v>156</v>
      </c>
      <c r="AR126" t="s">
        <v>73</v>
      </c>
      <c r="AS126" t="e">
        <f t="shared" si="108"/>
        <v>#VALUE!</v>
      </c>
      <c r="AT126">
        <v>4</v>
      </c>
      <c r="AU126">
        <f t="shared" si="109"/>
        <v>2.12</v>
      </c>
      <c r="AV126">
        <v>2800</v>
      </c>
      <c r="AW126">
        <f t="shared" si="110"/>
        <v>2800</v>
      </c>
      <c r="AX126">
        <v>75</v>
      </c>
      <c r="AY126">
        <f t="shared" si="111"/>
        <v>112.5</v>
      </c>
      <c r="AZ126">
        <v>45</v>
      </c>
      <c r="BA126">
        <f t="shared" si="112"/>
        <v>58.5</v>
      </c>
    </row>
    <row r="127" spans="1:53" x14ac:dyDescent="0.3">
      <c r="A127" t="s">
        <v>74</v>
      </c>
      <c r="B127" t="s">
        <v>315</v>
      </c>
      <c r="C127" t="s">
        <v>316</v>
      </c>
      <c r="D127" t="s">
        <v>73</v>
      </c>
      <c r="E127" t="e">
        <f t="shared" si="88"/>
        <v>#VALUE!</v>
      </c>
      <c r="F127">
        <v>70</v>
      </c>
      <c r="G127">
        <f t="shared" si="89"/>
        <v>37.1</v>
      </c>
      <c r="H127">
        <v>24960</v>
      </c>
      <c r="I127">
        <f t="shared" si="90"/>
        <v>24960</v>
      </c>
      <c r="J127">
        <v>690</v>
      </c>
      <c r="K127">
        <f t="shared" si="91"/>
        <v>1035</v>
      </c>
      <c r="L127" t="s">
        <v>73</v>
      </c>
      <c r="M127" t="e">
        <f t="shared" si="92"/>
        <v>#VALUE!</v>
      </c>
      <c r="N127" t="s">
        <v>73</v>
      </c>
      <c r="O127" t="e">
        <f t="shared" si="93"/>
        <v>#VALUE!</v>
      </c>
      <c r="P127">
        <v>75</v>
      </c>
      <c r="Q127">
        <f t="shared" si="94"/>
        <v>39.75</v>
      </c>
      <c r="R127">
        <v>8000</v>
      </c>
      <c r="S127">
        <f t="shared" si="95"/>
        <v>8000</v>
      </c>
      <c r="T127">
        <v>720</v>
      </c>
      <c r="U127">
        <f t="shared" si="96"/>
        <v>1080</v>
      </c>
      <c r="V127" t="s">
        <v>73</v>
      </c>
      <c r="W127" t="e">
        <f t="shared" ref="W127" si="170">V127*1.3</f>
        <v>#VALUE!</v>
      </c>
      <c r="X127" t="s">
        <v>73</v>
      </c>
      <c r="Y127" t="e">
        <f t="shared" si="98"/>
        <v>#VALUE!</v>
      </c>
      <c r="Z127">
        <v>60</v>
      </c>
      <c r="AA127">
        <f t="shared" si="99"/>
        <v>31.8</v>
      </c>
      <c r="AB127">
        <v>7200</v>
      </c>
      <c r="AC127">
        <f t="shared" si="100"/>
        <v>7200</v>
      </c>
      <c r="AD127">
        <v>450</v>
      </c>
      <c r="AE127">
        <f t="shared" si="101"/>
        <v>675</v>
      </c>
      <c r="AF127">
        <v>325</v>
      </c>
      <c r="AG127">
        <f t="shared" si="102"/>
        <v>422.5</v>
      </c>
      <c r="AH127" t="s">
        <v>73</v>
      </c>
      <c r="AI127" t="e">
        <f t="shared" si="103"/>
        <v>#VALUE!</v>
      </c>
      <c r="AJ127">
        <v>75</v>
      </c>
      <c r="AK127">
        <f t="shared" si="104"/>
        <v>39.75</v>
      </c>
      <c r="AL127">
        <v>14400</v>
      </c>
      <c r="AM127">
        <f t="shared" si="105"/>
        <v>14400</v>
      </c>
      <c r="AN127">
        <v>1080</v>
      </c>
      <c r="AO127">
        <f t="shared" si="106"/>
        <v>1620</v>
      </c>
      <c r="AP127">
        <v>360</v>
      </c>
      <c r="AQ127">
        <f t="shared" si="107"/>
        <v>468</v>
      </c>
      <c r="AR127" t="s">
        <v>73</v>
      </c>
      <c r="AS127" t="e">
        <f t="shared" si="108"/>
        <v>#VALUE!</v>
      </c>
      <c r="AT127">
        <v>60</v>
      </c>
      <c r="AU127">
        <f t="shared" si="109"/>
        <v>31.8</v>
      </c>
      <c r="AV127">
        <v>9600</v>
      </c>
      <c r="AW127">
        <f t="shared" si="110"/>
        <v>9600</v>
      </c>
      <c r="AX127">
        <v>1650</v>
      </c>
      <c r="AY127">
        <f t="shared" si="111"/>
        <v>2475</v>
      </c>
      <c r="AZ127">
        <v>450</v>
      </c>
      <c r="BA127">
        <f t="shared" si="112"/>
        <v>585</v>
      </c>
    </row>
    <row r="128" spans="1:53" x14ac:dyDescent="0.3">
      <c r="A128" t="s">
        <v>74</v>
      </c>
      <c r="B128" t="s">
        <v>317</v>
      </c>
      <c r="C128" t="s">
        <v>318</v>
      </c>
      <c r="D128" t="s">
        <v>73</v>
      </c>
      <c r="E128" t="e">
        <f t="shared" si="88"/>
        <v>#VALUE!</v>
      </c>
      <c r="F128">
        <v>20</v>
      </c>
      <c r="G128">
        <f t="shared" si="89"/>
        <v>10.600000000000001</v>
      </c>
      <c r="H128">
        <v>6480</v>
      </c>
      <c r="I128">
        <f t="shared" si="90"/>
        <v>6480</v>
      </c>
      <c r="J128">
        <v>316</v>
      </c>
      <c r="K128">
        <f t="shared" si="91"/>
        <v>474</v>
      </c>
      <c r="L128" t="s">
        <v>73</v>
      </c>
      <c r="M128" t="e">
        <f t="shared" si="92"/>
        <v>#VALUE!</v>
      </c>
      <c r="N128" t="s">
        <v>73</v>
      </c>
      <c r="O128" t="e">
        <f t="shared" si="93"/>
        <v>#VALUE!</v>
      </c>
      <c r="P128">
        <v>21</v>
      </c>
      <c r="Q128">
        <f t="shared" si="94"/>
        <v>11.13</v>
      </c>
      <c r="R128">
        <v>2700</v>
      </c>
      <c r="S128">
        <f t="shared" si="95"/>
        <v>2700</v>
      </c>
      <c r="T128">
        <v>325</v>
      </c>
      <c r="U128">
        <f t="shared" si="96"/>
        <v>487.5</v>
      </c>
      <c r="V128">
        <v>240</v>
      </c>
      <c r="W128">
        <f t="shared" ref="W128" si="171">V128*1.3</f>
        <v>312</v>
      </c>
      <c r="X128" t="s">
        <v>73</v>
      </c>
      <c r="Y128" t="e">
        <f t="shared" si="98"/>
        <v>#VALUE!</v>
      </c>
      <c r="Z128">
        <v>59</v>
      </c>
      <c r="AA128">
        <f t="shared" si="99"/>
        <v>31.270000000000003</v>
      </c>
      <c r="AB128">
        <v>3120</v>
      </c>
      <c r="AC128">
        <f t="shared" si="100"/>
        <v>3120</v>
      </c>
      <c r="AD128">
        <v>672</v>
      </c>
      <c r="AE128">
        <f t="shared" si="101"/>
        <v>1008</v>
      </c>
      <c r="AF128" t="s">
        <v>73</v>
      </c>
      <c r="AG128" t="e">
        <f t="shared" si="102"/>
        <v>#VALUE!</v>
      </c>
      <c r="AH128" t="s">
        <v>73</v>
      </c>
      <c r="AI128" t="e">
        <f t="shared" si="103"/>
        <v>#VALUE!</v>
      </c>
      <c r="AJ128">
        <v>22</v>
      </c>
      <c r="AK128">
        <f t="shared" si="104"/>
        <v>11.66</v>
      </c>
      <c r="AL128">
        <v>1890</v>
      </c>
      <c r="AM128">
        <f t="shared" si="105"/>
        <v>1890</v>
      </c>
      <c r="AN128">
        <v>960</v>
      </c>
      <c r="AO128">
        <f t="shared" si="106"/>
        <v>1440</v>
      </c>
      <c r="AP128">
        <v>330</v>
      </c>
      <c r="AQ128">
        <f t="shared" si="107"/>
        <v>429</v>
      </c>
      <c r="AR128" t="s">
        <v>73</v>
      </c>
      <c r="AS128" t="e">
        <f t="shared" si="108"/>
        <v>#VALUE!</v>
      </c>
      <c r="AT128">
        <v>26</v>
      </c>
      <c r="AU128">
        <f t="shared" si="109"/>
        <v>13.780000000000001</v>
      </c>
      <c r="AV128">
        <v>3420</v>
      </c>
      <c r="AW128">
        <f t="shared" si="110"/>
        <v>3420</v>
      </c>
      <c r="AX128">
        <v>975</v>
      </c>
      <c r="AY128">
        <f t="shared" si="111"/>
        <v>1462.5</v>
      </c>
      <c r="AZ128">
        <v>288</v>
      </c>
      <c r="BA128">
        <f t="shared" si="112"/>
        <v>374.40000000000003</v>
      </c>
    </row>
    <row r="129" spans="1:53" x14ac:dyDescent="0.3">
      <c r="A129" t="s">
        <v>67</v>
      </c>
      <c r="B129" t="s">
        <v>319</v>
      </c>
      <c r="C129" t="s">
        <v>320</v>
      </c>
      <c r="D129">
        <v>139503</v>
      </c>
      <c r="E129">
        <f t="shared" si="88"/>
        <v>167403.6</v>
      </c>
      <c r="F129">
        <v>16398</v>
      </c>
      <c r="G129">
        <f t="shared" si="89"/>
        <v>8690.94</v>
      </c>
      <c r="H129">
        <v>286999</v>
      </c>
      <c r="I129">
        <f t="shared" si="90"/>
        <v>286999</v>
      </c>
      <c r="J129">
        <v>540076</v>
      </c>
      <c r="K129">
        <f t="shared" si="91"/>
        <v>810114</v>
      </c>
      <c r="L129">
        <v>47356</v>
      </c>
      <c r="M129">
        <f t="shared" si="92"/>
        <v>61562.8</v>
      </c>
      <c r="N129">
        <v>135884</v>
      </c>
      <c r="O129">
        <f t="shared" si="93"/>
        <v>163060.79999999999</v>
      </c>
      <c r="P129">
        <v>17994</v>
      </c>
      <c r="Q129">
        <f t="shared" si="94"/>
        <v>9536.82</v>
      </c>
      <c r="R129">
        <v>288094</v>
      </c>
      <c r="S129">
        <f t="shared" si="95"/>
        <v>288094</v>
      </c>
      <c r="T129">
        <v>527220</v>
      </c>
      <c r="U129">
        <f t="shared" si="96"/>
        <v>790830</v>
      </c>
      <c r="V129">
        <v>78543</v>
      </c>
      <c r="W129">
        <f t="shared" ref="W129" si="172">V129*1.3</f>
        <v>102105.90000000001</v>
      </c>
      <c r="X129">
        <v>141996</v>
      </c>
      <c r="Y129">
        <f t="shared" si="98"/>
        <v>170395.19999999998</v>
      </c>
      <c r="Z129">
        <v>19109</v>
      </c>
      <c r="AA129">
        <f t="shared" si="99"/>
        <v>10127.77</v>
      </c>
      <c r="AB129">
        <v>277489</v>
      </c>
      <c r="AC129">
        <f t="shared" si="100"/>
        <v>277489</v>
      </c>
      <c r="AD129">
        <v>549020</v>
      </c>
      <c r="AE129">
        <f t="shared" si="101"/>
        <v>823530</v>
      </c>
      <c r="AF129">
        <v>70073</v>
      </c>
      <c r="AG129">
        <f t="shared" si="102"/>
        <v>91094.900000000009</v>
      </c>
      <c r="AH129">
        <v>143875</v>
      </c>
      <c r="AI129">
        <f t="shared" si="103"/>
        <v>172650</v>
      </c>
      <c r="AJ129">
        <v>19868</v>
      </c>
      <c r="AK129">
        <f t="shared" si="104"/>
        <v>10530.04</v>
      </c>
      <c r="AL129">
        <v>342223</v>
      </c>
      <c r="AM129">
        <f t="shared" si="105"/>
        <v>342223</v>
      </c>
      <c r="AN129">
        <v>650906</v>
      </c>
      <c r="AO129">
        <f t="shared" si="106"/>
        <v>976359</v>
      </c>
      <c r="AP129">
        <v>33097</v>
      </c>
      <c r="AQ129">
        <f t="shared" si="107"/>
        <v>43026.1</v>
      </c>
      <c r="AR129">
        <v>146939</v>
      </c>
      <c r="AS129">
        <f t="shared" si="108"/>
        <v>176326.8</v>
      </c>
      <c r="AT129">
        <v>16010</v>
      </c>
      <c r="AU129">
        <f t="shared" si="109"/>
        <v>8485.3000000000011</v>
      </c>
      <c r="AV129">
        <v>262936</v>
      </c>
      <c r="AW129">
        <f t="shared" si="110"/>
        <v>262936</v>
      </c>
      <c r="AX129">
        <v>597440</v>
      </c>
      <c r="AY129">
        <f t="shared" si="111"/>
        <v>896160</v>
      </c>
      <c r="AZ129">
        <v>61270</v>
      </c>
      <c r="BA129">
        <f t="shared" si="112"/>
        <v>79651</v>
      </c>
    </row>
    <row r="130" spans="1:53" x14ac:dyDescent="0.3">
      <c r="A130" t="s">
        <v>70</v>
      </c>
      <c r="B130" t="s">
        <v>321</v>
      </c>
      <c r="C130" t="s">
        <v>322</v>
      </c>
      <c r="D130">
        <v>480</v>
      </c>
      <c r="E130">
        <f t="shared" si="88"/>
        <v>576</v>
      </c>
      <c r="F130">
        <v>15226</v>
      </c>
      <c r="G130">
        <f t="shared" si="89"/>
        <v>8069.7800000000007</v>
      </c>
      <c r="H130">
        <v>257670</v>
      </c>
      <c r="I130">
        <f t="shared" si="90"/>
        <v>257670</v>
      </c>
      <c r="J130">
        <v>490876</v>
      </c>
      <c r="K130">
        <f t="shared" si="91"/>
        <v>736314</v>
      </c>
      <c r="L130">
        <v>46780</v>
      </c>
      <c r="M130">
        <f t="shared" si="92"/>
        <v>60814</v>
      </c>
      <c r="N130">
        <v>480</v>
      </c>
      <c r="O130">
        <f t="shared" si="93"/>
        <v>576</v>
      </c>
      <c r="P130">
        <v>16826</v>
      </c>
      <c r="Q130">
        <f t="shared" si="94"/>
        <v>8917.7800000000007</v>
      </c>
      <c r="R130">
        <v>259300</v>
      </c>
      <c r="S130">
        <f t="shared" si="95"/>
        <v>259300</v>
      </c>
      <c r="T130">
        <v>478020</v>
      </c>
      <c r="U130">
        <f t="shared" si="96"/>
        <v>717030</v>
      </c>
      <c r="V130">
        <v>77930</v>
      </c>
      <c r="W130">
        <f t="shared" ref="W130" si="173">V130*1.3</f>
        <v>101309</v>
      </c>
      <c r="X130">
        <v>440</v>
      </c>
      <c r="Y130">
        <f t="shared" si="98"/>
        <v>528</v>
      </c>
      <c r="Z130">
        <v>17803</v>
      </c>
      <c r="AA130">
        <f t="shared" si="99"/>
        <v>9435.59</v>
      </c>
      <c r="AB130">
        <v>247080</v>
      </c>
      <c r="AC130">
        <f t="shared" si="100"/>
        <v>247080</v>
      </c>
      <c r="AD130">
        <v>507500</v>
      </c>
      <c r="AE130">
        <f t="shared" si="101"/>
        <v>761250</v>
      </c>
      <c r="AF130">
        <v>66363</v>
      </c>
      <c r="AG130">
        <f t="shared" si="102"/>
        <v>86271.900000000009</v>
      </c>
      <c r="AH130">
        <v>480</v>
      </c>
      <c r="AI130">
        <f t="shared" si="103"/>
        <v>576</v>
      </c>
      <c r="AJ130">
        <v>18328</v>
      </c>
      <c r="AK130">
        <f t="shared" si="104"/>
        <v>9713.84</v>
      </c>
      <c r="AL130">
        <v>312110</v>
      </c>
      <c r="AM130">
        <f t="shared" si="105"/>
        <v>312110</v>
      </c>
      <c r="AN130">
        <v>602952</v>
      </c>
      <c r="AO130">
        <f t="shared" si="106"/>
        <v>904428</v>
      </c>
      <c r="AP130">
        <v>30287</v>
      </c>
      <c r="AQ130">
        <f t="shared" si="107"/>
        <v>39373.1</v>
      </c>
      <c r="AR130">
        <v>390</v>
      </c>
      <c r="AS130">
        <f t="shared" si="108"/>
        <v>468</v>
      </c>
      <c r="AT130">
        <v>14485</v>
      </c>
      <c r="AU130">
        <f t="shared" si="109"/>
        <v>7677.05</v>
      </c>
      <c r="AV130">
        <v>239310</v>
      </c>
      <c r="AW130">
        <f t="shared" si="110"/>
        <v>239310</v>
      </c>
      <c r="AX130">
        <v>555968</v>
      </c>
      <c r="AY130">
        <f t="shared" si="111"/>
        <v>833952</v>
      </c>
      <c r="AZ130">
        <v>59555</v>
      </c>
      <c r="BA130">
        <f t="shared" si="112"/>
        <v>77421.5</v>
      </c>
    </row>
    <row r="131" spans="1:53" x14ac:dyDescent="0.3">
      <c r="A131" t="s">
        <v>74</v>
      </c>
      <c r="B131" t="s">
        <v>323</v>
      </c>
      <c r="C131" t="s">
        <v>324</v>
      </c>
      <c r="D131" t="s">
        <v>73</v>
      </c>
      <c r="E131" t="e">
        <f t="shared" si="88"/>
        <v>#VALUE!</v>
      </c>
      <c r="F131">
        <v>477</v>
      </c>
      <c r="G131">
        <f t="shared" si="89"/>
        <v>252.81</v>
      </c>
      <c r="H131">
        <v>13200</v>
      </c>
      <c r="I131">
        <f t="shared" si="90"/>
        <v>13200</v>
      </c>
      <c r="J131">
        <v>21960</v>
      </c>
      <c r="K131">
        <f t="shared" si="91"/>
        <v>32940</v>
      </c>
      <c r="L131">
        <v>1320</v>
      </c>
      <c r="M131">
        <f t="shared" si="92"/>
        <v>1716</v>
      </c>
      <c r="N131" t="s">
        <v>73</v>
      </c>
      <c r="O131" t="e">
        <f t="shared" si="93"/>
        <v>#VALUE!</v>
      </c>
      <c r="P131">
        <v>480</v>
      </c>
      <c r="Q131">
        <f t="shared" si="94"/>
        <v>254.4</v>
      </c>
      <c r="R131">
        <v>11520</v>
      </c>
      <c r="S131">
        <f t="shared" si="95"/>
        <v>11520</v>
      </c>
      <c r="T131">
        <v>21810</v>
      </c>
      <c r="U131">
        <f t="shared" si="96"/>
        <v>32715</v>
      </c>
      <c r="V131">
        <v>2040</v>
      </c>
      <c r="W131">
        <f t="shared" ref="W131" si="174">V131*1.3</f>
        <v>2652</v>
      </c>
      <c r="X131" t="s">
        <v>73</v>
      </c>
      <c r="Y131" t="e">
        <f t="shared" si="98"/>
        <v>#VALUE!</v>
      </c>
      <c r="Z131">
        <v>870</v>
      </c>
      <c r="AA131">
        <f t="shared" si="99"/>
        <v>461.1</v>
      </c>
      <c r="AB131">
        <v>10800</v>
      </c>
      <c r="AC131">
        <f t="shared" si="100"/>
        <v>10800</v>
      </c>
      <c r="AD131">
        <v>21220</v>
      </c>
      <c r="AE131">
        <f t="shared" si="101"/>
        <v>31830</v>
      </c>
      <c r="AF131">
        <v>1900</v>
      </c>
      <c r="AG131">
        <f t="shared" si="102"/>
        <v>2470</v>
      </c>
      <c r="AH131" t="s">
        <v>73</v>
      </c>
      <c r="AI131" t="e">
        <f t="shared" si="103"/>
        <v>#VALUE!</v>
      </c>
      <c r="AJ131">
        <v>890</v>
      </c>
      <c r="AK131">
        <f t="shared" si="104"/>
        <v>471.70000000000005</v>
      </c>
      <c r="AL131">
        <v>12480</v>
      </c>
      <c r="AM131">
        <f t="shared" si="105"/>
        <v>12480</v>
      </c>
      <c r="AN131">
        <v>23600</v>
      </c>
      <c r="AO131">
        <f t="shared" si="106"/>
        <v>35400</v>
      </c>
      <c r="AP131">
        <v>600</v>
      </c>
      <c r="AQ131">
        <f t="shared" si="107"/>
        <v>780</v>
      </c>
      <c r="AR131" t="s">
        <v>73</v>
      </c>
      <c r="AS131" t="e">
        <f t="shared" si="108"/>
        <v>#VALUE!</v>
      </c>
      <c r="AT131">
        <v>685</v>
      </c>
      <c r="AU131">
        <f t="shared" si="109"/>
        <v>363.05</v>
      </c>
      <c r="AV131">
        <v>8500</v>
      </c>
      <c r="AW131">
        <f t="shared" si="110"/>
        <v>8500</v>
      </c>
      <c r="AX131">
        <v>21780</v>
      </c>
      <c r="AY131">
        <f t="shared" si="111"/>
        <v>32670</v>
      </c>
      <c r="AZ131">
        <v>1190</v>
      </c>
      <c r="BA131">
        <f t="shared" si="112"/>
        <v>1547</v>
      </c>
    </row>
    <row r="132" spans="1:53" x14ac:dyDescent="0.3">
      <c r="A132" t="s">
        <v>74</v>
      </c>
      <c r="B132" t="s">
        <v>325</v>
      </c>
      <c r="C132" t="s">
        <v>326</v>
      </c>
      <c r="D132" t="s">
        <v>73</v>
      </c>
      <c r="E132" t="e">
        <f t="shared" si="88"/>
        <v>#VALUE!</v>
      </c>
      <c r="F132">
        <v>3120</v>
      </c>
      <c r="G132">
        <f t="shared" si="89"/>
        <v>1653.6000000000001</v>
      </c>
      <c r="H132">
        <v>36800</v>
      </c>
      <c r="I132">
        <f t="shared" si="90"/>
        <v>36800</v>
      </c>
      <c r="J132">
        <v>85100</v>
      </c>
      <c r="K132">
        <f t="shared" si="91"/>
        <v>127650</v>
      </c>
      <c r="L132">
        <v>9800</v>
      </c>
      <c r="M132">
        <f t="shared" si="92"/>
        <v>12740</v>
      </c>
      <c r="N132" t="s">
        <v>73</v>
      </c>
      <c r="O132" t="e">
        <f t="shared" si="93"/>
        <v>#VALUE!</v>
      </c>
      <c r="P132">
        <v>3264</v>
      </c>
      <c r="Q132">
        <f t="shared" si="94"/>
        <v>1729.92</v>
      </c>
      <c r="R132">
        <v>39360</v>
      </c>
      <c r="S132">
        <f t="shared" si="95"/>
        <v>39360</v>
      </c>
      <c r="T132">
        <v>84300</v>
      </c>
      <c r="U132">
        <f t="shared" si="96"/>
        <v>126450</v>
      </c>
      <c r="V132">
        <v>17500</v>
      </c>
      <c r="W132">
        <f t="shared" ref="W132" si="175">V132*1.3</f>
        <v>22750</v>
      </c>
      <c r="X132" t="s">
        <v>73</v>
      </c>
      <c r="Y132" t="e">
        <f t="shared" si="98"/>
        <v>#VALUE!</v>
      </c>
      <c r="Z132">
        <v>3280</v>
      </c>
      <c r="AA132">
        <f t="shared" si="99"/>
        <v>1738.4</v>
      </c>
      <c r="AB132">
        <v>40320</v>
      </c>
      <c r="AC132">
        <f t="shared" si="100"/>
        <v>40320</v>
      </c>
      <c r="AD132">
        <v>85720</v>
      </c>
      <c r="AE132">
        <f t="shared" si="101"/>
        <v>128580</v>
      </c>
      <c r="AF132">
        <v>13200</v>
      </c>
      <c r="AG132">
        <f t="shared" si="102"/>
        <v>17160</v>
      </c>
      <c r="AH132" t="s">
        <v>73</v>
      </c>
      <c r="AI132" t="e">
        <f t="shared" si="103"/>
        <v>#VALUE!</v>
      </c>
      <c r="AJ132">
        <v>3540</v>
      </c>
      <c r="AK132">
        <f t="shared" si="104"/>
        <v>1876.2</v>
      </c>
      <c r="AL132">
        <v>51480</v>
      </c>
      <c r="AM132">
        <f t="shared" si="105"/>
        <v>51480</v>
      </c>
      <c r="AN132">
        <v>106900</v>
      </c>
      <c r="AO132">
        <f t="shared" si="106"/>
        <v>160350</v>
      </c>
      <c r="AP132">
        <v>7750</v>
      </c>
      <c r="AQ132">
        <f t="shared" si="107"/>
        <v>10075</v>
      </c>
      <c r="AR132" t="s">
        <v>73</v>
      </c>
      <c r="AS132" t="e">
        <f t="shared" si="108"/>
        <v>#VALUE!</v>
      </c>
      <c r="AT132">
        <v>2460</v>
      </c>
      <c r="AU132">
        <f t="shared" si="109"/>
        <v>1303.8</v>
      </c>
      <c r="AV132">
        <v>39360</v>
      </c>
      <c r="AW132">
        <f t="shared" si="110"/>
        <v>39360</v>
      </c>
      <c r="AX132">
        <v>108400</v>
      </c>
      <c r="AY132">
        <f t="shared" si="111"/>
        <v>162600</v>
      </c>
      <c r="AZ132">
        <v>15750</v>
      </c>
      <c r="BA132">
        <f t="shared" si="112"/>
        <v>20475</v>
      </c>
    </row>
    <row r="133" spans="1:53" x14ac:dyDescent="0.3">
      <c r="A133" t="s">
        <v>74</v>
      </c>
      <c r="B133" t="s">
        <v>327</v>
      </c>
      <c r="C133" t="s">
        <v>328</v>
      </c>
      <c r="D133" t="s">
        <v>73</v>
      </c>
      <c r="E133" t="e">
        <f t="shared" ref="E133:E196" si="176">D133*1.2</f>
        <v>#VALUE!</v>
      </c>
      <c r="F133">
        <v>1448</v>
      </c>
      <c r="G133">
        <f t="shared" ref="G133:G196" si="177">F133*0.53</f>
        <v>767.44</v>
      </c>
      <c r="H133">
        <v>18400</v>
      </c>
      <c r="I133">
        <f t="shared" ref="I133:I196" si="178">H133</f>
        <v>18400</v>
      </c>
      <c r="J133">
        <v>42780</v>
      </c>
      <c r="K133">
        <f t="shared" ref="K133:K196" si="179">J133*1.5</f>
        <v>64170</v>
      </c>
      <c r="L133">
        <v>5760</v>
      </c>
      <c r="M133">
        <f t="shared" ref="M133:M196" si="180">L133*1.3</f>
        <v>7488</v>
      </c>
      <c r="N133" t="s">
        <v>73</v>
      </c>
      <c r="O133" t="e">
        <f t="shared" ref="O133:O196" si="181">N133*1.2</f>
        <v>#VALUE!</v>
      </c>
      <c r="P133">
        <v>1620</v>
      </c>
      <c r="Q133">
        <f t="shared" ref="Q133:Q196" si="182">P133*0.53</f>
        <v>858.6</v>
      </c>
      <c r="R133">
        <v>18860</v>
      </c>
      <c r="S133">
        <f t="shared" ref="S133:S196" si="183">R133</f>
        <v>18860</v>
      </c>
      <c r="T133">
        <v>41700</v>
      </c>
      <c r="U133">
        <f t="shared" ref="U133:U196" si="184">T133*1.5</f>
        <v>62550</v>
      </c>
      <c r="V133">
        <v>8700</v>
      </c>
      <c r="W133">
        <f t="shared" ref="W133" si="185">V133*1.3</f>
        <v>11310</v>
      </c>
      <c r="X133" t="s">
        <v>73</v>
      </c>
      <c r="Y133" t="e">
        <f t="shared" ref="Y133:Y196" si="186">X133*1.2</f>
        <v>#VALUE!</v>
      </c>
      <c r="Z133">
        <v>1350</v>
      </c>
      <c r="AA133">
        <f t="shared" ref="AA133:AA196" si="187">Z133*0.53</f>
        <v>715.5</v>
      </c>
      <c r="AB133">
        <v>22080</v>
      </c>
      <c r="AC133">
        <f t="shared" ref="AC133:AC196" si="188">AB133</f>
        <v>22080</v>
      </c>
      <c r="AD133">
        <v>46340</v>
      </c>
      <c r="AE133">
        <f t="shared" ref="AE133:AE196" si="189">AD133*1.5</f>
        <v>69510</v>
      </c>
      <c r="AF133">
        <v>8350</v>
      </c>
      <c r="AG133">
        <f t="shared" ref="AG133:AG196" si="190">AF133*1.3</f>
        <v>10855</v>
      </c>
      <c r="AH133" t="s">
        <v>73</v>
      </c>
      <c r="AI133" t="e">
        <f t="shared" ref="AI133:AI196" si="191">AH133*1.2</f>
        <v>#VALUE!</v>
      </c>
      <c r="AJ133">
        <v>1485</v>
      </c>
      <c r="AK133">
        <f t="shared" ref="AK133:AK196" si="192">AJ133*0.53</f>
        <v>787.05000000000007</v>
      </c>
      <c r="AL133">
        <v>30000</v>
      </c>
      <c r="AM133">
        <f t="shared" ref="AM133:AM196" si="193">AL133</f>
        <v>30000</v>
      </c>
      <c r="AN133">
        <v>53830</v>
      </c>
      <c r="AO133">
        <f t="shared" ref="AO133:AO196" si="194">AN133*1.5</f>
        <v>80745</v>
      </c>
      <c r="AP133">
        <v>2862</v>
      </c>
      <c r="AQ133">
        <f t="shared" ref="AQ133:AQ196" si="195">AP133*1.3</f>
        <v>3720.6</v>
      </c>
      <c r="AR133" t="s">
        <v>73</v>
      </c>
      <c r="AS133" t="e">
        <f t="shared" ref="AS133:AS196" si="196">AR133*1.2</f>
        <v>#VALUE!</v>
      </c>
      <c r="AT133">
        <v>1440</v>
      </c>
      <c r="AU133">
        <f t="shared" ref="AU133:AU196" si="197">AT133*0.53</f>
        <v>763.2</v>
      </c>
      <c r="AV133">
        <v>24650</v>
      </c>
      <c r="AW133">
        <f t="shared" ref="AW133:AW196" si="198">AV133</f>
        <v>24650</v>
      </c>
      <c r="AX133">
        <v>53740</v>
      </c>
      <c r="AY133">
        <f t="shared" ref="AY133:AY196" si="199">AX133*1.5</f>
        <v>80610</v>
      </c>
      <c r="AZ133">
        <v>6480</v>
      </c>
      <c r="BA133">
        <f t="shared" ref="BA133:BA196" si="200">AZ133*1.3</f>
        <v>8424</v>
      </c>
    </row>
    <row r="134" spans="1:53" x14ac:dyDescent="0.3">
      <c r="A134" t="s">
        <v>74</v>
      </c>
      <c r="B134" t="s">
        <v>329</v>
      </c>
      <c r="C134" t="s">
        <v>330</v>
      </c>
      <c r="D134" t="s">
        <v>73</v>
      </c>
      <c r="E134" t="e">
        <f t="shared" si="176"/>
        <v>#VALUE!</v>
      </c>
      <c r="F134">
        <v>1890</v>
      </c>
      <c r="G134">
        <f t="shared" si="177"/>
        <v>1001.7</v>
      </c>
      <c r="H134">
        <v>55180</v>
      </c>
      <c r="I134">
        <f t="shared" si="178"/>
        <v>55180</v>
      </c>
      <c r="J134">
        <v>64800</v>
      </c>
      <c r="K134">
        <f t="shared" si="179"/>
        <v>97200</v>
      </c>
      <c r="L134">
        <v>4080</v>
      </c>
      <c r="M134">
        <f t="shared" si="180"/>
        <v>5304</v>
      </c>
      <c r="N134" t="s">
        <v>73</v>
      </c>
      <c r="O134" t="e">
        <f t="shared" si="181"/>
        <v>#VALUE!</v>
      </c>
      <c r="P134">
        <v>2320</v>
      </c>
      <c r="Q134">
        <f t="shared" si="182"/>
        <v>1229.6000000000001</v>
      </c>
      <c r="R134">
        <v>53600</v>
      </c>
      <c r="S134">
        <f t="shared" si="183"/>
        <v>53600</v>
      </c>
      <c r="T134">
        <v>62850</v>
      </c>
      <c r="U134">
        <f t="shared" si="184"/>
        <v>94275</v>
      </c>
      <c r="V134">
        <v>9520</v>
      </c>
      <c r="W134">
        <f t="shared" ref="W134" si="201">V134*1.3</f>
        <v>12376</v>
      </c>
      <c r="X134" t="s">
        <v>73</v>
      </c>
      <c r="Y134" t="e">
        <f t="shared" si="186"/>
        <v>#VALUE!</v>
      </c>
      <c r="Z134">
        <v>1850</v>
      </c>
      <c r="AA134">
        <f t="shared" si="187"/>
        <v>980.5</v>
      </c>
      <c r="AB134">
        <v>42900</v>
      </c>
      <c r="AC134">
        <f t="shared" si="188"/>
        <v>42900</v>
      </c>
      <c r="AD134">
        <v>68080</v>
      </c>
      <c r="AE134">
        <f t="shared" si="189"/>
        <v>102120</v>
      </c>
      <c r="AF134">
        <v>5611</v>
      </c>
      <c r="AG134">
        <f t="shared" si="190"/>
        <v>7294.3</v>
      </c>
      <c r="AH134" t="s">
        <v>73</v>
      </c>
      <c r="AI134" t="e">
        <f t="shared" si="191"/>
        <v>#VALUE!</v>
      </c>
      <c r="AJ134">
        <v>1800</v>
      </c>
      <c r="AK134">
        <f t="shared" si="192"/>
        <v>954</v>
      </c>
      <c r="AL134">
        <v>57000</v>
      </c>
      <c r="AM134">
        <f t="shared" si="193"/>
        <v>57000</v>
      </c>
      <c r="AN134">
        <v>78000</v>
      </c>
      <c r="AO134">
        <f t="shared" si="194"/>
        <v>117000</v>
      </c>
      <c r="AP134">
        <v>3150</v>
      </c>
      <c r="AQ134">
        <f t="shared" si="195"/>
        <v>4095</v>
      </c>
      <c r="AR134" t="s">
        <v>73</v>
      </c>
      <c r="AS134" t="e">
        <f t="shared" si="196"/>
        <v>#VALUE!</v>
      </c>
      <c r="AT134">
        <v>960</v>
      </c>
      <c r="AU134">
        <f t="shared" si="197"/>
        <v>508.8</v>
      </c>
      <c r="AV134">
        <v>45900</v>
      </c>
      <c r="AW134">
        <f t="shared" si="198"/>
        <v>45900</v>
      </c>
      <c r="AX134">
        <v>70580</v>
      </c>
      <c r="AY134">
        <f t="shared" si="199"/>
        <v>105870</v>
      </c>
      <c r="AZ134">
        <v>5610</v>
      </c>
      <c r="BA134">
        <f t="shared" si="200"/>
        <v>7293</v>
      </c>
    </row>
    <row r="135" spans="1:53" x14ac:dyDescent="0.3">
      <c r="A135" t="s">
        <v>74</v>
      </c>
      <c r="B135" t="s">
        <v>331</v>
      </c>
      <c r="C135" t="s">
        <v>332</v>
      </c>
      <c r="D135" t="s">
        <v>73</v>
      </c>
      <c r="E135" t="e">
        <f t="shared" si="176"/>
        <v>#VALUE!</v>
      </c>
      <c r="F135">
        <v>3846</v>
      </c>
      <c r="G135">
        <f t="shared" si="177"/>
        <v>2038.38</v>
      </c>
      <c r="H135">
        <v>50600</v>
      </c>
      <c r="I135">
        <f t="shared" si="178"/>
        <v>50600</v>
      </c>
      <c r="J135">
        <v>98820</v>
      </c>
      <c r="K135">
        <f t="shared" si="179"/>
        <v>148230</v>
      </c>
      <c r="L135">
        <v>12250</v>
      </c>
      <c r="M135">
        <f t="shared" si="180"/>
        <v>15925</v>
      </c>
      <c r="N135" t="s">
        <v>73</v>
      </c>
      <c r="O135" t="e">
        <f t="shared" si="181"/>
        <v>#VALUE!</v>
      </c>
      <c r="P135">
        <v>4920</v>
      </c>
      <c r="Q135">
        <f t="shared" si="182"/>
        <v>2607.6</v>
      </c>
      <c r="R135">
        <v>51000</v>
      </c>
      <c r="S135">
        <f t="shared" si="183"/>
        <v>51000</v>
      </c>
      <c r="T135">
        <v>96000</v>
      </c>
      <c r="U135">
        <f t="shared" si="184"/>
        <v>144000</v>
      </c>
      <c r="V135">
        <v>19250</v>
      </c>
      <c r="W135">
        <f t="shared" ref="W135" si="202">V135*1.3</f>
        <v>25025</v>
      </c>
      <c r="X135" t="s">
        <v>73</v>
      </c>
      <c r="Y135" t="e">
        <f t="shared" si="186"/>
        <v>#VALUE!</v>
      </c>
      <c r="Z135">
        <v>4650</v>
      </c>
      <c r="AA135">
        <f t="shared" si="187"/>
        <v>2464.5</v>
      </c>
      <c r="AB135">
        <v>47520</v>
      </c>
      <c r="AC135">
        <f t="shared" si="188"/>
        <v>47520</v>
      </c>
      <c r="AD135">
        <v>102360</v>
      </c>
      <c r="AE135">
        <f t="shared" si="189"/>
        <v>153540</v>
      </c>
      <c r="AF135">
        <v>16800</v>
      </c>
      <c r="AG135">
        <f t="shared" si="190"/>
        <v>21840</v>
      </c>
      <c r="AH135" t="s">
        <v>73</v>
      </c>
      <c r="AI135" t="e">
        <f t="shared" si="191"/>
        <v>#VALUE!</v>
      </c>
      <c r="AJ135">
        <v>5080</v>
      </c>
      <c r="AK135">
        <f t="shared" si="192"/>
        <v>2692.4</v>
      </c>
      <c r="AL135">
        <v>62370</v>
      </c>
      <c r="AM135">
        <f t="shared" si="193"/>
        <v>62370</v>
      </c>
      <c r="AN135">
        <v>126000</v>
      </c>
      <c r="AO135">
        <f t="shared" si="194"/>
        <v>189000</v>
      </c>
      <c r="AP135">
        <v>9625</v>
      </c>
      <c r="AQ135">
        <f t="shared" si="195"/>
        <v>12512.5</v>
      </c>
      <c r="AR135" t="s">
        <v>73</v>
      </c>
      <c r="AS135" t="e">
        <f t="shared" si="196"/>
        <v>#VALUE!</v>
      </c>
      <c r="AT135">
        <v>4260</v>
      </c>
      <c r="AU135">
        <f t="shared" si="197"/>
        <v>2257.8000000000002</v>
      </c>
      <c r="AV135">
        <v>46480</v>
      </c>
      <c r="AW135">
        <f t="shared" si="198"/>
        <v>46480</v>
      </c>
      <c r="AX135">
        <v>107760</v>
      </c>
      <c r="AY135">
        <f t="shared" si="199"/>
        <v>161640</v>
      </c>
      <c r="AZ135">
        <v>16800</v>
      </c>
      <c r="BA135">
        <f t="shared" si="200"/>
        <v>21840</v>
      </c>
    </row>
    <row r="136" spans="1:53" x14ac:dyDescent="0.3">
      <c r="A136" t="s">
        <v>74</v>
      </c>
      <c r="B136" t="s">
        <v>333</v>
      </c>
      <c r="C136" t="s">
        <v>334</v>
      </c>
      <c r="D136" t="s">
        <v>73</v>
      </c>
      <c r="E136" t="e">
        <f t="shared" si="176"/>
        <v>#VALUE!</v>
      </c>
      <c r="F136">
        <v>869</v>
      </c>
      <c r="G136">
        <f t="shared" si="177"/>
        <v>460.57000000000005</v>
      </c>
      <c r="H136">
        <v>9900</v>
      </c>
      <c r="I136">
        <f t="shared" si="178"/>
        <v>9900</v>
      </c>
      <c r="J136">
        <v>41360</v>
      </c>
      <c r="K136">
        <f t="shared" si="179"/>
        <v>62040</v>
      </c>
      <c r="L136">
        <v>4320</v>
      </c>
      <c r="M136">
        <f t="shared" si="180"/>
        <v>5616</v>
      </c>
      <c r="N136" t="s">
        <v>73</v>
      </c>
      <c r="O136" t="e">
        <f t="shared" si="181"/>
        <v>#VALUE!</v>
      </c>
      <c r="P136">
        <v>780</v>
      </c>
      <c r="Q136">
        <f t="shared" si="182"/>
        <v>413.40000000000003</v>
      </c>
      <c r="R136">
        <v>9020</v>
      </c>
      <c r="S136">
        <f t="shared" si="183"/>
        <v>9020</v>
      </c>
      <c r="T136">
        <v>38490</v>
      </c>
      <c r="U136">
        <f t="shared" si="184"/>
        <v>57735</v>
      </c>
      <c r="V136">
        <v>5760</v>
      </c>
      <c r="W136">
        <f t="shared" ref="W136" si="203">V136*1.3</f>
        <v>7488</v>
      </c>
      <c r="X136" t="s">
        <v>73</v>
      </c>
      <c r="Y136" t="e">
        <f t="shared" si="186"/>
        <v>#VALUE!</v>
      </c>
      <c r="Z136">
        <v>2340</v>
      </c>
      <c r="AA136">
        <f t="shared" si="187"/>
        <v>1240.2</v>
      </c>
      <c r="AB136">
        <v>9900</v>
      </c>
      <c r="AC136">
        <f t="shared" si="188"/>
        <v>9900</v>
      </c>
      <c r="AD136">
        <v>42200</v>
      </c>
      <c r="AE136">
        <f t="shared" si="189"/>
        <v>63300</v>
      </c>
      <c r="AF136">
        <v>5664</v>
      </c>
      <c r="AG136">
        <f t="shared" si="190"/>
        <v>7363.2</v>
      </c>
      <c r="AH136" t="s">
        <v>73</v>
      </c>
      <c r="AI136" t="e">
        <f t="shared" si="191"/>
        <v>#VALUE!</v>
      </c>
      <c r="AJ136">
        <v>1870</v>
      </c>
      <c r="AK136">
        <f t="shared" si="192"/>
        <v>991.1</v>
      </c>
      <c r="AL136">
        <v>11880</v>
      </c>
      <c r="AM136">
        <f t="shared" si="193"/>
        <v>11880</v>
      </c>
      <c r="AN136">
        <v>54420</v>
      </c>
      <c r="AO136">
        <f t="shared" si="194"/>
        <v>81630</v>
      </c>
      <c r="AP136">
        <v>1950</v>
      </c>
      <c r="AQ136">
        <f t="shared" si="195"/>
        <v>2535</v>
      </c>
      <c r="AR136" t="s">
        <v>73</v>
      </c>
      <c r="AS136" t="e">
        <f t="shared" si="196"/>
        <v>#VALUE!</v>
      </c>
      <c r="AT136">
        <v>1280</v>
      </c>
      <c r="AU136">
        <f t="shared" si="197"/>
        <v>678.40000000000009</v>
      </c>
      <c r="AV136">
        <v>8900</v>
      </c>
      <c r="AW136">
        <f t="shared" si="198"/>
        <v>8900</v>
      </c>
      <c r="AX136">
        <v>48960</v>
      </c>
      <c r="AY136">
        <f t="shared" si="199"/>
        <v>73440</v>
      </c>
      <c r="AZ136">
        <v>4200</v>
      </c>
      <c r="BA136">
        <f t="shared" si="200"/>
        <v>5460</v>
      </c>
    </row>
    <row r="137" spans="1:53" x14ac:dyDescent="0.3">
      <c r="A137" t="s">
        <v>74</v>
      </c>
      <c r="B137" t="s">
        <v>335</v>
      </c>
      <c r="C137" t="s">
        <v>336</v>
      </c>
      <c r="D137">
        <v>120</v>
      </c>
      <c r="E137">
        <f t="shared" si="176"/>
        <v>144</v>
      </c>
      <c r="F137">
        <v>210</v>
      </c>
      <c r="G137">
        <f t="shared" si="177"/>
        <v>111.30000000000001</v>
      </c>
      <c r="H137">
        <v>4250</v>
      </c>
      <c r="I137">
        <f t="shared" si="178"/>
        <v>4250</v>
      </c>
      <c r="J137">
        <v>16656</v>
      </c>
      <c r="K137">
        <f t="shared" si="179"/>
        <v>24984</v>
      </c>
      <c r="L137">
        <v>660</v>
      </c>
      <c r="M137">
        <f t="shared" si="180"/>
        <v>858</v>
      </c>
      <c r="N137">
        <v>120</v>
      </c>
      <c r="O137">
        <f t="shared" si="181"/>
        <v>144</v>
      </c>
      <c r="P137">
        <v>405</v>
      </c>
      <c r="Q137">
        <f t="shared" si="182"/>
        <v>214.65</v>
      </c>
      <c r="R137">
        <v>3800</v>
      </c>
      <c r="S137">
        <f t="shared" si="183"/>
        <v>3800</v>
      </c>
      <c r="T137">
        <v>16270</v>
      </c>
      <c r="U137">
        <f t="shared" si="184"/>
        <v>24405</v>
      </c>
      <c r="V137">
        <v>2040</v>
      </c>
      <c r="W137">
        <f t="shared" ref="W137" si="204">V137*1.3</f>
        <v>2652</v>
      </c>
      <c r="X137">
        <v>110</v>
      </c>
      <c r="Y137">
        <f t="shared" si="186"/>
        <v>132</v>
      </c>
      <c r="Z137">
        <v>624</v>
      </c>
      <c r="AA137">
        <f t="shared" si="187"/>
        <v>330.72</v>
      </c>
      <c r="AB137">
        <v>3300</v>
      </c>
      <c r="AC137">
        <f t="shared" si="188"/>
        <v>3300</v>
      </c>
      <c r="AD137">
        <v>17780</v>
      </c>
      <c r="AE137">
        <f t="shared" si="189"/>
        <v>26670</v>
      </c>
      <c r="AF137">
        <v>978</v>
      </c>
      <c r="AG137">
        <f t="shared" si="190"/>
        <v>1271.4000000000001</v>
      </c>
      <c r="AH137">
        <v>120</v>
      </c>
      <c r="AI137">
        <f t="shared" si="191"/>
        <v>144</v>
      </c>
      <c r="AJ137">
        <v>810</v>
      </c>
      <c r="AK137">
        <f t="shared" si="192"/>
        <v>429.3</v>
      </c>
      <c r="AL137">
        <v>4500</v>
      </c>
      <c r="AM137">
        <f t="shared" si="193"/>
        <v>4500</v>
      </c>
      <c r="AN137">
        <v>20000</v>
      </c>
      <c r="AO137">
        <f t="shared" si="194"/>
        <v>30000</v>
      </c>
      <c r="AP137">
        <v>490</v>
      </c>
      <c r="AQ137">
        <f t="shared" si="195"/>
        <v>637</v>
      </c>
      <c r="AR137">
        <v>65</v>
      </c>
      <c r="AS137">
        <f t="shared" si="196"/>
        <v>78</v>
      </c>
      <c r="AT137">
        <v>760</v>
      </c>
      <c r="AU137">
        <f t="shared" si="197"/>
        <v>402.8</v>
      </c>
      <c r="AV137">
        <v>4200</v>
      </c>
      <c r="AW137">
        <f t="shared" si="198"/>
        <v>4200</v>
      </c>
      <c r="AX137">
        <v>19980</v>
      </c>
      <c r="AY137">
        <f t="shared" si="199"/>
        <v>29970</v>
      </c>
      <c r="AZ137">
        <v>1020</v>
      </c>
      <c r="BA137">
        <f t="shared" si="200"/>
        <v>1326</v>
      </c>
    </row>
    <row r="138" spans="1:53" x14ac:dyDescent="0.3">
      <c r="A138" t="s">
        <v>74</v>
      </c>
      <c r="B138" t="s">
        <v>337</v>
      </c>
      <c r="C138" t="s">
        <v>338</v>
      </c>
      <c r="D138">
        <v>360</v>
      </c>
      <c r="E138">
        <f t="shared" si="176"/>
        <v>432</v>
      </c>
      <c r="F138">
        <v>1580</v>
      </c>
      <c r="G138">
        <f t="shared" si="177"/>
        <v>837.40000000000009</v>
      </c>
      <c r="H138">
        <v>29370</v>
      </c>
      <c r="I138">
        <f t="shared" si="178"/>
        <v>29370</v>
      </c>
      <c r="J138">
        <v>55800</v>
      </c>
      <c r="K138">
        <f t="shared" si="179"/>
        <v>83700</v>
      </c>
      <c r="L138">
        <v>4550</v>
      </c>
      <c r="M138">
        <f t="shared" si="180"/>
        <v>5915</v>
      </c>
      <c r="N138">
        <v>360</v>
      </c>
      <c r="O138">
        <f t="shared" si="181"/>
        <v>432</v>
      </c>
      <c r="P138">
        <v>1560</v>
      </c>
      <c r="Q138">
        <f t="shared" si="182"/>
        <v>826.80000000000007</v>
      </c>
      <c r="R138">
        <v>31160</v>
      </c>
      <c r="S138">
        <f t="shared" si="183"/>
        <v>31160</v>
      </c>
      <c r="T138">
        <v>54140</v>
      </c>
      <c r="U138">
        <f t="shared" si="184"/>
        <v>81210</v>
      </c>
      <c r="V138">
        <v>7000</v>
      </c>
      <c r="W138">
        <f t="shared" ref="W138" si="205">V138*1.3</f>
        <v>9100</v>
      </c>
      <c r="X138">
        <v>330</v>
      </c>
      <c r="Y138">
        <f t="shared" si="186"/>
        <v>396</v>
      </c>
      <c r="Z138">
        <v>1430</v>
      </c>
      <c r="AA138">
        <f t="shared" si="187"/>
        <v>757.90000000000009</v>
      </c>
      <c r="AB138">
        <v>28380</v>
      </c>
      <c r="AC138">
        <f t="shared" si="188"/>
        <v>28380</v>
      </c>
      <c r="AD138">
        <v>54850</v>
      </c>
      <c r="AE138">
        <f t="shared" si="189"/>
        <v>82275</v>
      </c>
      <c r="AF138">
        <v>6300</v>
      </c>
      <c r="AG138">
        <f t="shared" si="190"/>
        <v>8190</v>
      </c>
      <c r="AH138">
        <v>360</v>
      </c>
      <c r="AI138">
        <f t="shared" si="191"/>
        <v>432</v>
      </c>
      <c r="AJ138">
        <v>1470</v>
      </c>
      <c r="AK138">
        <f t="shared" si="192"/>
        <v>779.1</v>
      </c>
      <c r="AL138">
        <v>38400</v>
      </c>
      <c r="AM138">
        <f t="shared" si="193"/>
        <v>38400</v>
      </c>
      <c r="AN138">
        <v>60660</v>
      </c>
      <c r="AO138">
        <f t="shared" si="194"/>
        <v>90990</v>
      </c>
      <c r="AP138">
        <v>2340</v>
      </c>
      <c r="AQ138">
        <f t="shared" si="195"/>
        <v>3042</v>
      </c>
      <c r="AR138">
        <v>325</v>
      </c>
      <c r="AS138">
        <f t="shared" si="196"/>
        <v>390</v>
      </c>
      <c r="AT138">
        <v>1440</v>
      </c>
      <c r="AU138">
        <f t="shared" si="197"/>
        <v>763.2</v>
      </c>
      <c r="AV138">
        <v>27360</v>
      </c>
      <c r="AW138">
        <f t="shared" si="198"/>
        <v>27360</v>
      </c>
      <c r="AX138">
        <v>46860</v>
      </c>
      <c r="AY138">
        <f t="shared" si="199"/>
        <v>70290</v>
      </c>
      <c r="AZ138">
        <v>5400</v>
      </c>
      <c r="BA138">
        <f t="shared" si="200"/>
        <v>7020</v>
      </c>
    </row>
    <row r="139" spans="1:53" x14ac:dyDescent="0.3">
      <c r="A139" t="s">
        <v>74</v>
      </c>
      <c r="B139" t="s">
        <v>339</v>
      </c>
      <c r="C139" t="s">
        <v>340</v>
      </c>
      <c r="D139" t="s">
        <v>73</v>
      </c>
      <c r="E139" t="e">
        <f t="shared" si="176"/>
        <v>#VALUE!</v>
      </c>
      <c r="F139">
        <v>674</v>
      </c>
      <c r="G139">
        <f t="shared" si="177"/>
        <v>357.22</v>
      </c>
      <c r="H139">
        <v>11570</v>
      </c>
      <c r="I139">
        <f t="shared" si="178"/>
        <v>11570</v>
      </c>
      <c r="J139">
        <v>26600</v>
      </c>
      <c r="K139">
        <f t="shared" si="179"/>
        <v>39900</v>
      </c>
      <c r="L139">
        <v>1080</v>
      </c>
      <c r="M139">
        <f t="shared" si="180"/>
        <v>1404</v>
      </c>
      <c r="N139" t="s">
        <v>73</v>
      </c>
      <c r="O139" t="e">
        <f t="shared" si="181"/>
        <v>#VALUE!</v>
      </c>
      <c r="P139">
        <v>580</v>
      </c>
      <c r="Q139">
        <f t="shared" si="182"/>
        <v>307.40000000000003</v>
      </c>
      <c r="R139">
        <v>13280</v>
      </c>
      <c r="S139">
        <f t="shared" si="183"/>
        <v>13280</v>
      </c>
      <c r="T139">
        <v>23980</v>
      </c>
      <c r="U139">
        <f t="shared" si="184"/>
        <v>35970</v>
      </c>
      <c r="V139">
        <v>1800</v>
      </c>
      <c r="W139">
        <f t="shared" ref="W139" si="206">V139*1.3</f>
        <v>2340</v>
      </c>
      <c r="X139" t="s">
        <v>73</v>
      </c>
      <c r="Y139" t="e">
        <f t="shared" si="186"/>
        <v>#VALUE!</v>
      </c>
      <c r="Z139">
        <v>490</v>
      </c>
      <c r="AA139">
        <f t="shared" si="187"/>
        <v>259.7</v>
      </c>
      <c r="AB139">
        <v>11520</v>
      </c>
      <c r="AC139">
        <f t="shared" si="188"/>
        <v>11520</v>
      </c>
      <c r="AD139">
        <v>25950</v>
      </c>
      <c r="AE139">
        <f t="shared" si="189"/>
        <v>38925</v>
      </c>
      <c r="AF139">
        <v>852</v>
      </c>
      <c r="AG139">
        <f t="shared" si="190"/>
        <v>1107.6000000000001</v>
      </c>
      <c r="AH139" t="s">
        <v>73</v>
      </c>
      <c r="AI139" t="e">
        <f t="shared" si="191"/>
        <v>#VALUE!</v>
      </c>
      <c r="AJ139">
        <v>490</v>
      </c>
      <c r="AK139">
        <f t="shared" si="192"/>
        <v>259.7</v>
      </c>
      <c r="AL139">
        <v>13000</v>
      </c>
      <c r="AM139">
        <f t="shared" si="193"/>
        <v>13000</v>
      </c>
      <c r="AN139">
        <v>34640</v>
      </c>
      <c r="AO139">
        <f t="shared" si="194"/>
        <v>51960</v>
      </c>
      <c r="AP139">
        <v>560</v>
      </c>
      <c r="AQ139">
        <f t="shared" si="195"/>
        <v>728</v>
      </c>
      <c r="AR139" t="s">
        <v>73</v>
      </c>
      <c r="AS139" t="e">
        <f t="shared" si="196"/>
        <v>#VALUE!</v>
      </c>
      <c r="AT139">
        <v>456</v>
      </c>
      <c r="AU139">
        <f t="shared" si="197"/>
        <v>241.68</v>
      </c>
      <c r="AV139">
        <v>9000</v>
      </c>
      <c r="AW139">
        <f t="shared" si="198"/>
        <v>9000</v>
      </c>
      <c r="AX139">
        <v>32480</v>
      </c>
      <c r="AY139">
        <f t="shared" si="199"/>
        <v>48720</v>
      </c>
      <c r="AZ139">
        <v>1440</v>
      </c>
      <c r="BA139">
        <f t="shared" si="200"/>
        <v>1872</v>
      </c>
    </row>
    <row r="140" spans="1:53" x14ac:dyDescent="0.3">
      <c r="A140" t="s">
        <v>74</v>
      </c>
      <c r="B140" t="s">
        <v>341</v>
      </c>
      <c r="C140" t="s">
        <v>342</v>
      </c>
      <c r="D140" t="s">
        <v>73</v>
      </c>
      <c r="E140" t="e">
        <f t="shared" si="176"/>
        <v>#VALUE!</v>
      </c>
      <c r="F140">
        <v>165</v>
      </c>
      <c r="G140">
        <f t="shared" si="177"/>
        <v>87.45</v>
      </c>
      <c r="H140">
        <v>12000</v>
      </c>
      <c r="I140">
        <f t="shared" si="178"/>
        <v>12000</v>
      </c>
      <c r="J140">
        <v>12000</v>
      </c>
      <c r="K140">
        <f t="shared" si="179"/>
        <v>18000</v>
      </c>
      <c r="L140" t="s">
        <v>73</v>
      </c>
      <c r="M140" t="e">
        <f t="shared" si="180"/>
        <v>#VALUE!</v>
      </c>
      <c r="N140" t="s">
        <v>73</v>
      </c>
      <c r="O140" t="e">
        <f t="shared" si="181"/>
        <v>#VALUE!</v>
      </c>
      <c r="P140">
        <v>163</v>
      </c>
      <c r="Q140">
        <f t="shared" si="182"/>
        <v>86.39</v>
      </c>
      <c r="R140">
        <v>12000</v>
      </c>
      <c r="S140">
        <f t="shared" si="183"/>
        <v>12000</v>
      </c>
      <c r="T140">
        <v>13600</v>
      </c>
      <c r="U140">
        <f t="shared" si="184"/>
        <v>20400</v>
      </c>
      <c r="V140" t="s">
        <v>73</v>
      </c>
      <c r="W140" t="e">
        <f t="shared" ref="W140" si="207">V140*1.3</f>
        <v>#VALUE!</v>
      </c>
      <c r="X140" t="s">
        <v>73</v>
      </c>
      <c r="Y140" t="e">
        <f t="shared" si="186"/>
        <v>#VALUE!</v>
      </c>
      <c r="Z140">
        <v>195</v>
      </c>
      <c r="AA140">
        <f t="shared" si="187"/>
        <v>103.35000000000001</v>
      </c>
      <c r="AB140">
        <v>15000</v>
      </c>
      <c r="AC140">
        <f t="shared" si="188"/>
        <v>15000</v>
      </c>
      <c r="AD140">
        <v>18000</v>
      </c>
      <c r="AE140">
        <f t="shared" si="189"/>
        <v>27000</v>
      </c>
      <c r="AF140">
        <v>2700</v>
      </c>
      <c r="AG140">
        <f t="shared" si="190"/>
        <v>3510</v>
      </c>
      <c r="AH140" t="s">
        <v>73</v>
      </c>
      <c r="AI140" t="e">
        <f t="shared" si="191"/>
        <v>#VALUE!</v>
      </c>
      <c r="AJ140">
        <v>173</v>
      </c>
      <c r="AK140">
        <f t="shared" si="192"/>
        <v>91.69</v>
      </c>
      <c r="AL140">
        <v>12000</v>
      </c>
      <c r="AM140">
        <f t="shared" si="193"/>
        <v>12000</v>
      </c>
      <c r="AN140">
        <v>13332</v>
      </c>
      <c r="AO140">
        <f t="shared" si="194"/>
        <v>19998</v>
      </c>
      <c r="AP140" t="s">
        <v>73</v>
      </c>
      <c r="AQ140" t="e">
        <f t="shared" si="195"/>
        <v>#VALUE!</v>
      </c>
      <c r="AR140" t="s">
        <v>73</v>
      </c>
      <c r="AS140" t="e">
        <f t="shared" si="196"/>
        <v>#VALUE!</v>
      </c>
      <c r="AT140">
        <v>168</v>
      </c>
      <c r="AU140">
        <f t="shared" si="197"/>
        <v>89.04</v>
      </c>
      <c r="AV140">
        <v>12000</v>
      </c>
      <c r="AW140">
        <f t="shared" si="198"/>
        <v>12000</v>
      </c>
      <c r="AX140">
        <v>18698</v>
      </c>
      <c r="AY140">
        <f t="shared" si="199"/>
        <v>28047</v>
      </c>
      <c r="AZ140">
        <v>225</v>
      </c>
      <c r="BA140">
        <f t="shared" si="200"/>
        <v>292.5</v>
      </c>
    </row>
    <row r="141" spans="1:53" x14ac:dyDescent="0.3">
      <c r="A141" t="s">
        <v>74</v>
      </c>
      <c r="B141" t="s">
        <v>343</v>
      </c>
      <c r="C141" t="s">
        <v>344</v>
      </c>
      <c r="D141" t="s">
        <v>73</v>
      </c>
      <c r="E141" t="e">
        <f t="shared" si="176"/>
        <v>#VALUE!</v>
      </c>
      <c r="F141">
        <v>96</v>
      </c>
      <c r="G141">
        <f t="shared" si="177"/>
        <v>50.88</v>
      </c>
      <c r="H141">
        <v>7200</v>
      </c>
      <c r="I141">
        <f t="shared" si="178"/>
        <v>7200</v>
      </c>
      <c r="J141">
        <v>1600</v>
      </c>
      <c r="K141">
        <f t="shared" si="179"/>
        <v>2400</v>
      </c>
      <c r="L141" t="s">
        <v>73</v>
      </c>
      <c r="M141" t="e">
        <f t="shared" si="180"/>
        <v>#VALUE!</v>
      </c>
      <c r="N141" t="s">
        <v>73</v>
      </c>
      <c r="O141" t="e">
        <f t="shared" si="181"/>
        <v>#VALUE!</v>
      </c>
      <c r="P141">
        <v>140</v>
      </c>
      <c r="Q141">
        <f t="shared" si="182"/>
        <v>74.2</v>
      </c>
      <c r="R141">
        <v>7200</v>
      </c>
      <c r="S141">
        <f t="shared" si="183"/>
        <v>7200</v>
      </c>
      <c r="T141">
        <v>1400</v>
      </c>
      <c r="U141">
        <f t="shared" si="184"/>
        <v>2100</v>
      </c>
      <c r="V141" t="s">
        <v>73</v>
      </c>
      <c r="W141" t="e">
        <f t="shared" ref="W141" si="208">V141*1.3</f>
        <v>#VALUE!</v>
      </c>
      <c r="X141" t="s">
        <v>73</v>
      </c>
      <c r="Y141" t="e">
        <f t="shared" si="186"/>
        <v>#VALUE!</v>
      </c>
      <c r="Z141">
        <v>144</v>
      </c>
      <c r="AA141">
        <f t="shared" si="187"/>
        <v>76.320000000000007</v>
      </c>
      <c r="AB141">
        <v>6000</v>
      </c>
      <c r="AC141">
        <f t="shared" si="188"/>
        <v>6000</v>
      </c>
      <c r="AD141">
        <v>780</v>
      </c>
      <c r="AE141">
        <f t="shared" si="189"/>
        <v>1170</v>
      </c>
      <c r="AF141" t="s">
        <v>73</v>
      </c>
      <c r="AG141" t="e">
        <f t="shared" si="190"/>
        <v>#VALUE!</v>
      </c>
      <c r="AH141" t="s">
        <v>73</v>
      </c>
      <c r="AI141" t="e">
        <f t="shared" si="191"/>
        <v>#VALUE!</v>
      </c>
      <c r="AJ141">
        <v>180</v>
      </c>
      <c r="AK141">
        <f t="shared" si="192"/>
        <v>95.4</v>
      </c>
      <c r="AL141">
        <v>8000</v>
      </c>
      <c r="AM141">
        <f t="shared" si="193"/>
        <v>8000</v>
      </c>
      <c r="AN141">
        <v>1120</v>
      </c>
      <c r="AO141">
        <f t="shared" si="194"/>
        <v>1680</v>
      </c>
      <c r="AP141" t="s">
        <v>73</v>
      </c>
      <c r="AQ141" t="e">
        <f t="shared" si="195"/>
        <v>#VALUE!</v>
      </c>
      <c r="AR141" t="s">
        <v>73</v>
      </c>
      <c r="AS141" t="e">
        <f t="shared" si="196"/>
        <v>#VALUE!</v>
      </c>
      <c r="AT141">
        <v>120</v>
      </c>
      <c r="AU141">
        <f t="shared" si="197"/>
        <v>63.6</v>
      </c>
      <c r="AV141">
        <v>5760</v>
      </c>
      <c r="AW141">
        <f t="shared" si="198"/>
        <v>5760</v>
      </c>
      <c r="AX141">
        <v>1050</v>
      </c>
      <c r="AY141">
        <f t="shared" si="199"/>
        <v>1575</v>
      </c>
      <c r="AZ141" t="s">
        <v>73</v>
      </c>
      <c r="BA141" t="e">
        <f t="shared" si="200"/>
        <v>#VALUE!</v>
      </c>
    </row>
    <row r="142" spans="1:53" x14ac:dyDescent="0.3">
      <c r="A142" t="s">
        <v>74</v>
      </c>
      <c r="B142" t="s">
        <v>345</v>
      </c>
      <c r="C142" t="s">
        <v>346</v>
      </c>
      <c r="D142" t="s">
        <v>73</v>
      </c>
      <c r="E142" t="e">
        <f t="shared" si="176"/>
        <v>#VALUE!</v>
      </c>
      <c r="F142">
        <v>851</v>
      </c>
      <c r="G142">
        <f t="shared" si="177"/>
        <v>451.03000000000003</v>
      </c>
      <c r="H142">
        <v>9200</v>
      </c>
      <c r="I142">
        <f t="shared" si="178"/>
        <v>9200</v>
      </c>
      <c r="J142">
        <v>23400</v>
      </c>
      <c r="K142">
        <f t="shared" si="179"/>
        <v>35100</v>
      </c>
      <c r="L142">
        <v>2960</v>
      </c>
      <c r="M142">
        <f t="shared" si="180"/>
        <v>3848</v>
      </c>
      <c r="N142" t="s">
        <v>73</v>
      </c>
      <c r="O142" t="e">
        <f t="shared" si="181"/>
        <v>#VALUE!</v>
      </c>
      <c r="P142">
        <v>594</v>
      </c>
      <c r="Q142">
        <f t="shared" si="182"/>
        <v>314.82</v>
      </c>
      <c r="R142">
        <v>8500</v>
      </c>
      <c r="S142">
        <f t="shared" si="183"/>
        <v>8500</v>
      </c>
      <c r="T142">
        <v>23480</v>
      </c>
      <c r="U142">
        <f t="shared" si="184"/>
        <v>35220</v>
      </c>
      <c r="V142">
        <v>4320</v>
      </c>
      <c r="W142">
        <f t="shared" ref="W142" si="209">V142*1.3</f>
        <v>5616</v>
      </c>
      <c r="X142" t="s">
        <v>73</v>
      </c>
      <c r="Y142" t="e">
        <f t="shared" si="186"/>
        <v>#VALUE!</v>
      </c>
      <c r="Z142">
        <v>580</v>
      </c>
      <c r="AA142">
        <f t="shared" si="187"/>
        <v>307.40000000000003</v>
      </c>
      <c r="AB142">
        <v>9360</v>
      </c>
      <c r="AC142">
        <f t="shared" si="188"/>
        <v>9360</v>
      </c>
      <c r="AD142">
        <v>24220</v>
      </c>
      <c r="AE142">
        <f t="shared" si="189"/>
        <v>36330</v>
      </c>
      <c r="AF142">
        <v>4008</v>
      </c>
      <c r="AG142">
        <f t="shared" si="190"/>
        <v>5210.4000000000005</v>
      </c>
      <c r="AH142" t="s">
        <v>73</v>
      </c>
      <c r="AI142" t="e">
        <f t="shared" si="191"/>
        <v>#VALUE!</v>
      </c>
      <c r="AJ142">
        <v>540</v>
      </c>
      <c r="AK142">
        <f t="shared" si="192"/>
        <v>286.2</v>
      </c>
      <c r="AL142">
        <v>11000</v>
      </c>
      <c r="AM142">
        <f t="shared" si="193"/>
        <v>11000</v>
      </c>
      <c r="AN142">
        <v>30450</v>
      </c>
      <c r="AO142">
        <f t="shared" si="194"/>
        <v>45675</v>
      </c>
      <c r="AP142">
        <v>960</v>
      </c>
      <c r="AQ142">
        <f t="shared" si="195"/>
        <v>1248</v>
      </c>
      <c r="AR142" t="s">
        <v>73</v>
      </c>
      <c r="AS142" t="e">
        <f t="shared" si="196"/>
        <v>#VALUE!</v>
      </c>
      <c r="AT142">
        <v>456</v>
      </c>
      <c r="AU142">
        <f t="shared" si="197"/>
        <v>241.68</v>
      </c>
      <c r="AV142">
        <v>7200</v>
      </c>
      <c r="AW142">
        <f t="shared" si="198"/>
        <v>7200</v>
      </c>
      <c r="AX142">
        <v>25680</v>
      </c>
      <c r="AY142">
        <f t="shared" si="199"/>
        <v>38520</v>
      </c>
      <c r="AZ142">
        <v>1440</v>
      </c>
      <c r="BA142">
        <f t="shared" si="200"/>
        <v>1872</v>
      </c>
    </row>
    <row r="143" spans="1:53" x14ac:dyDescent="0.3">
      <c r="A143" t="s">
        <v>70</v>
      </c>
      <c r="B143" t="s">
        <v>347</v>
      </c>
      <c r="C143" t="s">
        <v>348</v>
      </c>
      <c r="D143">
        <v>64</v>
      </c>
      <c r="E143">
        <f t="shared" si="176"/>
        <v>76.8</v>
      </c>
      <c r="F143">
        <v>1172</v>
      </c>
      <c r="G143">
        <f t="shared" si="177"/>
        <v>621.16000000000008</v>
      </c>
      <c r="H143">
        <v>27420</v>
      </c>
      <c r="I143">
        <f t="shared" si="178"/>
        <v>27420</v>
      </c>
      <c r="J143">
        <v>49200</v>
      </c>
      <c r="K143">
        <f t="shared" si="179"/>
        <v>73800</v>
      </c>
      <c r="L143">
        <v>576</v>
      </c>
      <c r="M143">
        <f t="shared" si="180"/>
        <v>748.80000000000007</v>
      </c>
      <c r="N143">
        <v>70</v>
      </c>
      <c r="O143">
        <f t="shared" si="181"/>
        <v>84</v>
      </c>
      <c r="P143">
        <v>1168</v>
      </c>
      <c r="Q143">
        <f t="shared" si="182"/>
        <v>619.04000000000008</v>
      </c>
      <c r="R143">
        <v>27420</v>
      </c>
      <c r="S143">
        <f t="shared" si="183"/>
        <v>27420</v>
      </c>
      <c r="T143">
        <v>49200</v>
      </c>
      <c r="U143">
        <f t="shared" si="184"/>
        <v>73800</v>
      </c>
      <c r="V143">
        <v>613</v>
      </c>
      <c r="W143">
        <f t="shared" ref="W143" si="210">V143*1.3</f>
        <v>796.9</v>
      </c>
      <c r="X143">
        <v>74</v>
      </c>
      <c r="Y143">
        <f t="shared" si="186"/>
        <v>88.8</v>
      </c>
      <c r="Z143">
        <v>1306</v>
      </c>
      <c r="AA143">
        <f t="shared" si="187"/>
        <v>692.18000000000006</v>
      </c>
      <c r="AB143">
        <v>28000</v>
      </c>
      <c r="AC143">
        <f t="shared" si="188"/>
        <v>28000</v>
      </c>
      <c r="AD143">
        <v>41520</v>
      </c>
      <c r="AE143">
        <f t="shared" si="189"/>
        <v>62280</v>
      </c>
      <c r="AF143">
        <v>3710</v>
      </c>
      <c r="AG143">
        <f t="shared" si="190"/>
        <v>4823</v>
      </c>
      <c r="AH143">
        <v>69</v>
      </c>
      <c r="AI143">
        <f t="shared" si="191"/>
        <v>82.8</v>
      </c>
      <c r="AJ143">
        <v>1540</v>
      </c>
      <c r="AK143">
        <f t="shared" si="192"/>
        <v>816.2</v>
      </c>
      <c r="AL143">
        <v>27000</v>
      </c>
      <c r="AM143">
        <f t="shared" si="193"/>
        <v>27000</v>
      </c>
      <c r="AN143">
        <v>47954</v>
      </c>
      <c r="AO143">
        <f t="shared" si="194"/>
        <v>71931</v>
      </c>
      <c r="AP143">
        <v>2810</v>
      </c>
      <c r="AQ143">
        <f t="shared" si="195"/>
        <v>3653</v>
      </c>
      <c r="AR143">
        <v>68</v>
      </c>
      <c r="AS143">
        <f t="shared" si="196"/>
        <v>81.599999999999994</v>
      </c>
      <c r="AT143">
        <v>1525</v>
      </c>
      <c r="AU143">
        <f t="shared" si="197"/>
        <v>808.25</v>
      </c>
      <c r="AV143">
        <v>21453</v>
      </c>
      <c r="AW143">
        <f t="shared" si="198"/>
        <v>21453</v>
      </c>
      <c r="AX143">
        <v>41472</v>
      </c>
      <c r="AY143">
        <f t="shared" si="199"/>
        <v>62208</v>
      </c>
      <c r="AZ143">
        <v>1715</v>
      </c>
      <c r="BA143">
        <f t="shared" si="200"/>
        <v>2229.5</v>
      </c>
    </row>
    <row r="144" spans="1:53" x14ac:dyDescent="0.3">
      <c r="A144" t="s">
        <v>74</v>
      </c>
      <c r="B144" t="s">
        <v>349</v>
      </c>
      <c r="C144" t="s">
        <v>350</v>
      </c>
      <c r="D144" t="s">
        <v>73</v>
      </c>
      <c r="E144" t="e">
        <f t="shared" si="176"/>
        <v>#VALUE!</v>
      </c>
      <c r="F144">
        <v>297</v>
      </c>
      <c r="G144">
        <f t="shared" si="177"/>
        <v>157.41</v>
      </c>
      <c r="H144">
        <v>9900</v>
      </c>
      <c r="I144">
        <f t="shared" si="178"/>
        <v>9900</v>
      </c>
      <c r="J144">
        <v>7500</v>
      </c>
      <c r="K144">
        <f t="shared" si="179"/>
        <v>11250</v>
      </c>
      <c r="L144">
        <v>150</v>
      </c>
      <c r="M144">
        <f t="shared" si="180"/>
        <v>195</v>
      </c>
      <c r="N144" t="s">
        <v>73</v>
      </c>
      <c r="O144" t="e">
        <f t="shared" si="181"/>
        <v>#VALUE!</v>
      </c>
      <c r="P144">
        <v>293</v>
      </c>
      <c r="Q144">
        <f t="shared" si="182"/>
        <v>155.29000000000002</v>
      </c>
      <c r="R144">
        <v>9900</v>
      </c>
      <c r="S144">
        <f t="shared" si="183"/>
        <v>9900</v>
      </c>
      <c r="T144">
        <v>7500</v>
      </c>
      <c r="U144">
        <f t="shared" si="184"/>
        <v>11250</v>
      </c>
      <c r="V144">
        <v>150</v>
      </c>
      <c r="W144">
        <f t="shared" ref="W144" si="211">V144*1.3</f>
        <v>195</v>
      </c>
      <c r="X144" t="s">
        <v>73</v>
      </c>
      <c r="Y144" t="e">
        <f t="shared" si="186"/>
        <v>#VALUE!</v>
      </c>
      <c r="Z144">
        <v>225</v>
      </c>
      <c r="AA144">
        <f t="shared" si="187"/>
        <v>119.25</v>
      </c>
      <c r="AB144">
        <v>9360</v>
      </c>
      <c r="AC144">
        <f t="shared" si="188"/>
        <v>9360</v>
      </c>
      <c r="AD144">
        <v>6600</v>
      </c>
      <c r="AE144">
        <f t="shared" si="189"/>
        <v>9900</v>
      </c>
      <c r="AF144">
        <v>480</v>
      </c>
      <c r="AG144">
        <f t="shared" si="190"/>
        <v>624</v>
      </c>
      <c r="AH144" t="s">
        <v>73</v>
      </c>
      <c r="AI144" t="e">
        <f t="shared" si="191"/>
        <v>#VALUE!</v>
      </c>
      <c r="AJ144">
        <v>423</v>
      </c>
      <c r="AK144">
        <f t="shared" si="192"/>
        <v>224.19</v>
      </c>
      <c r="AL144">
        <v>8500</v>
      </c>
      <c r="AM144">
        <f t="shared" si="193"/>
        <v>8500</v>
      </c>
      <c r="AN144">
        <v>7115</v>
      </c>
      <c r="AO144">
        <f t="shared" si="194"/>
        <v>10672.5</v>
      </c>
      <c r="AP144">
        <v>450</v>
      </c>
      <c r="AQ144">
        <f t="shared" si="195"/>
        <v>585</v>
      </c>
      <c r="AR144" t="s">
        <v>73</v>
      </c>
      <c r="AS144" t="e">
        <f t="shared" si="196"/>
        <v>#VALUE!</v>
      </c>
      <c r="AT144">
        <v>378</v>
      </c>
      <c r="AU144">
        <f t="shared" si="197"/>
        <v>200.34</v>
      </c>
      <c r="AV144">
        <v>6800</v>
      </c>
      <c r="AW144">
        <f t="shared" si="198"/>
        <v>6800</v>
      </c>
      <c r="AX144">
        <v>6750</v>
      </c>
      <c r="AY144">
        <f t="shared" si="199"/>
        <v>10125</v>
      </c>
      <c r="AZ144">
        <v>300</v>
      </c>
      <c r="BA144">
        <f t="shared" si="200"/>
        <v>390</v>
      </c>
    </row>
    <row r="145" spans="1:53" x14ac:dyDescent="0.3">
      <c r="A145" t="s">
        <v>74</v>
      </c>
      <c r="B145" t="s">
        <v>351</v>
      </c>
      <c r="C145" t="s">
        <v>352</v>
      </c>
      <c r="D145" t="s">
        <v>73</v>
      </c>
      <c r="E145" t="e">
        <f t="shared" si="176"/>
        <v>#VALUE!</v>
      </c>
      <c r="F145">
        <v>743</v>
      </c>
      <c r="G145">
        <f t="shared" si="177"/>
        <v>393.79</v>
      </c>
      <c r="H145">
        <v>11520</v>
      </c>
      <c r="I145">
        <f t="shared" si="178"/>
        <v>11520</v>
      </c>
      <c r="J145">
        <v>38400</v>
      </c>
      <c r="K145">
        <f t="shared" si="179"/>
        <v>57600</v>
      </c>
      <c r="L145">
        <v>380</v>
      </c>
      <c r="M145">
        <f t="shared" si="180"/>
        <v>494</v>
      </c>
      <c r="N145" t="s">
        <v>73</v>
      </c>
      <c r="O145" t="e">
        <f t="shared" si="181"/>
        <v>#VALUE!</v>
      </c>
      <c r="P145">
        <v>743</v>
      </c>
      <c r="Q145">
        <f t="shared" si="182"/>
        <v>393.79</v>
      </c>
      <c r="R145">
        <v>11520</v>
      </c>
      <c r="S145">
        <f t="shared" si="183"/>
        <v>11520</v>
      </c>
      <c r="T145">
        <v>38400</v>
      </c>
      <c r="U145">
        <f t="shared" si="184"/>
        <v>57600</v>
      </c>
      <c r="V145">
        <v>417</v>
      </c>
      <c r="W145">
        <f t="shared" ref="W145" si="212">V145*1.3</f>
        <v>542.1</v>
      </c>
      <c r="X145" t="s">
        <v>73</v>
      </c>
      <c r="Y145" t="e">
        <f t="shared" si="186"/>
        <v>#VALUE!</v>
      </c>
      <c r="Z145">
        <v>861</v>
      </c>
      <c r="AA145">
        <f t="shared" si="187"/>
        <v>456.33000000000004</v>
      </c>
      <c r="AB145">
        <v>12160</v>
      </c>
      <c r="AC145">
        <f t="shared" si="188"/>
        <v>12160</v>
      </c>
      <c r="AD145">
        <v>30960</v>
      </c>
      <c r="AE145">
        <f t="shared" si="189"/>
        <v>46440</v>
      </c>
      <c r="AF145">
        <v>2584</v>
      </c>
      <c r="AG145">
        <f t="shared" si="190"/>
        <v>3359.2000000000003</v>
      </c>
      <c r="AH145" t="s">
        <v>73</v>
      </c>
      <c r="AI145" t="e">
        <f t="shared" si="191"/>
        <v>#VALUE!</v>
      </c>
      <c r="AJ145">
        <v>893</v>
      </c>
      <c r="AK145">
        <f t="shared" si="192"/>
        <v>473.29</v>
      </c>
      <c r="AL145">
        <v>11700</v>
      </c>
      <c r="AM145">
        <f t="shared" si="193"/>
        <v>11700</v>
      </c>
      <c r="AN145">
        <v>36444</v>
      </c>
      <c r="AO145">
        <f t="shared" si="194"/>
        <v>54666</v>
      </c>
      <c r="AP145">
        <v>2040</v>
      </c>
      <c r="AQ145">
        <f t="shared" si="195"/>
        <v>2652</v>
      </c>
      <c r="AR145" t="s">
        <v>73</v>
      </c>
      <c r="AS145" t="e">
        <f t="shared" si="196"/>
        <v>#VALUE!</v>
      </c>
      <c r="AT145">
        <v>883</v>
      </c>
      <c r="AU145">
        <f t="shared" si="197"/>
        <v>467.99</v>
      </c>
      <c r="AV145">
        <v>9533</v>
      </c>
      <c r="AW145">
        <f t="shared" si="198"/>
        <v>9533</v>
      </c>
      <c r="AX145">
        <v>30597</v>
      </c>
      <c r="AY145">
        <f t="shared" si="199"/>
        <v>45895.5</v>
      </c>
      <c r="AZ145">
        <v>1204</v>
      </c>
      <c r="BA145">
        <f t="shared" si="200"/>
        <v>1565.2</v>
      </c>
    </row>
    <row r="146" spans="1:53" x14ac:dyDescent="0.3">
      <c r="A146" t="s">
        <v>74</v>
      </c>
      <c r="B146" t="s">
        <v>353</v>
      </c>
      <c r="C146" t="s">
        <v>354</v>
      </c>
      <c r="D146">
        <v>64</v>
      </c>
      <c r="E146">
        <f t="shared" si="176"/>
        <v>76.8</v>
      </c>
      <c r="F146">
        <v>132</v>
      </c>
      <c r="G146">
        <f t="shared" si="177"/>
        <v>69.960000000000008</v>
      </c>
      <c r="H146">
        <v>6000</v>
      </c>
      <c r="I146">
        <f t="shared" si="178"/>
        <v>6000</v>
      </c>
      <c r="J146">
        <v>3300</v>
      </c>
      <c r="K146">
        <f t="shared" si="179"/>
        <v>4950</v>
      </c>
      <c r="L146">
        <v>46</v>
      </c>
      <c r="M146">
        <f t="shared" si="180"/>
        <v>59.800000000000004</v>
      </c>
      <c r="N146">
        <v>70</v>
      </c>
      <c r="O146">
        <f t="shared" si="181"/>
        <v>84</v>
      </c>
      <c r="P146">
        <v>132</v>
      </c>
      <c r="Q146">
        <f t="shared" si="182"/>
        <v>69.960000000000008</v>
      </c>
      <c r="R146">
        <v>6000</v>
      </c>
      <c r="S146">
        <f t="shared" si="183"/>
        <v>6000</v>
      </c>
      <c r="T146">
        <v>3300</v>
      </c>
      <c r="U146">
        <f t="shared" si="184"/>
        <v>4950</v>
      </c>
      <c r="V146">
        <v>46</v>
      </c>
      <c r="W146">
        <f t="shared" ref="W146" si="213">V146*1.3</f>
        <v>59.800000000000004</v>
      </c>
      <c r="X146">
        <v>74</v>
      </c>
      <c r="Y146">
        <f t="shared" si="186"/>
        <v>88.8</v>
      </c>
      <c r="Z146">
        <v>220</v>
      </c>
      <c r="AA146">
        <f t="shared" si="187"/>
        <v>116.60000000000001</v>
      </c>
      <c r="AB146">
        <v>6480</v>
      </c>
      <c r="AC146">
        <f t="shared" si="188"/>
        <v>6480</v>
      </c>
      <c r="AD146">
        <v>3960</v>
      </c>
      <c r="AE146">
        <f t="shared" si="189"/>
        <v>5940</v>
      </c>
      <c r="AF146">
        <v>646</v>
      </c>
      <c r="AG146">
        <f t="shared" si="190"/>
        <v>839.80000000000007</v>
      </c>
      <c r="AH146">
        <v>69</v>
      </c>
      <c r="AI146">
        <f t="shared" si="191"/>
        <v>82.8</v>
      </c>
      <c r="AJ146">
        <v>224</v>
      </c>
      <c r="AK146">
        <f t="shared" si="192"/>
        <v>118.72</v>
      </c>
      <c r="AL146">
        <v>6800</v>
      </c>
      <c r="AM146">
        <f t="shared" si="193"/>
        <v>6800</v>
      </c>
      <c r="AN146">
        <v>4395</v>
      </c>
      <c r="AO146">
        <f t="shared" si="194"/>
        <v>6592.5</v>
      </c>
      <c r="AP146">
        <v>320</v>
      </c>
      <c r="AQ146">
        <f t="shared" si="195"/>
        <v>416</v>
      </c>
      <c r="AR146">
        <v>68</v>
      </c>
      <c r="AS146">
        <f t="shared" si="196"/>
        <v>81.599999999999994</v>
      </c>
      <c r="AT146">
        <v>264</v>
      </c>
      <c r="AU146">
        <f t="shared" si="197"/>
        <v>139.92000000000002</v>
      </c>
      <c r="AV146">
        <v>5120</v>
      </c>
      <c r="AW146">
        <f t="shared" si="198"/>
        <v>5120</v>
      </c>
      <c r="AX146">
        <v>4125</v>
      </c>
      <c r="AY146">
        <f t="shared" si="199"/>
        <v>6187.5</v>
      </c>
      <c r="AZ146">
        <v>211</v>
      </c>
      <c r="BA146">
        <f t="shared" si="200"/>
        <v>274.3</v>
      </c>
    </row>
    <row r="147" spans="1:53" x14ac:dyDescent="0.3">
      <c r="A147" t="s">
        <v>70</v>
      </c>
      <c r="B147" t="s">
        <v>355</v>
      </c>
      <c r="C147" t="s">
        <v>356</v>
      </c>
      <c r="D147">
        <v>138959</v>
      </c>
      <c r="E147">
        <f t="shared" si="176"/>
        <v>166750.79999999999</v>
      </c>
      <c r="F147" t="s">
        <v>73</v>
      </c>
      <c r="G147" t="e">
        <f t="shared" si="177"/>
        <v>#VALUE!</v>
      </c>
      <c r="H147">
        <v>1909</v>
      </c>
      <c r="I147">
        <f t="shared" si="178"/>
        <v>1909</v>
      </c>
      <c r="J147" t="s">
        <v>73</v>
      </c>
      <c r="K147" t="e">
        <f t="shared" si="179"/>
        <v>#VALUE!</v>
      </c>
      <c r="L147" t="s">
        <v>73</v>
      </c>
      <c r="M147" t="e">
        <f t="shared" si="180"/>
        <v>#VALUE!</v>
      </c>
      <c r="N147">
        <v>135334</v>
      </c>
      <c r="O147">
        <f t="shared" si="181"/>
        <v>162400.79999999999</v>
      </c>
      <c r="P147" t="s">
        <v>73</v>
      </c>
      <c r="Q147" t="e">
        <f t="shared" si="182"/>
        <v>#VALUE!</v>
      </c>
      <c r="R147">
        <v>1374</v>
      </c>
      <c r="S147">
        <f t="shared" si="183"/>
        <v>1374</v>
      </c>
      <c r="T147" t="s">
        <v>73</v>
      </c>
      <c r="U147" t="e">
        <f t="shared" si="184"/>
        <v>#VALUE!</v>
      </c>
      <c r="V147" t="s">
        <v>73</v>
      </c>
      <c r="W147" t="e">
        <f t="shared" ref="W147" si="214">V147*1.3</f>
        <v>#VALUE!</v>
      </c>
      <c r="X147">
        <v>141482</v>
      </c>
      <c r="Y147">
        <f t="shared" si="186"/>
        <v>169778.4</v>
      </c>
      <c r="Z147" t="s">
        <v>73</v>
      </c>
      <c r="AA147" t="e">
        <f t="shared" si="187"/>
        <v>#VALUE!</v>
      </c>
      <c r="AB147">
        <v>2409</v>
      </c>
      <c r="AC147">
        <f t="shared" si="188"/>
        <v>2409</v>
      </c>
      <c r="AD147" t="s">
        <v>73</v>
      </c>
      <c r="AE147" t="e">
        <f t="shared" si="189"/>
        <v>#VALUE!</v>
      </c>
      <c r="AF147" t="s">
        <v>73</v>
      </c>
      <c r="AG147" t="e">
        <f t="shared" si="190"/>
        <v>#VALUE!</v>
      </c>
      <c r="AH147">
        <v>143326</v>
      </c>
      <c r="AI147">
        <f t="shared" si="191"/>
        <v>171991.19999999998</v>
      </c>
      <c r="AJ147" t="s">
        <v>73</v>
      </c>
      <c r="AK147" t="e">
        <f t="shared" si="192"/>
        <v>#VALUE!</v>
      </c>
      <c r="AL147">
        <v>3113</v>
      </c>
      <c r="AM147">
        <f t="shared" si="193"/>
        <v>3113</v>
      </c>
      <c r="AN147" t="s">
        <v>73</v>
      </c>
      <c r="AO147" t="e">
        <f t="shared" si="194"/>
        <v>#VALUE!</v>
      </c>
      <c r="AP147" t="s">
        <v>73</v>
      </c>
      <c r="AQ147" t="e">
        <f t="shared" si="195"/>
        <v>#VALUE!</v>
      </c>
      <c r="AR147">
        <v>146481</v>
      </c>
      <c r="AS147">
        <f t="shared" si="196"/>
        <v>175777.19999999998</v>
      </c>
      <c r="AT147" t="s">
        <v>73</v>
      </c>
      <c r="AU147" t="e">
        <f t="shared" si="197"/>
        <v>#VALUE!</v>
      </c>
      <c r="AV147">
        <v>2173</v>
      </c>
      <c r="AW147">
        <f t="shared" si="198"/>
        <v>2173</v>
      </c>
      <c r="AX147" t="s">
        <v>73</v>
      </c>
      <c r="AY147" t="e">
        <f t="shared" si="199"/>
        <v>#VALUE!</v>
      </c>
      <c r="AZ147" t="s">
        <v>73</v>
      </c>
      <c r="BA147" t="e">
        <f t="shared" si="200"/>
        <v>#VALUE!</v>
      </c>
    </row>
    <row r="148" spans="1:53" x14ac:dyDescent="0.3">
      <c r="A148" t="s">
        <v>74</v>
      </c>
      <c r="B148" t="s">
        <v>357</v>
      </c>
      <c r="C148" t="s">
        <v>358</v>
      </c>
      <c r="D148">
        <v>18833</v>
      </c>
      <c r="E148">
        <f t="shared" si="176"/>
        <v>22599.599999999999</v>
      </c>
      <c r="F148" t="s">
        <v>73</v>
      </c>
      <c r="G148" t="e">
        <f t="shared" si="177"/>
        <v>#VALUE!</v>
      </c>
      <c r="H148">
        <v>87</v>
      </c>
      <c r="I148">
        <f t="shared" si="178"/>
        <v>87</v>
      </c>
      <c r="J148" t="s">
        <v>73</v>
      </c>
      <c r="K148" t="e">
        <f t="shared" si="179"/>
        <v>#VALUE!</v>
      </c>
      <c r="L148" t="s">
        <v>73</v>
      </c>
      <c r="M148" t="e">
        <f t="shared" si="180"/>
        <v>#VALUE!</v>
      </c>
      <c r="N148">
        <v>18921</v>
      </c>
      <c r="O148">
        <f t="shared" si="181"/>
        <v>22705.200000000001</v>
      </c>
      <c r="P148" t="s">
        <v>73</v>
      </c>
      <c r="Q148" t="e">
        <f t="shared" si="182"/>
        <v>#VALUE!</v>
      </c>
      <c r="R148">
        <v>265</v>
      </c>
      <c r="S148">
        <f t="shared" si="183"/>
        <v>265</v>
      </c>
      <c r="T148" t="s">
        <v>73</v>
      </c>
      <c r="U148" t="e">
        <f t="shared" si="184"/>
        <v>#VALUE!</v>
      </c>
      <c r="V148" t="s">
        <v>73</v>
      </c>
      <c r="W148" t="e">
        <f t="shared" ref="W148" si="215">V148*1.3</f>
        <v>#VALUE!</v>
      </c>
      <c r="X148">
        <v>18713</v>
      </c>
      <c r="Y148">
        <f t="shared" si="186"/>
        <v>22455.599999999999</v>
      </c>
      <c r="Z148" t="s">
        <v>73</v>
      </c>
      <c r="AA148" t="e">
        <f t="shared" si="187"/>
        <v>#VALUE!</v>
      </c>
      <c r="AB148">
        <v>294</v>
      </c>
      <c r="AC148">
        <f t="shared" si="188"/>
        <v>294</v>
      </c>
      <c r="AD148" t="s">
        <v>73</v>
      </c>
      <c r="AE148" t="e">
        <f t="shared" si="189"/>
        <v>#VALUE!</v>
      </c>
      <c r="AF148" t="s">
        <v>73</v>
      </c>
      <c r="AG148" t="e">
        <f t="shared" si="190"/>
        <v>#VALUE!</v>
      </c>
      <c r="AH148">
        <v>19188</v>
      </c>
      <c r="AI148">
        <f t="shared" si="191"/>
        <v>23025.599999999999</v>
      </c>
      <c r="AJ148" t="s">
        <v>73</v>
      </c>
      <c r="AK148" t="e">
        <f t="shared" si="192"/>
        <v>#VALUE!</v>
      </c>
      <c r="AL148">
        <v>255</v>
      </c>
      <c r="AM148">
        <f t="shared" si="193"/>
        <v>255</v>
      </c>
      <c r="AN148" t="s">
        <v>73</v>
      </c>
      <c r="AO148" t="e">
        <f t="shared" si="194"/>
        <v>#VALUE!</v>
      </c>
      <c r="AP148" t="s">
        <v>73</v>
      </c>
      <c r="AQ148" t="e">
        <f t="shared" si="195"/>
        <v>#VALUE!</v>
      </c>
      <c r="AR148">
        <v>18486</v>
      </c>
      <c r="AS148">
        <f t="shared" si="196"/>
        <v>22183.200000000001</v>
      </c>
      <c r="AT148" t="s">
        <v>73</v>
      </c>
      <c r="AU148" t="e">
        <f t="shared" si="197"/>
        <v>#VALUE!</v>
      </c>
      <c r="AV148">
        <v>257</v>
      </c>
      <c r="AW148">
        <f t="shared" si="198"/>
        <v>257</v>
      </c>
      <c r="AX148" t="s">
        <v>73</v>
      </c>
      <c r="AY148" t="e">
        <f t="shared" si="199"/>
        <v>#VALUE!</v>
      </c>
      <c r="AZ148" t="s">
        <v>73</v>
      </c>
      <c r="BA148" t="e">
        <f t="shared" si="200"/>
        <v>#VALUE!</v>
      </c>
    </row>
    <row r="149" spans="1:53" x14ac:dyDescent="0.3">
      <c r="A149" t="s">
        <v>74</v>
      </c>
      <c r="B149" t="s">
        <v>359</v>
      </c>
      <c r="C149" t="s">
        <v>360</v>
      </c>
      <c r="D149" t="s">
        <v>73</v>
      </c>
      <c r="E149" t="e">
        <f t="shared" si="176"/>
        <v>#VALUE!</v>
      </c>
      <c r="F149" t="s">
        <v>73</v>
      </c>
      <c r="G149" t="e">
        <f t="shared" si="177"/>
        <v>#VALUE!</v>
      </c>
      <c r="H149" t="s">
        <v>73</v>
      </c>
      <c r="I149" t="str">
        <f t="shared" si="178"/>
        <v>-</v>
      </c>
      <c r="J149" t="s">
        <v>73</v>
      </c>
      <c r="K149" t="e">
        <f t="shared" si="179"/>
        <v>#VALUE!</v>
      </c>
      <c r="L149" t="s">
        <v>73</v>
      </c>
      <c r="M149" t="e">
        <f t="shared" si="180"/>
        <v>#VALUE!</v>
      </c>
      <c r="N149" t="s">
        <v>73</v>
      </c>
      <c r="O149" t="e">
        <f t="shared" si="181"/>
        <v>#VALUE!</v>
      </c>
      <c r="P149" t="s">
        <v>73</v>
      </c>
      <c r="Q149" t="e">
        <f t="shared" si="182"/>
        <v>#VALUE!</v>
      </c>
      <c r="R149" t="s">
        <v>73</v>
      </c>
      <c r="S149" t="str">
        <f t="shared" si="183"/>
        <v>-</v>
      </c>
      <c r="T149" t="s">
        <v>73</v>
      </c>
      <c r="U149" t="e">
        <f t="shared" si="184"/>
        <v>#VALUE!</v>
      </c>
      <c r="V149" t="s">
        <v>73</v>
      </c>
      <c r="W149" t="e">
        <f t="shared" ref="W149" si="216">V149*1.3</f>
        <v>#VALUE!</v>
      </c>
      <c r="X149" t="s">
        <v>73</v>
      </c>
      <c r="Y149" t="e">
        <f t="shared" si="186"/>
        <v>#VALUE!</v>
      </c>
      <c r="Z149" t="s">
        <v>73</v>
      </c>
      <c r="AA149" t="e">
        <f t="shared" si="187"/>
        <v>#VALUE!</v>
      </c>
      <c r="AB149" t="s">
        <v>73</v>
      </c>
      <c r="AC149" t="str">
        <f t="shared" si="188"/>
        <v>-</v>
      </c>
      <c r="AD149" t="s">
        <v>73</v>
      </c>
      <c r="AE149" t="e">
        <f t="shared" si="189"/>
        <v>#VALUE!</v>
      </c>
      <c r="AF149" t="s">
        <v>73</v>
      </c>
      <c r="AG149" t="e">
        <f t="shared" si="190"/>
        <v>#VALUE!</v>
      </c>
      <c r="AH149" t="s">
        <v>73</v>
      </c>
      <c r="AI149" t="e">
        <f t="shared" si="191"/>
        <v>#VALUE!</v>
      </c>
      <c r="AJ149" t="s">
        <v>73</v>
      </c>
      <c r="AK149" t="e">
        <f t="shared" si="192"/>
        <v>#VALUE!</v>
      </c>
      <c r="AL149" t="s">
        <v>73</v>
      </c>
      <c r="AM149" t="str">
        <f t="shared" si="193"/>
        <v>-</v>
      </c>
      <c r="AN149" t="s">
        <v>73</v>
      </c>
      <c r="AO149" t="e">
        <f t="shared" si="194"/>
        <v>#VALUE!</v>
      </c>
      <c r="AP149" t="s">
        <v>73</v>
      </c>
      <c r="AQ149" t="e">
        <f t="shared" si="195"/>
        <v>#VALUE!</v>
      </c>
      <c r="AR149" t="s">
        <v>73</v>
      </c>
      <c r="AS149" t="e">
        <f t="shared" si="196"/>
        <v>#VALUE!</v>
      </c>
      <c r="AT149" t="s">
        <v>73</v>
      </c>
      <c r="AU149" t="e">
        <f t="shared" si="197"/>
        <v>#VALUE!</v>
      </c>
      <c r="AV149" t="s">
        <v>73</v>
      </c>
      <c r="AW149" t="str">
        <f t="shared" si="198"/>
        <v>-</v>
      </c>
      <c r="AX149" t="s">
        <v>73</v>
      </c>
      <c r="AY149" t="e">
        <f t="shared" si="199"/>
        <v>#VALUE!</v>
      </c>
      <c r="AZ149" t="s">
        <v>73</v>
      </c>
      <c r="BA149" t="e">
        <f t="shared" si="200"/>
        <v>#VALUE!</v>
      </c>
    </row>
    <row r="150" spans="1:53" x14ac:dyDescent="0.3">
      <c r="A150" t="s">
        <v>74</v>
      </c>
      <c r="B150" t="s">
        <v>361</v>
      </c>
      <c r="C150" t="s">
        <v>362</v>
      </c>
      <c r="D150">
        <v>328</v>
      </c>
      <c r="E150">
        <f t="shared" si="176"/>
        <v>393.59999999999997</v>
      </c>
      <c r="F150" t="s">
        <v>73</v>
      </c>
      <c r="G150" t="e">
        <f t="shared" si="177"/>
        <v>#VALUE!</v>
      </c>
      <c r="H150">
        <v>60</v>
      </c>
      <c r="I150">
        <f t="shared" si="178"/>
        <v>60</v>
      </c>
      <c r="J150" t="s">
        <v>73</v>
      </c>
      <c r="K150" t="e">
        <f t="shared" si="179"/>
        <v>#VALUE!</v>
      </c>
      <c r="L150" t="s">
        <v>73</v>
      </c>
      <c r="M150" t="e">
        <f t="shared" si="180"/>
        <v>#VALUE!</v>
      </c>
      <c r="N150">
        <v>326</v>
      </c>
      <c r="O150">
        <f t="shared" si="181"/>
        <v>391.2</v>
      </c>
      <c r="P150" t="s">
        <v>73</v>
      </c>
      <c r="Q150" t="e">
        <f t="shared" si="182"/>
        <v>#VALUE!</v>
      </c>
      <c r="R150">
        <v>35</v>
      </c>
      <c r="S150">
        <f t="shared" si="183"/>
        <v>35</v>
      </c>
      <c r="T150" t="s">
        <v>73</v>
      </c>
      <c r="U150" t="e">
        <f t="shared" si="184"/>
        <v>#VALUE!</v>
      </c>
      <c r="V150" t="s">
        <v>73</v>
      </c>
      <c r="W150" t="e">
        <f t="shared" ref="W150" si="217">V150*1.3</f>
        <v>#VALUE!</v>
      </c>
      <c r="X150">
        <v>499</v>
      </c>
      <c r="Y150">
        <f t="shared" si="186"/>
        <v>598.79999999999995</v>
      </c>
      <c r="Z150" t="s">
        <v>73</v>
      </c>
      <c r="AA150" t="e">
        <f t="shared" si="187"/>
        <v>#VALUE!</v>
      </c>
      <c r="AB150" t="s">
        <v>73</v>
      </c>
      <c r="AC150" t="str">
        <f t="shared" si="188"/>
        <v>-</v>
      </c>
      <c r="AD150" t="s">
        <v>73</v>
      </c>
      <c r="AE150" t="e">
        <f t="shared" si="189"/>
        <v>#VALUE!</v>
      </c>
      <c r="AF150" t="s">
        <v>73</v>
      </c>
      <c r="AG150" t="e">
        <f t="shared" si="190"/>
        <v>#VALUE!</v>
      </c>
      <c r="AH150">
        <v>484</v>
      </c>
      <c r="AI150">
        <f t="shared" si="191"/>
        <v>580.79999999999995</v>
      </c>
      <c r="AJ150" t="s">
        <v>73</v>
      </c>
      <c r="AK150" t="e">
        <f t="shared" si="192"/>
        <v>#VALUE!</v>
      </c>
      <c r="AL150">
        <v>112</v>
      </c>
      <c r="AM150">
        <f t="shared" si="193"/>
        <v>112</v>
      </c>
      <c r="AN150" t="s">
        <v>73</v>
      </c>
      <c r="AO150" t="e">
        <f t="shared" si="194"/>
        <v>#VALUE!</v>
      </c>
      <c r="AP150" t="s">
        <v>73</v>
      </c>
      <c r="AQ150" t="e">
        <f t="shared" si="195"/>
        <v>#VALUE!</v>
      </c>
      <c r="AR150">
        <v>421</v>
      </c>
      <c r="AS150">
        <f t="shared" si="196"/>
        <v>505.2</v>
      </c>
      <c r="AT150" t="s">
        <v>73</v>
      </c>
      <c r="AU150" t="e">
        <f t="shared" si="197"/>
        <v>#VALUE!</v>
      </c>
      <c r="AV150">
        <v>112</v>
      </c>
      <c r="AW150">
        <f t="shared" si="198"/>
        <v>112</v>
      </c>
      <c r="AX150" t="s">
        <v>73</v>
      </c>
      <c r="AY150" t="e">
        <f t="shared" si="199"/>
        <v>#VALUE!</v>
      </c>
      <c r="AZ150" t="s">
        <v>73</v>
      </c>
      <c r="BA150" t="e">
        <f t="shared" si="200"/>
        <v>#VALUE!</v>
      </c>
    </row>
    <row r="151" spans="1:53" x14ac:dyDescent="0.3">
      <c r="A151" t="s">
        <v>74</v>
      </c>
      <c r="B151" t="s">
        <v>363</v>
      </c>
      <c r="C151" t="s">
        <v>364</v>
      </c>
      <c r="D151">
        <v>7826</v>
      </c>
      <c r="E151">
        <f t="shared" si="176"/>
        <v>9391.1999999999989</v>
      </c>
      <c r="F151" t="s">
        <v>73</v>
      </c>
      <c r="G151" t="e">
        <f t="shared" si="177"/>
        <v>#VALUE!</v>
      </c>
      <c r="H151" t="s">
        <v>73</v>
      </c>
      <c r="I151" t="str">
        <f t="shared" si="178"/>
        <v>-</v>
      </c>
      <c r="J151" t="s">
        <v>73</v>
      </c>
      <c r="K151" t="e">
        <f t="shared" si="179"/>
        <v>#VALUE!</v>
      </c>
      <c r="L151" t="s">
        <v>73</v>
      </c>
      <c r="M151" t="e">
        <f t="shared" si="180"/>
        <v>#VALUE!</v>
      </c>
      <c r="N151">
        <v>7867</v>
      </c>
      <c r="O151">
        <f t="shared" si="181"/>
        <v>9440.4</v>
      </c>
      <c r="P151" t="s">
        <v>73</v>
      </c>
      <c r="Q151" t="e">
        <f t="shared" si="182"/>
        <v>#VALUE!</v>
      </c>
      <c r="R151" t="s">
        <v>73</v>
      </c>
      <c r="S151" t="str">
        <f t="shared" si="183"/>
        <v>-</v>
      </c>
      <c r="T151" t="s">
        <v>73</v>
      </c>
      <c r="U151" t="e">
        <f t="shared" si="184"/>
        <v>#VALUE!</v>
      </c>
      <c r="V151" t="s">
        <v>73</v>
      </c>
      <c r="W151" t="e">
        <f t="shared" ref="W151" si="218">V151*1.3</f>
        <v>#VALUE!</v>
      </c>
      <c r="X151">
        <v>7634</v>
      </c>
      <c r="Y151">
        <f t="shared" si="186"/>
        <v>9160.7999999999993</v>
      </c>
      <c r="Z151" t="s">
        <v>73</v>
      </c>
      <c r="AA151" t="e">
        <f t="shared" si="187"/>
        <v>#VALUE!</v>
      </c>
      <c r="AB151" t="s">
        <v>73</v>
      </c>
      <c r="AC151" t="str">
        <f t="shared" si="188"/>
        <v>-</v>
      </c>
      <c r="AD151" t="s">
        <v>73</v>
      </c>
      <c r="AE151" t="e">
        <f t="shared" si="189"/>
        <v>#VALUE!</v>
      </c>
      <c r="AF151" t="s">
        <v>73</v>
      </c>
      <c r="AG151" t="e">
        <f t="shared" si="190"/>
        <v>#VALUE!</v>
      </c>
      <c r="AH151">
        <v>7440</v>
      </c>
      <c r="AI151">
        <f t="shared" si="191"/>
        <v>8928</v>
      </c>
      <c r="AJ151" t="s">
        <v>73</v>
      </c>
      <c r="AK151" t="e">
        <f t="shared" si="192"/>
        <v>#VALUE!</v>
      </c>
      <c r="AL151" t="s">
        <v>73</v>
      </c>
      <c r="AM151" t="str">
        <f t="shared" si="193"/>
        <v>-</v>
      </c>
      <c r="AN151" t="s">
        <v>73</v>
      </c>
      <c r="AO151" t="e">
        <f t="shared" si="194"/>
        <v>#VALUE!</v>
      </c>
      <c r="AP151" t="s">
        <v>73</v>
      </c>
      <c r="AQ151" t="e">
        <f t="shared" si="195"/>
        <v>#VALUE!</v>
      </c>
      <c r="AR151">
        <v>7500</v>
      </c>
      <c r="AS151">
        <f t="shared" si="196"/>
        <v>9000</v>
      </c>
      <c r="AT151" t="s">
        <v>73</v>
      </c>
      <c r="AU151" t="e">
        <f t="shared" si="197"/>
        <v>#VALUE!</v>
      </c>
      <c r="AV151" t="s">
        <v>73</v>
      </c>
      <c r="AW151" t="str">
        <f t="shared" si="198"/>
        <v>-</v>
      </c>
      <c r="AX151" t="s">
        <v>73</v>
      </c>
      <c r="AY151" t="e">
        <f t="shared" si="199"/>
        <v>#VALUE!</v>
      </c>
      <c r="AZ151" t="s">
        <v>73</v>
      </c>
      <c r="BA151" t="e">
        <f t="shared" si="200"/>
        <v>#VALUE!</v>
      </c>
    </row>
    <row r="152" spans="1:53" x14ac:dyDescent="0.3">
      <c r="A152" t="s">
        <v>74</v>
      </c>
      <c r="B152" t="s">
        <v>365</v>
      </c>
      <c r="C152" t="s">
        <v>366</v>
      </c>
      <c r="D152">
        <v>30791</v>
      </c>
      <c r="E152">
        <f t="shared" si="176"/>
        <v>36949.199999999997</v>
      </c>
      <c r="F152" t="s">
        <v>73</v>
      </c>
      <c r="G152" t="e">
        <f t="shared" si="177"/>
        <v>#VALUE!</v>
      </c>
      <c r="H152">
        <v>72</v>
      </c>
      <c r="I152">
        <f t="shared" si="178"/>
        <v>72</v>
      </c>
      <c r="J152" t="s">
        <v>73</v>
      </c>
      <c r="K152" t="e">
        <f t="shared" si="179"/>
        <v>#VALUE!</v>
      </c>
      <c r="L152" t="s">
        <v>73</v>
      </c>
      <c r="M152" t="e">
        <f t="shared" si="180"/>
        <v>#VALUE!</v>
      </c>
      <c r="N152">
        <v>29213</v>
      </c>
      <c r="O152">
        <f t="shared" si="181"/>
        <v>35055.599999999999</v>
      </c>
      <c r="P152" t="s">
        <v>73</v>
      </c>
      <c r="Q152" t="e">
        <f t="shared" si="182"/>
        <v>#VALUE!</v>
      </c>
      <c r="R152">
        <v>54</v>
      </c>
      <c r="S152">
        <f t="shared" si="183"/>
        <v>54</v>
      </c>
      <c r="T152" t="s">
        <v>73</v>
      </c>
      <c r="U152" t="e">
        <f t="shared" si="184"/>
        <v>#VALUE!</v>
      </c>
      <c r="V152" t="s">
        <v>73</v>
      </c>
      <c r="W152" t="e">
        <f t="shared" ref="W152" si="219">V152*1.3</f>
        <v>#VALUE!</v>
      </c>
      <c r="X152">
        <v>31961</v>
      </c>
      <c r="Y152">
        <f t="shared" si="186"/>
        <v>38353.199999999997</v>
      </c>
      <c r="Z152" t="s">
        <v>73</v>
      </c>
      <c r="AA152" t="e">
        <f t="shared" si="187"/>
        <v>#VALUE!</v>
      </c>
      <c r="AB152">
        <v>825</v>
      </c>
      <c r="AC152">
        <f t="shared" si="188"/>
        <v>825</v>
      </c>
      <c r="AD152" t="s">
        <v>73</v>
      </c>
      <c r="AE152" t="e">
        <f t="shared" si="189"/>
        <v>#VALUE!</v>
      </c>
      <c r="AF152" t="s">
        <v>73</v>
      </c>
      <c r="AG152" t="e">
        <f t="shared" si="190"/>
        <v>#VALUE!</v>
      </c>
      <c r="AH152">
        <v>35527</v>
      </c>
      <c r="AI152">
        <f t="shared" si="191"/>
        <v>42632.4</v>
      </c>
      <c r="AJ152" t="s">
        <v>73</v>
      </c>
      <c r="AK152" t="e">
        <f t="shared" si="192"/>
        <v>#VALUE!</v>
      </c>
      <c r="AL152">
        <v>825</v>
      </c>
      <c r="AM152">
        <f t="shared" si="193"/>
        <v>825</v>
      </c>
      <c r="AN152" t="s">
        <v>73</v>
      </c>
      <c r="AO152" t="e">
        <f t="shared" si="194"/>
        <v>#VALUE!</v>
      </c>
      <c r="AP152" t="s">
        <v>73</v>
      </c>
      <c r="AQ152" t="e">
        <f t="shared" si="195"/>
        <v>#VALUE!</v>
      </c>
      <c r="AR152">
        <v>37600</v>
      </c>
      <c r="AS152">
        <f t="shared" si="196"/>
        <v>45120</v>
      </c>
      <c r="AT152" t="s">
        <v>73</v>
      </c>
      <c r="AU152" t="e">
        <f t="shared" si="197"/>
        <v>#VALUE!</v>
      </c>
      <c r="AV152">
        <v>400</v>
      </c>
      <c r="AW152">
        <f t="shared" si="198"/>
        <v>400</v>
      </c>
      <c r="AX152" t="s">
        <v>73</v>
      </c>
      <c r="AY152" t="e">
        <f t="shared" si="199"/>
        <v>#VALUE!</v>
      </c>
      <c r="AZ152" t="s">
        <v>73</v>
      </c>
      <c r="BA152" t="e">
        <f t="shared" si="200"/>
        <v>#VALUE!</v>
      </c>
    </row>
    <row r="153" spans="1:53" x14ac:dyDescent="0.3">
      <c r="A153" t="s">
        <v>74</v>
      </c>
      <c r="B153" t="s">
        <v>367</v>
      </c>
      <c r="C153" t="s">
        <v>368</v>
      </c>
      <c r="D153">
        <v>960</v>
      </c>
      <c r="E153">
        <f t="shared" si="176"/>
        <v>1152</v>
      </c>
      <c r="F153" t="s">
        <v>73</v>
      </c>
      <c r="G153" t="e">
        <f t="shared" si="177"/>
        <v>#VALUE!</v>
      </c>
      <c r="H153" t="s">
        <v>73</v>
      </c>
      <c r="I153" t="str">
        <f t="shared" si="178"/>
        <v>-</v>
      </c>
      <c r="J153" t="s">
        <v>73</v>
      </c>
      <c r="K153" t="e">
        <f t="shared" si="179"/>
        <v>#VALUE!</v>
      </c>
      <c r="L153" t="s">
        <v>73</v>
      </c>
      <c r="M153" t="e">
        <f t="shared" si="180"/>
        <v>#VALUE!</v>
      </c>
      <c r="N153">
        <v>960</v>
      </c>
      <c r="O153">
        <f t="shared" si="181"/>
        <v>1152</v>
      </c>
      <c r="P153" t="s">
        <v>73</v>
      </c>
      <c r="Q153" t="e">
        <f t="shared" si="182"/>
        <v>#VALUE!</v>
      </c>
      <c r="R153" t="s">
        <v>73</v>
      </c>
      <c r="S153" t="str">
        <f t="shared" si="183"/>
        <v>-</v>
      </c>
      <c r="T153" t="s">
        <v>73</v>
      </c>
      <c r="U153" t="e">
        <f t="shared" si="184"/>
        <v>#VALUE!</v>
      </c>
      <c r="V153" t="s">
        <v>73</v>
      </c>
      <c r="W153" t="e">
        <f t="shared" ref="W153" si="220">V153*1.3</f>
        <v>#VALUE!</v>
      </c>
      <c r="X153">
        <v>817</v>
      </c>
      <c r="Y153">
        <f t="shared" si="186"/>
        <v>980.4</v>
      </c>
      <c r="Z153" t="s">
        <v>73</v>
      </c>
      <c r="AA153" t="e">
        <f t="shared" si="187"/>
        <v>#VALUE!</v>
      </c>
      <c r="AB153" t="s">
        <v>73</v>
      </c>
      <c r="AC153" t="str">
        <f t="shared" si="188"/>
        <v>-</v>
      </c>
      <c r="AD153" t="s">
        <v>73</v>
      </c>
      <c r="AE153" t="e">
        <f t="shared" si="189"/>
        <v>#VALUE!</v>
      </c>
      <c r="AF153" t="s">
        <v>73</v>
      </c>
      <c r="AG153" t="e">
        <f t="shared" si="190"/>
        <v>#VALUE!</v>
      </c>
      <c r="AH153">
        <v>935</v>
      </c>
      <c r="AI153">
        <f t="shared" si="191"/>
        <v>1122</v>
      </c>
      <c r="AJ153" t="s">
        <v>73</v>
      </c>
      <c r="AK153" t="e">
        <f t="shared" si="192"/>
        <v>#VALUE!</v>
      </c>
      <c r="AL153" t="s">
        <v>73</v>
      </c>
      <c r="AM153" t="str">
        <f t="shared" si="193"/>
        <v>-</v>
      </c>
      <c r="AN153" t="s">
        <v>73</v>
      </c>
      <c r="AO153" t="e">
        <f t="shared" si="194"/>
        <v>#VALUE!</v>
      </c>
      <c r="AP153" t="s">
        <v>73</v>
      </c>
      <c r="AQ153" t="e">
        <f t="shared" si="195"/>
        <v>#VALUE!</v>
      </c>
      <c r="AR153">
        <v>946</v>
      </c>
      <c r="AS153">
        <f t="shared" si="196"/>
        <v>1135.2</v>
      </c>
      <c r="AT153" t="s">
        <v>73</v>
      </c>
      <c r="AU153" t="e">
        <f t="shared" si="197"/>
        <v>#VALUE!</v>
      </c>
      <c r="AV153" t="s">
        <v>73</v>
      </c>
      <c r="AW153" t="str">
        <f t="shared" si="198"/>
        <v>-</v>
      </c>
      <c r="AX153" t="s">
        <v>73</v>
      </c>
      <c r="AY153" t="e">
        <f t="shared" si="199"/>
        <v>#VALUE!</v>
      </c>
      <c r="AZ153" t="s">
        <v>73</v>
      </c>
      <c r="BA153" t="e">
        <f t="shared" si="200"/>
        <v>#VALUE!</v>
      </c>
    </row>
    <row r="154" spans="1:53" x14ac:dyDescent="0.3">
      <c r="A154" t="s">
        <v>74</v>
      </c>
      <c r="B154" t="s">
        <v>369</v>
      </c>
      <c r="C154" t="s">
        <v>370</v>
      </c>
      <c r="D154">
        <v>7055</v>
      </c>
      <c r="E154">
        <f t="shared" si="176"/>
        <v>8466</v>
      </c>
      <c r="F154" t="s">
        <v>73</v>
      </c>
      <c r="G154" t="e">
        <f t="shared" si="177"/>
        <v>#VALUE!</v>
      </c>
      <c r="H154">
        <v>1200</v>
      </c>
      <c r="I154">
        <f t="shared" si="178"/>
        <v>1200</v>
      </c>
      <c r="J154" t="s">
        <v>73</v>
      </c>
      <c r="K154" t="e">
        <f t="shared" si="179"/>
        <v>#VALUE!</v>
      </c>
      <c r="L154" t="s">
        <v>73</v>
      </c>
      <c r="M154" t="e">
        <f t="shared" si="180"/>
        <v>#VALUE!</v>
      </c>
      <c r="N154">
        <v>7055</v>
      </c>
      <c r="O154">
        <f t="shared" si="181"/>
        <v>8466</v>
      </c>
      <c r="P154" t="s">
        <v>73</v>
      </c>
      <c r="Q154" t="e">
        <f t="shared" si="182"/>
        <v>#VALUE!</v>
      </c>
      <c r="R154">
        <v>640</v>
      </c>
      <c r="S154">
        <f t="shared" si="183"/>
        <v>640</v>
      </c>
      <c r="T154" t="s">
        <v>73</v>
      </c>
      <c r="U154" t="e">
        <f t="shared" si="184"/>
        <v>#VALUE!</v>
      </c>
      <c r="V154" t="s">
        <v>73</v>
      </c>
      <c r="W154" t="e">
        <f t="shared" ref="W154" si="221">V154*1.3</f>
        <v>#VALUE!</v>
      </c>
      <c r="X154">
        <v>6385</v>
      </c>
      <c r="Y154">
        <f t="shared" si="186"/>
        <v>7662</v>
      </c>
      <c r="Z154" t="s">
        <v>73</v>
      </c>
      <c r="AA154" t="e">
        <f t="shared" si="187"/>
        <v>#VALUE!</v>
      </c>
      <c r="AB154">
        <v>918</v>
      </c>
      <c r="AC154">
        <f t="shared" si="188"/>
        <v>918</v>
      </c>
      <c r="AD154" t="s">
        <v>73</v>
      </c>
      <c r="AE154" t="e">
        <f t="shared" si="189"/>
        <v>#VALUE!</v>
      </c>
      <c r="AF154" t="s">
        <v>73</v>
      </c>
      <c r="AG154" t="e">
        <f t="shared" si="190"/>
        <v>#VALUE!</v>
      </c>
      <c r="AH154">
        <v>6400</v>
      </c>
      <c r="AI154">
        <f t="shared" si="191"/>
        <v>7680</v>
      </c>
      <c r="AJ154" t="s">
        <v>73</v>
      </c>
      <c r="AK154" t="e">
        <f t="shared" si="192"/>
        <v>#VALUE!</v>
      </c>
      <c r="AL154">
        <v>1053</v>
      </c>
      <c r="AM154">
        <f t="shared" si="193"/>
        <v>1053</v>
      </c>
      <c r="AN154" t="s">
        <v>73</v>
      </c>
      <c r="AO154" t="e">
        <f t="shared" si="194"/>
        <v>#VALUE!</v>
      </c>
      <c r="AP154" t="s">
        <v>73</v>
      </c>
      <c r="AQ154" t="e">
        <f t="shared" si="195"/>
        <v>#VALUE!</v>
      </c>
      <c r="AR154">
        <v>6400</v>
      </c>
      <c r="AS154">
        <f t="shared" si="196"/>
        <v>7680</v>
      </c>
      <c r="AT154" t="s">
        <v>73</v>
      </c>
      <c r="AU154" t="e">
        <f t="shared" si="197"/>
        <v>#VALUE!</v>
      </c>
      <c r="AV154">
        <v>711</v>
      </c>
      <c r="AW154">
        <f t="shared" si="198"/>
        <v>711</v>
      </c>
      <c r="AX154" t="s">
        <v>73</v>
      </c>
      <c r="AY154" t="e">
        <f t="shared" si="199"/>
        <v>#VALUE!</v>
      </c>
      <c r="AZ154" t="s">
        <v>73</v>
      </c>
      <c r="BA154" t="e">
        <f t="shared" si="200"/>
        <v>#VALUE!</v>
      </c>
    </row>
    <row r="155" spans="1:53" x14ac:dyDescent="0.3">
      <c r="A155" t="s">
        <v>74</v>
      </c>
      <c r="B155" t="s">
        <v>371</v>
      </c>
      <c r="C155" t="s">
        <v>372</v>
      </c>
      <c r="D155">
        <v>24314</v>
      </c>
      <c r="E155">
        <f t="shared" si="176"/>
        <v>29176.799999999999</v>
      </c>
      <c r="F155" t="s">
        <v>73</v>
      </c>
      <c r="G155" t="e">
        <f t="shared" si="177"/>
        <v>#VALUE!</v>
      </c>
      <c r="H155" t="s">
        <v>73</v>
      </c>
      <c r="I155" t="str">
        <f t="shared" si="178"/>
        <v>-</v>
      </c>
      <c r="J155" t="s">
        <v>73</v>
      </c>
      <c r="K155" t="e">
        <f t="shared" si="179"/>
        <v>#VALUE!</v>
      </c>
      <c r="L155" t="s">
        <v>73</v>
      </c>
      <c r="M155" t="e">
        <f t="shared" si="180"/>
        <v>#VALUE!</v>
      </c>
      <c r="N155">
        <v>22190</v>
      </c>
      <c r="O155">
        <f t="shared" si="181"/>
        <v>26628</v>
      </c>
      <c r="P155" t="s">
        <v>73</v>
      </c>
      <c r="Q155" t="e">
        <f t="shared" si="182"/>
        <v>#VALUE!</v>
      </c>
      <c r="R155" t="s">
        <v>73</v>
      </c>
      <c r="S155" t="str">
        <f t="shared" si="183"/>
        <v>-</v>
      </c>
      <c r="T155" t="s">
        <v>73</v>
      </c>
      <c r="U155" t="e">
        <f t="shared" si="184"/>
        <v>#VALUE!</v>
      </c>
      <c r="V155" t="s">
        <v>73</v>
      </c>
      <c r="W155" t="e">
        <f t="shared" ref="W155" si="222">V155*1.3</f>
        <v>#VALUE!</v>
      </c>
      <c r="X155">
        <v>21951</v>
      </c>
      <c r="Y155">
        <f t="shared" si="186"/>
        <v>26341.200000000001</v>
      </c>
      <c r="Z155" t="s">
        <v>73</v>
      </c>
      <c r="AA155" t="e">
        <f t="shared" si="187"/>
        <v>#VALUE!</v>
      </c>
      <c r="AB155" t="s">
        <v>73</v>
      </c>
      <c r="AC155" t="str">
        <f t="shared" si="188"/>
        <v>-</v>
      </c>
      <c r="AD155" t="s">
        <v>73</v>
      </c>
      <c r="AE155" t="e">
        <f t="shared" si="189"/>
        <v>#VALUE!</v>
      </c>
      <c r="AF155" t="s">
        <v>73</v>
      </c>
      <c r="AG155" t="e">
        <f t="shared" si="190"/>
        <v>#VALUE!</v>
      </c>
      <c r="AH155">
        <v>20605</v>
      </c>
      <c r="AI155">
        <f t="shared" si="191"/>
        <v>24726</v>
      </c>
      <c r="AJ155" t="s">
        <v>73</v>
      </c>
      <c r="AK155" t="e">
        <f t="shared" si="192"/>
        <v>#VALUE!</v>
      </c>
      <c r="AL155" t="s">
        <v>73</v>
      </c>
      <c r="AM155" t="str">
        <f t="shared" si="193"/>
        <v>-</v>
      </c>
      <c r="AN155" t="s">
        <v>73</v>
      </c>
      <c r="AO155" t="e">
        <f t="shared" si="194"/>
        <v>#VALUE!</v>
      </c>
      <c r="AP155" t="s">
        <v>73</v>
      </c>
      <c r="AQ155" t="e">
        <f t="shared" si="195"/>
        <v>#VALUE!</v>
      </c>
      <c r="AR155">
        <v>24728</v>
      </c>
      <c r="AS155">
        <f t="shared" si="196"/>
        <v>29673.599999999999</v>
      </c>
      <c r="AT155" t="s">
        <v>73</v>
      </c>
      <c r="AU155" t="e">
        <f t="shared" si="197"/>
        <v>#VALUE!</v>
      </c>
      <c r="AV155" t="s">
        <v>73</v>
      </c>
      <c r="AW155" t="str">
        <f t="shared" si="198"/>
        <v>-</v>
      </c>
      <c r="AX155" t="s">
        <v>73</v>
      </c>
      <c r="AY155" t="e">
        <f t="shared" si="199"/>
        <v>#VALUE!</v>
      </c>
      <c r="AZ155" t="s">
        <v>73</v>
      </c>
      <c r="BA155" t="e">
        <f t="shared" si="200"/>
        <v>#VALUE!</v>
      </c>
    </row>
    <row r="156" spans="1:53" x14ac:dyDescent="0.3">
      <c r="A156" t="s">
        <v>74</v>
      </c>
      <c r="B156" t="s">
        <v>373</v>
      </c>
      <c r="C156" t="s">
        <v>374</v>
      </c>
      <c r="D156">
        <v>47016</v>
      </c>
      <c r="E156">
        <f t="shared" si="176"/>
        <v>56419.199999999997</v>
      </c>
      <c r="F156" t="s">
        <v>73</v>
      </c>
      <c r="G156" t="e">
        <f t="shared" si="177"/>
        <v>#VALUE!</v>
      </c>
      <c r="H156">
        <v>250</v>
      </c>
      <c r="I156">
        <f t="shared" si="178"/>
        <v>250</v>
      </c>
      <c r="J156" t="s">
        <v>73</v>
      </c>
      <c r="K156" t="e">
        <f t="shared" si="179"/>
        <v>#VALUE!</v>
      </c>
      <c r="L156" t="s">
        <v>73</v>
      </c>
      <c r="M156" t="e">
        <f t="shared" si="180"/>
        <v>#VALUE!</v>
      </c>
      <c r="N156">
        <v>47016</v>
      </c>
      <c r="O156">
        <f t="shared" si="181"/>
        <v>56419.199999999997</v>
      </c>
      <c r="P156" t="s">
        <v>73</v>
      </c>
      <c r="Q156" t="e">
        <f t="shared" si="182"/>
        <v>#VALUE!</v>
      </c>
      <c r="R156">
        <v>180</v>
      </c>
      <c r="S156">
        <f t="shared" si="183"/>
        <v>180</v>
      </c>
      <c r="T156" t="s">
        <v>73</v>
      </c>
      <c r="U156" t="e">
        <f t="shared" si="184"/>
        <v>#VALUE!</v>
      </c>
      <c r="V156" t="s">
        <v>73</v>
      </c>
      <c r="W156" t="e">
        <f t="shared" ref="W156" si="223">V156*1.3</f>
        <v>#VALUE!</v>
      </c>
      <c r="X156">
        <v>51388</v>
      </c>
      <c r="Y156">
        <f t="shared" si="186"/>
        <v>61665.599999999999</v>
      </c>
      <c r="Z156" t="s">
        <v>73</v>
      </c>
      <c r="AA156" t="e">
        <f t="shared" si="187"/>
        <v>#VALUE!</v>
      </c>
      <c r="AB156" t="s">
        <v>73</v>
      </c>
      <c r="AC156" t="str">
        <f t="shared" si="188"/>
        <v>-</v>
      </c>
      <c r="AD156" t="s">
        <v>73</v>
      </c>
      <c r="AE156" t="e">
        <f t="shared" si="189"/>
        <v>#VALUE!</v>
      </c>
      <c r="AF156" t="s">
        <v>73</v>
      </c>
      <c r="AG156" t="e">
        <f t="shared" si="190"/>
        <v>#VALUE!</v>
      </c>
      <c r="AH156">
        <v>50673</v>
      </c>
      <c r="AI156">
        <f t="shared" si="191"/>
        <v>60807.6</v>
      </c>
      <c r="AJ156" t="s">
        <v>73</v>
      </c>
      <c r="AK156" t="e">
        <f t="shared" si="192"/>
        <v>#VALUE!</v>
      </c>
      <c r="AL156">
        <v>175</v>
      </c>
      <c r="AM156">
        <f t="shared" si="193"/>
        <v>175</v>
      </c>
      <c r="AN156" t="s">
        <v>73</v>
      </c>
      <c r="AO156" t="e">
        <f t="shared" si="194"/>
        <v>#VALUE!</v>
      </c>
      <c r="AP156" t="s">
        <v>73</v>
      </c>
      <c r="AQ156" t="e">
        <f t="shared" si="195"/>
        <v>#VALUE!</v>
      </c>
      <c r="AR156">
        <v>48233</v>
      </c>
      <c r="AS156">
        <f t="shared" si="196"/>
        <v>57879.6</v>
      </c>
      <c r="AT156" t="s">
        <v>73</v>
      </c>
      <c r="AU156" t="e">
        <f t="shared" si="197"/>
        <v>#VALUE!</v>
      </c>
      <c r="AV156">
        <v>175</v>
      </c>
      <c r="AW156">
        <f t="shared" si="198"/>
        <v>175</v>
      </c>
      <c r="AX156" t="s">
        <v>73</v>
      </c>
      <c r="AY156" t="e">
        <f t="shared" si="199"/>
        <v>#VALUE!</v>
      </c>
      <c r="AZ156" t="s">
        <v>73</v>
      </c>
      <c r="BA156" t="e">
        <f t="shared" si="200"/>
        <v>#VALUE!</v>
      </c>
    </row>
    <row r="157" spans="1:53" x14ac:dyDescent="0.3">
      <c r="A157" t="s">
        <v>74</v>
      </c>
      <c r="B157" t="s">
        <v>375</v>
      </c>
      <c r="C157" t="s">
        <v>376</v>
      </c>
      <c r="D157">
        <v>156</v>
      </c>
      <c r="E157">
        <f t="shared" si="176"/>
        <v>187.2</v>
      </c>
      <c r="F157" t="s">
        <v>73</v>
      </c>
      <c r="G157" t="e">
        <f t="shared" si="177"/>
        <v>#VALUE!</v>
      </c>
      <c r="H157" t="s">
        <v>73</v>
      </c>
      <c r="I157" t="str">
        <f t="shared" si="178"/>
        <v>-</v>
      </c>
      <c r="J157" t="s">
        <v>73</v>
      </c>
      <c r="K157" t="e">
        <f t="shared" si="179"/>
        <v>#VALUE!</v>
      </c>
      <c r="L157" t="s">
        <v>73</v>
      </c>
      <c r="M157" t="e">
        <f t="shared" si="180"/>
        <v>#VALUE!</v>
      </c>
      <c r="N157">
        <v>106</v>
      </c>
      <c r="O157">
        <f t="shared" si="181"/>
        <v>127.19999999999999</v>
      </c>
      <c r="P157" t="s">
        <v>73</v>
      </c>
      <c r="Q157" t="e">
        <f t="shared" si="182"/>
        <v>#VALUE!</v>
      </c>
      <c r="R157" t="s">
        <v>73</v>
      </c>
      <c r="S157" t="str">
        <f t="shared" si="183"/>
        <v>-</v>
      </c>
      <c r="T157" t="s">
        <v>73</v>
      </c>
      <c r="U157" t="e">
        <f t="shared" si="184"/>
        <v>#VALUE!</v>
      </c>
      <c r="V157" t="s">
        <v>73</v>
      </c>
      <c r="W157" t="e">
        <f t="shared" ref="W157" si="224">V157*1.3</f>
        <v>#VALUE!</v>
      </c>
      <c r="X157">
        <v>140</v>
      </c>
      <c r="Y157">
        <f t="shared" si="186"/>
        <v>168</v>
      </c>
      <c r="Z157" t="s">
        <v>73</v>
      </c>
      <c r="AA157" t="e">
        <f t="shared" si="187"/>
        <v>#VALUE!</v>
      </c>
      <c r="AB157" t="s">
        <v>73</v>
      </c>
      <c r="AC157" t="str">
        <f t="shared" si="188"/>
        <v>-</v>
      </c>
      <c r="AD157" t="s">
        <v>73</v>
      </c>
      <c r="AE157" t="e">
        <f t="shared" si="189"/>
        <v>#VALUE!</v>
      </c>
      <c r="AF157" t="s">
        <v>73</v>
      </c>
      <c r="AG157" t="e">
        <f t="shared" si="190"/>
        <v>#VALUE!</v>
      </c>
      <c r="AH157">
        <v>144</v>
      </c>
      <c r="AI157">
        <f t="shared" si="191"/>
        <v>172.79999999999998</v>
      </c>
      <c r="AJ157" t="s">
        <v>73</v>
      </c>
      <c r="AK157" t="e">
        <f t="shared" si="192"/>
        <v>#VALUE!</v>
      </c>
      <c r="AL157" t="s">
        <v>73</v>
      </c>
      <c r="AM157" t="str">
        <f t="shared" si="193"/>
        <v>-</v>
      </c>
      <c r="AN157" t="s">
        <v>73</v>
      </c>
      <c r="AO157" t="e">
        <f t="shared" si="194"/>
        <v>#VALUE!</v>
      </c>
      <c r="AP157" t="s">
        <v>73</v>
      </c>
      <c r="AQ157" t="e">
        <f t="shared" si="195"/>
        <v>#VALUE!</v>
      </c>
      <c r="AR157">
        <v>273</v>
      </c>
      <c r="AS157">
        <f t="shared" si="196"/>
        <v>327.59999999999997</v>
      </c>
      <c r="AT157" t="s">
        <v>73</v>
      </c>
      <c r="AU157" t="e">
        <f t="shared" si="197"/>
        <v>#VALUE!</v>
      </c>
      <c r="AV157" t="s">
        <v>73</v>
      </c>
      <c r="AW157" t="str">
        <f t="shared" si="198"/>
        <v>-</v>
      </c>
      <c r="AX157" t="s">
        <v>73</v>
      </c>
      <c r="AY157" t="e">
        <f t="shared" si="199"/>
        <v>#VALUE!</v>
      </c>
      <c r="AZ157" t="s">
        <v>73</v>
      </c>
      <c r="BA157" t="e">
        <f t="shared" si="200"/>
        <v>#VALUE!</v>
      </c>
    </row>
    <row r="158" spans="1:53" x14ac:dyDescent="0.3">
      <c r="A158" t="s">
        <v>74</v>
      </c>
      <c r="B158" t="s">
        <v>377</v>
      </c>
      <c r="C158" t="s">
        <v>378</v>
      </c>
      <c r="D158">
        <v>1680</v>
      </c>
      <c r="E158">
        <f t="shared" si="176"/>
        <v>2016</v>
      </c>
      <c r="F158" t="s">
        <v>73</v>
      </c>
      <c r="G158" t="e">
        <f t="shared" si="177"/>
        <v>#VALUE!</v>
      </c>
      <c r="H158">
        <v>240</v>
      </c>
      <c r="I158">
        <f t="shared" si="178"/>
        <v>240</v>
      </c>
      <c r="J158" t="s">
        <v>73</v>
      </c>
      <c r="K158" t="e">
        <f t="shared" si="179"/>
        <v>#VALUE!</v>
      </c>
      <c r="L158" t="s">
        <v>73</v>
      </c>
      <c r="M158" t="e">
        <f t="shared" si="180"/>
        <v>#VALUE!</v>
      </c>
      <c r="N158">
        <v>1680</v>
      </c>
      <c r="O158">
        <f t="shared" si="181"/>
        <v>2016</v>
      </c>
      <c r="P158" t="s">
        <v>73</v>
      </c>
      <c r="Q158" t="e">
        <f t="shared" si="182"/>
        <v>#VALUE!</v>
      </c>
      <c r="R158">
        <v>200</v>
      </c>
      <c r="S158">
        <f t="shared" si="183"/>
        <v>200</v>
      </c>
      <c r="T158" t="s">
        <v>73</v>
      </c>
      <c r="U158" t="e">
        <f t="shared" si="184"/>
        <v>#VALUE!</v>
      </c>
      <c r="V158" t="s">
        <v>73</v>
      </c>
      <c r="W158" t="e">
        <f t="shared" ref="W158" si="225">V158*1.3</f>
        <v>#VALUE!</v>
      </c>
      <c r="X158">
        <v>1994</v>
      </c>
      <c r="Y158">
        <f t="shared" si="186"/>
        <v>2392.7999999999997</v>
      </c>
      <c r="Z158" t="s">
        <v>73</v>
      </c>
      <c r="AA158" t="e">
        <f t="shared" si="187"/>
        <v>#VALUE!</v>
      </c>
      <c r="AB158">
        <v>372</v>
      </c>
      <c r="AC158">
        <f t="shared" si="188"/>
        <v>372</v>
      </c>
      <c r="AD158" t="s">
        <v>73</v>
      </c>
      <c r="AE158" t="e">
        <f t="shared" si="189"/>
        <v>#VALUE!</v>
      </c>
      <c r="AF158" t="s">
        <v>73</v>
      </c>
      <c r="AG158" t="e">
        <f t="shared" si="190"/>
        <v>#VALUE!</v>
      </c>
      <c r="AH158">
        <v>1930</v>
      </c>
      <c r="AI158">
        <f t="shared" si="191"/>
        <v>2316</v>
      </c>
      <c r="AJ158" t="s">
        <v>73</v>
      </c>
      <c r="AK158" t="e">
        <f t="shared" si="192"/>
        <v>#VALUE!</v>
      </c>
      <c r="AL158">
        <v>693</v>
      </c>
      <c r="AM158">
        <f t="shared" si="193"/>
        <v>693</v>
      </c>
      <c r="AN158" t="s">
        <v>73</v>
      </c>
      <c r="AO158" t="e">
        <f t="shared" si="194"/>
        <v>#VALUE!</v>
      </c>
      <c r="AP158" t="s">
        <v>73</v>
      </c>
      <c r="AQ158" t="e">
        <f t="shared" si="195"/>
        <v>#VALUE!</v>
      </c>
      <c r="AR158">
        <v>1894</v>
      </c>
      <c r="AS158">
        <f t="shared" si="196"/>
        <v>2272.7999999999997</v>
      </c>
      <c r="AT158" t="s">
        <v>73</v>
      </c>
      <c r="AU158" t="e">
        <f t="shared" si="197"/>
        <v>#VALUE!</v>
      </c>
      <c r="AV158">
        <v>518</v>
      </c>
      <c r="AW158">
        <f t="shared" si="198"/>
        <v>518</v>
      </c>
      <c r="AX158" t="s">
        <v>73</v>
      </c>
      <c r="AY158" t="e">
        <f t="shared" si="199"/>
        <v>#VALUE!</v>
      </c>
      <c r="AZ158" t="s">
        <v>73</v>
      </c>
      <c r="BA158" t="e">
        <f t="shared" si="200"/>
        <v>#VALUE!</v>
      </c>
    </row>
    <row r="159" spans="1:53" x14ac:dyDescent="0.3">
      <c r="A159" t="s">
        <v>67</v>
      </c>
      <c r="B159" t="s">
        <v>379</v>
      </c>
      <c r="C159" t="s">
        <v>380</v>
      </c>
      <c r="D159">
        <v>14</v>
      </c>
      <c r="E159">
        <f t="shared" si="176"/>
        <v>16.8</v>
      </c>
      <c r="F159">
        <v>20531</v>
      </c>
      <c r="G159">
        <f t="shared" si="177"/>
        <v>10881.43</v>
      </c>
      <c r="H159">
        <v>383220</v>
      </c>
      <c r="I159">
        <f t="shared" si="178"/>
        <v>383220</v>
      </c>
      <c r="J159">
        <v>439609</v>
      </c>
      <c r="K159">
        <f t="shared" si="179"/>
        <v>659413.5</v>
      </c>
      <c r="L159">
        <v>24541</v>
      </c>
      <c r="M159">
        <f t="shared" si="180"/>
        <v>31903.3</v>
      </c>
      <c r="N159">
        <v>18</v>
      </c>
      <c r="O159">
        <f t="shared" si="181"/>
        <v>21.599999999999998</v>
      </c>
      <c r="P159">
        <v>26905</v>
      </c>
      <c r="Q159">
        <f t="shared" si="182"/>
        <v>14259.650000000001</v>
      </c>
      <c r="R159">
        <v>489217</v>
      </c>
      <c r="S159">
        <f t="shared" si="183"/>
        <v>489217</v>
      </c>
      <c r="T159">
        <v>633796</v>
      </c>
      <c r="U159">
        <f t="shared" si="184"/>
        <v>950694</v>
      </c>
      <c r="V159">
        <v>59348</v>
      </c>
      <c r="W159">
        <f t="shared" ref="W159" si="226">V159*1.3</f>
        <v>77152.400000000009</v>
      </c>
      <c r="X159">
        <v>15</v>
      </c>
      <c r="Y159">
        <f t="shared" si="186"/>
        <v>18</v>
      </c>
      <c r="Z159">
        <v>17276</v>
      </c>
      <c r="AA159">
        <f t="shared" si="187"/>
        <v>9156.2800000000007</v>
      </c>
      <c r="AB159">
        <v>369874</v>
      </c>
      <c r="AC159">
        <f t="shared" si="188"/>
        <v>369874</v>
      </c>
      <c r="AD159">
        <v>601797</v>
      </c>
      <c r="AE159">
        <f t="shared" si="189"/>
        <v>902695.5</v>
      </c>
      <c r="AF159">
        <v>108141</v>
      </c>
      <c r="AG159">
        <f t="shared" si="190"/>
        <v>140583.30000000002</v>
      </c>
      <c r="AH159">
        <v>12</v>
      </c>
      <c r="AI159">
        <f t="shared" si="191"/>
        <v>14.399999999999999</v>
      </c>
      <c r="AJ159">
        <v>19373</v>
      </c>
      <c r="AK159">
        <f t="shared" si="192"/>
        <v>10267.69</v>
      </c>
      <c r="AL159">
        <v>460727</v>
      </c>
      <c r="AM159">
        <f t="shared" si="193"/>
        <v>460727</v>
      </c>
      <c r="AN159">
        <v>749609</v>
      </c>
      <c r="AO159">
        <f t="shared" si="194"/>
        <v>1124413.5</v>
      </c>
      <c r="AP159">
        <v>54169</v>
      </c>
      <c r="AQ159">
        <f t="shared" si="195"/>
        <v>70419.7</v>
      </c>
      <c r="AR159">
        <v>11</v>
      </c>
      <c r="AS159">
        <f t="shared" si="196"/>
        <v>13.2</v>
      </c>
      <c r="AT159">
        <v>16155</v>
      </c>
      <c r="AU159">
        <f t="shared" si="197"/>
        <v>8562.15</v>
      </c>
      <c r="AV159">
        <v>290390</v>
      </c>
      <c r="AW159">
        <f t="shared" si="198"/>
        <v>290390</v>
      </c>
      <c r="AX159">
        <v>665810</v>
      </c>
      <c r="AY159">
        <f t="shared" si="199"/>
        <v>998715</v>
      </c>
      <c r="AZ159">
        <v>86566</v>
      </c>
      <c r="BA159">
        <f t="shared" si="200"/>
        <v>112535.8</v>
      </c>
    </row>
    <row r="160" spans="1:53" x14ac:dyDescent="0.3">
      <c r="A160" t="s">
        <v>70</v>
      </c>
      <c r="B160" t="s">
        <v>381</v>
      </c>
      <c r="C160" t="s">
        <v>382</v>
      </c>
      <c r="D160" t="s">
        <v>73</v>
      </c>
      <c r="E160" t="e">
        <f t="shared" si="176"/>
        <v>#VALUE!</v>
      </c>
      <c r="F160">
        <v>10071</v>
      </c>
      <c r="G160">
        <f t="shared" si="177"/>
        <v>5337.63</v>
      </c>
      <c r="H160">
        <v>220608</v>
      </c>
      <c r="I160">
        <f t="shared" si="178"/>
        <v>220608</v>
      </c>
      <c r="J160">
        <v>298480</v>
      </c>
      <c r="K160">
        <f t="shared" si="179"/>
        <v>447720</v>
      </c>
      <c r="L160">
        <v>21913</v>
      </c>
      <c r="M160">
        <f t="shared" si="180"/>
        <v>28486.9</v>
      </c>
      <c r="N160" t="s">
        <v>73</v>
      </c>
      <c r="O160" t="e">
        <f t="shared" si="181"/>
        <v>#VALUE!</v>
      </c>
      <c r="P160">
        <v>10680</v>
      </c>
      <c r="Q160">
        <f t="shared" si="182"/>
        <v>5660.4000000000005</v>
      </c>
      <c r="R160">
        <v>232225</v>
      </c>
      <c r="S160">
        <f t="shared" si="183"/>
        <v>232225</v>
      </c>
      <c r="T160">
        <v>376336</v>
      </c>
      <c r="U160">
        <f t="shared" si="184"/>
        <v>564504</v>
      </c>
      <c r="V160">
        <v>56000</v>
      </c>
      <c r="W160">
        <f t="shared" ref="W160" si="227">V160*1.3</f>
        <v>72800</v>
      </c>
      <c r="X160" t="s">
        <v>73</v>
      </c>
      <c r="Y160" t="e">
        <f t="shared" si="186"/>
        <v>#VALUE!</v>
      </c>
      <c r="Z160">
        <v>7352</v>
      </c>
      <c r="AA160">
        <f t="shared" si="187"/>
        <v>3896.5600000000004</v>
      </c>
      <c r="AB160">
        <v>220260</v>
      </c>
      <c r="AC160">
        <f t="shared" si="188"/>
        <v>220260</v>
      </c>
      <c r="AD160">
        <v>414976</v>
      </c>
      <c r="AE160">
        <f t="shared" si="189"/>
        <v>622464</v>
      </c>
      <c r="AF160">
        <v>84761</v>
      </c>
      <c r="AG160">
        <f t="shared" si="190"/>
        <v>110189.3</v>
      </c>
      <c r="AH160" t="s">
        <v>73</v>
      </c>
      <c r="AI160" t="e">
        <f t="shared" si="191"/>
        <v>#VALUE!</v>
      </c>
      <c r="AJ160">
        <v>7259</v>
      </c>
      <c r="AK160">
        <f t="shared" si="192"/>
        <v>3847.27</v>
      </c>
      <c r="AL160">
        <v>226337</v>
      </c>
      <c r="AM160">
        <f t="shared" si="193"/>
        <v>226337</v>
      </c>
      <c r="AN160">
        <v>421829</v>
      </c>
      <c r="AO160">
        <f t="shared" si="194"/>
        <v>632743.5</v>
      </c>
      <c r="AP160">
        <v>42205</v>
      </c>
      <c r="AQ160">
        <f t="shared" si="195"/>
        <v>54866.5</v>
      </c>
      <c r="AR160" t="s">
        <v>73</v>
      </c>
      <c r="AS160" t="e">
        <f t="shared" si="196"/>
        <v>#VALUE!</v>
      </c>
      <c r="AT160">
        <v>5696</v>
      </c>
      <c r="AU160">
        <f t="shared" si="197"/>
        <v>3018.88</v>
      </c>
      <c r="AV160">
        <v>174647</v>
      </c>
      <c r="AW160">
        <f t="shared" si="198"/>
        <v>174647</v>
      </c>
      <c r="AX160">
        <v>432930</v>
      </c>
      <c r="AY160">
        <f t="shared" si="199"/>
        <v>649395</v>
      </c>
      <c r="AZ160">
        <v>73402</v>
      </c>
      <c r="BA160">
        <f t="shared" si="200"/>
        <v>95422.6</v>
      </c>
    </row>
    <row r="161" spans="1:53" x14ac:dyDescent="0.3">
      <c r="A161" t="s">
        <v>74</v>
      </c>
      <c r="B161" t="s">
        <v>383</v>
      </c>
      <c r="C161" t="s">
        <v>384</v>
      </c>
      <c r="D161" t="s">
        <v>73</v>
      </c>
      <c r="E161" t="e">
        <f t="shared" si="176"/>
        <v>#VALUE!</v>
      </c>
      <c r="F161">
        <v>55</v>
      </c>
      <c r="G161">
        <f t="shared" si="177"/>
        <v>29.150000000000002</v>
      </c>
      <c r="H161">
        <v>4680</v>
      </c>
      <c r="I161">
        <f t="shared" si="178"/>
        <v>4680</v>
      </c>
      <c r="J161">
        <v>3360</v>
      </c>
      <c r="K161">
        <f t="shared" si="179"/>
        <v>5040</v>
      </c>
      <c r="L161" t="s">
        <v>73</v>
      </c>
      <c r="M161" t="e">
        <f t="shared" si="180"/>
        <v>#VALUE!</v>
      </c>
      <c r="N161" t="s">
        <v>73</v>
      </c>
      <c r="O161" t="e">
        <f t="shared" si="181"/>
        <v>#VALUE!</v>
      </c>
      <c r="P161">
        <v>76</v>
      </c>
      <c r="Q161">
        <f t="shared" si="182"/>
        <v>40.28</v>
      </c>
      <c r="R161">
        <v>5850</v>
      </c>
      <c r="S161">
        <f t="shared" si="183"/>
        <v>5850</v>
      </c>
      <c r="T161">
        <v>6120</v>
      </c>
      <c r="U161">
        <f t="shared" si="184"/>
        <v>9180</v>
      </c>
      <c r="V161" t="s">
        <v>73</v>
      </c>
      <c r="W161" t="e">
        <f t="shared" ref="W161" si="228">V161*1.3</f>
        <v>#VALUE!</v>
      </c>
      <c r="X161" t="s">
        <v>73</v>
      </c>
      <c r="Y161" t="e">
        <f t="shared" si="186"/>
        <v>#VALUE!</v>
      </c>
      <c r="Z161">
        <v>243</v>
      </c>
      <c r="AA161">
        <f t="shared" si="187"/>
        <v>128.79000000000002</v>
      </c>
      <c r="AB161">
        <v>17000</v>
      </c>
      <c r="AC161">
        <f t="shared" si="188"/>
        <v>17000</v>
      </c>
      <c r="AD161">
        <v>11600</v>
      </c>
      <c r="AE161">
        <f t="shared" si="189"/>
        <v>17400</v>
      </c>
      <c r="AF161">
        <v>360</v>
      </c>
      <c r="AG161">
        <f t="shared" si="190"/>
        <v>468</v>
      </c>
      <c r="AH161" t="s">
        <v>73</v>
      </c>
      <c r="AI161" t="e">
        <f t="shared" si="191"/>
        <v>#VALUE!</v>
      </c>
      <c r="AJ161">
        <v>118</v>
      </c>
      <c r="AK161">
        <f t="shared" si="192"/>
        <v>62.540000000000006</v>
      </c>
      <c r="AL161">
        <v>17160</v>
      </c>
      <c r="AM161">
        <f t="shared" si="193"/>
        <v>17160</v>
      </c>
      <c r="AN161">
        <v>12500</v>
      </c>
      <c r="AO161">
        <f t="shared" si="194"/>
        <v>18750</v>
      </c>
      <c r="AP161">
        <v>180</v>
      </c>
      <c r="AQ161">
        <f t="shared" si="195"/>
        <v>234</v>
      </c>
      <c r="AR161" t="s">
        <v>73</v>
      </c>
      <c r="AS161" t="e">
        <f t="shared" si="196"/>
        <v>#VALUE!</v>
      </c>
      <c r="AT161">
        <v>180</v>
      </c>
      <c r="AU161">
        <f t="shared" si="197"/>
        <v>95.4</v>
      </c>
      <c r="AV161">
        <v>14840</v>
      </c>
      <c r="AW161">
        <f t="shared" si="198"/>
        <v>14840</v>
      </c>
      <c r="AX161">
        <v>11500</v>
      </c>
      <c r="AY161">
        <f t="shared" si="199"/>
        <v>17250</v>
      </c>
      <c r="AZ161">
        <v>402</v>
      </c>
      <c r="BA161">
        <f t="shared" si="200"/>
        <v>522.6</v>
      </c>
    </row>
    <row r="162" spans="1:53" x14ac:dyDescent="0.3">
      <c r="A162" t="s">
        <v>74</v>
      </c>
      <c r="B162" t="s">
        <v>385</v>
      </c>
      <c r="C162" t="s">
        <v>386</v>
      </c>
      <c r="D162" t="s">
        <v>73</v>
      </c>
      <c r="E162" t="e">
        <f t="shared" si="176"/>
        <v>#VALUE!</v>
      </c>
      <c r="F162">
        <v>710</v>
      </c>
      <c r="G162">
        <f t="shared" si="177"/>
        <v>376.3</v>
      </c>
      <c r="H162">
        <v>13914</v>
      </c>
      <c r="I162">
        <f t="shared" si="178"/>
        <v>13914</v>
      </c>
      <c r="J162">
        <v>20750</v>
      </c>
      <c r="K162">
        <f t="shared" si="179"/>
        <v>31125</v>
      </c>
      <c r="L162">
        <v>405</v>
      </c>
      <c r="M162">
        <f t="shared" si="180"/>
        <v>526.5</v>
      </c>
      <c r="N162" t="s">
        <v>73</v>
      </c>
      <c r="O162" t="e">
        <f t="shared" si="181"/>
        <v>#VALUE!</v>
      </c>
      <c r="P162">
        <v>735</v>
      </c>
      <c r="Q162">
        <f t="shared" si="182"/>
        <v>389.55</v>
      </c>
      <c r="R162">
        <v>18480</v>
      </c>
      <c r="S162">
        <f t="shared" si="183"/>
        <v>18480</v>
      </c>
      <c r="T162">
        <v>29050</v>
      </c>
      <c r="U162">
        <f t="shared" si="184"/>
        <v>43575</v>
      </c>
      <c r="V162">
        <v>405</v>
      </c>
      <c r="W162">
        <f t="shared" ref="W162" si="229">V162*1.3</f>
        <v>526.5</v>
      </c>
      <c r="X162" t="s">
        <v>73</v>
      </c>
      <c r="Y162" t="e">
        <f t="shared" si="186"/>
        <v>#VALUE!</v>
      </c>
      <c r="Z162">
        <v>323</v>
      </c>
      <c r="AA162">
        <f t="shared" si="187"/>
        <v>171.19</v>
      </c>
      <c r="AB162">
        <v>11400</v>
      </c>
      <c r="AC162">
        <f t="shared" si="188"/>
        <v>11400</v>
      </c>
      <c r="AD162">
        <v>16650</v>
      </c>
      <c r="AE162">
        <f t="shared" si="189"/>
        <v>24975</v>
      </c>
      <c r="AF162">
        <v>405</v>
      </c>
      <c r="AG162">
        <f t="shared" si="190"/>
        <v>526.5</v>
      </c>
      <c r="AH162" t="s">
        <v>73</v>
      </c>
      <c r="AI162" t="e">
        <f t="shared" si="191"/>
        <v>#VALUE!</v>
      </c>
      <c r="AJ162">
        <v>817</v>
      </c>
      <c r="AK162">
        <f t="shared" si="192"/>
        <v>433.01000000000005</v>
      </c>
      <c r="AL162">
        <v>17798</v>
      </c>
      <c r="AM162">
        <f t="shared" si="193"/>
        <v>17798</v>
      </c>
      <c r="AN162">
        <v>26560</v>
      </c>
      <c r="AO162">
        <f t="shared" si="194"/>
        <v>39840</v>
      </c>
      <c r="AP162">
        <v>405</v>
      </c>
      <c r="AQ162">
        <f t="shared" si="195"/>
        <v>526.5</v>
      </c>
      <c r="AR162" t="s">
        <v>73</v>
      </c>
      <c r="AS162" t="e">
        <f t="shared" si="196"/>
        <v>#VALUE!</v>
      </c>
      <c r="AT162">
        <v>234</v>
      </c>
      <c r="AU162">
        <f t="shared" si="197"/>
        <v>124.02000000000001</v>
      </c>
      <c r="AV162">
        <v>16731</v>
      </c>
      <c r="AW162">
        <f t="shared" si="198"/>
        <v>16731</v>
      </c>
      <c r="AX162">
        <v>31567</v>
      </c>
      <c r="AY162">
        <f t="shared" si="199"/>
        <v>47350.5</v>
      </c>
      <c r="AZ162">
        <v>405</v>
      </c>
      <c r="BA162">
        <f t="shared" si="200"/>
        <v>526.5</v>
      </c>
    </row>
    <row r="163" spans="1:53" x14ac:dyDescent="0.3">
      <c r="A163" t="s">
        <v>74</v>
      </c>
      <c r="B163" t="s">
        <v>387</v>
      </c>
      <c r="C163" t="s">
        <v>388</v>
      </c>
      <c r="D163" t="s">
        <v>73</v>
      </c>
      <c r="E163" t="e">
        <f t="shared" si="176"/>
        <v>#VALUE!</v>
      </c>
      <c r="F163">
        <v>4800</v>
      </c>
      <c r="G163">
        <f t="shared" si="177"/>
        <v>2544</v>
      </c>
      <c r="H163">
        <v>138684</v>
      </c>
      <c r="I163">
        <f t="shared" si="178"/>
        <v>138684</v>
      </c>
      <c r="J163">
        <v>179820</v>
      </c>
      <c r="K163">
        <f t="shared" si="179"/>
        <v>269730</v>
      </c>
      <c r="L163">
        <v>19200</v>
      </c>
      <c r="M163">
        <f t="shared" si="180"/>
        <v>24960</v>
      </c>
      <c r="N163" t="s">
        <v>73</v>
      </c>
      <c r="O163" t="e">
        <f t="shared" si="181"/>
        <v>#VALUE!</v>
      </c>
      <c r="P163">
        <v>5400</v>
      </c>
      <c r="Q163">
        <f t="shared" si="182"/>
        <v>2862</v>
      </c>
      <c r="R163">
        <v>125730</v>
      </c>
      <c r="S163">
        <f t="shared" si="183"/>
        <v>125730</v>
      </c>
      <c r="T163">
        <v>222300</v>
      </c>
      <c r="U163">
        <f t="shared" si="184"/>
        <v>333450</v>
      </c>
      <c r="V163">
        <v>48300</v>
      </c>
      <c r="W163">
        <f t="shared" ref="W163" si="230">V163*1.3</f>
        <v>62790</v>
      </c>
      <c r="X163" t="s">
        <v>73</v>
      </c>
      <c r="Y163" t="e">
        <f t="shared" si="186"/>
        <v>#VALUE!</v>
      </c>
      <c r="Z163">
        <v>2100</v>
      </c>
      <c r="AA163">
        <f t="shared" si="187"/>
        <v>1113</v>
      </c>
      <c r="AB163">
        <v>130000</v>
      </c>
      <c r="AC163">
        <f t="shared" si="188"/>
        <v>130000</v>
      </c>
      <c r="AD163">
        <v>260000</v>
      </c>
      <c r="AE163">
        <f t="shared" si="189"/>
        <v>390000</v>
      </c>
      <c r="AF163">
        <v>60000</v>
      </c>
      <c r="AG163">
        <f t="shared" si="190"/>
        <v>78000</v>
      </c>
      <c r="AH163" t="s">
        <v>73</v>
      </c>
      <c r="AI163" t="e">
        <f t="shared" si="191"/>
        <v>#VALUE!</v>
      </c>
      <c r="AJ163">
        <v>1440</v>
      </c>
      <c r="AK163">
        <f t="shared" si="192"/>
        <v>763.2</v>
      </c>
      <c r="AL163">
        <v>113500</v>
      </c>
      <c r="AM163">
        <f t="shared" si="193"/>
        <v>113500</v>
      </c>
      <c r="AN163">
        <v>256632</v>
      </c>
      <c r="AO163">
        <f t="shared" si="194"/>
        <v>384948</v>
      </c>
      <c r="AP163">
        <v>31320</v>
      </c>
      <c r="AQ163">
        <f t="shared" si="195"/>
        <v>40716</v>
      </c>
      <c r="AR163" t="s">
        <v>73</v>
      </c>
      <c r="AS163" t="e">
        <f t="shared" si="196"/>
        <v>#VALUE!</v>
      </c>
      <c r="AT163">
        <v>2455</v>
      </c>
      <c r="AU163">
        <f t="shared" si="197"/>
        <v>1301.1500000000001</v>
      </c>
      <c r="AV163">
        <v>77000</v>
      </c>
      <c r="AW163">
        <f t="shared" si="198"/>
        <v>77000</v>
      </c>
      <c r="AX163">
        <v>236800</v>
      </c>
      <c r="AY163">
        <f t="shared" si="199"/>
        <v>355200</v>
      </c>
      <c r="AZ163">
        <v>59640</v>
      </c>
      <c r="BA163">
        <f t="shared" si="200"/>
        <v>77532</v>
      </c>
    </row>
    <row r="164" spans="1:53" x14ac:dyDescent="0.3">
      <c r="A164" t="s">
        <v>74</v>
      </c>
      <c r="B164" t="s">
        <v>389</v>
      </c>
      <c r="C164" t="s">
        <v>390</v>
      </c>
      <c r="D164" t="s">
        <v>73</v>
      </c>
      <c r="E164" t="e">
        <f t="shared" si="176"/>
        <v>#VALUE!</v>
      </c>
      <c r="F164">
        <v>2520</v>
      </c>
      <c r="G164">
        <f t="shared" si="177"/>
        <v>1335.6000000000001</v>
      </c>
      <c r="H164">
        <v>17400</v>
      </c>
      <c r="I164">
        <f t="shared" si="178"/>
        <v>17400</v>
      </c>
      <c r="J164">
        <v>37500</v>
      </c>
      <c r="K164">
        <f t="shared" si="179"/>
        <v>56250</v>
      </c>
      <c r="L164">
        <v>250</v>
      </c>
      <c r="M164">
        <f t="shared" si="180"/>
        <v>325</v>
      </c>
      <c r="N164" t="s">
        <v>73</v>
      </c>
      <c r="O164" t="e">
        <f t="shared" si="181"/>
        <v>#VALUE!</v>
      </c>
      <c r="P164">
        <v>2700</v>
      </c>
      <c r="Q164">
        <f t="shared" si="182"/>
        <v>1431</v>
      </c>
      <c r="R164">
        <v>24940</v>
      </c>
      <c r="S164">
        <f t="shared" si="183"/>
        <v>24940</v>
      </c>
      <c r="T164">
        <v>49500</v>
      </c>
      <c r="U164">
        <f t="shared" si="184"/>
        <v>74250</v>
      </c>
      <c r="V164">
        <v>250</v>
      </c>
      <c r="W164">
        <f t="shared" ref="W164" si="231">V164*1.3</f>
        <v>325</v>
      </c>
      <c r="X164" t="s">
        <v>73</v>
      </c>
      <c r="Y164" t="e">
        <f t="shared" si="186"/>
        <v>#VALUE!</v>
      </c>
      <c r="Z164">
        <v>3150</v>
      </c>
      <c r="AA164">
        <f t="shared" si="187"/>
        <v>1669.5</v>
      </c>
      <c r="AB164">
        <v>18000</v>
      </c>
      <c r="AC164">
        <f t="shared" si="188"/>
        <v>18000</v>
      </c>
      <c r="AD164">
        <v>49600</v>
      </c>
      <c r="AE164">
        <f t="shared" si="189"/>
        <v>74400</v>
      </c>
      <c r="AF164">
        <v>420</v>
      </c>
      <c r="AG164">
        <f t="shared" si="190"/>
        <v>546</v>
      </c>
      <c r="AH164" t="s">
        <v>73</v>
      </c>
      <c r="AI164" t="e">
        <f t="shared" si="191"/>
        <v>#VALUE!</v>
      </c>
      <c r="AJ164">
        <v>2981</v>
      </c>
      <c r="AK164">
        <f t="shared" si="192"/>
        <v>1579.93</v>
      </c>
      <c r="AL164">
        <v>22814</v>
      </c>
      <c r="AM164">
        <f t="shared" si="193"/>
        <v>22814</v>
      </c>
      <c r="AN164">
        <v>46995</v>
      </c>
      <c r="AO164">
        <f t="shared" si="194"/>
        <v>70492.5</v>
      </c>
      <c r="AP164">
        <v>120</v>
      </c>
      <c r="AQ164">
        <f t="shared" si="195"/>
        <v>156</v>
      </c>
      <c r="AR164" t="s">
        <v>73</v>
      </c>
      <c r="AS164" t="e">
        <f t="shared" si="196"/>
        <v>#VALUE!</v>
      </c>
      <c r="AT164">
        <v>1690</v>
      </c>
      <c r="AU164">
        <f t="shared" si="197"/>
        <v>895.7</v>
      </c>
      <c r="AV164">
        <v>21718</v>
      </c>
      <c r="AW164">
        <f t="shared" si="198"/>
        <v>21718</v>
      </c>
      <c r="AX164">
        <v>69408</v>
      </c>
      <c r="AY164">
        <f t="shared" si="199"/>
        <v>104112</v>
      </c>
      <c r="AZ164">
        <v>250</v>
      </c>
      <c r="BA164">
        <f t="shared" si="200"/>
        <v>325</v>
      </c>
    </row>
    <row r="165" spans="1:53" x14ac:dyDescent="0.3">
      <c r="A165" t="s">
        <v>74</v>
      </c>
      <c r="B165" t="s">
        <v>391</v>
      </c>
      <c r="C165" t="s">
        <v>392</v>
      </c>
      <c r="D165" t="s">
        <v>73</v>
      </c>
      <c r="E165" t="e">
        <f t="shared" si="176"/>
        <v>#VALUE!</v>
      </c>
      <c r="F165">
        <v>1275</v>
      </c>
      <c r="G165">
        <f t="shared" si="177"/>
        <v>675.75</v>
      </c>
      <c r="H165">
        <v>11900</v>
      </c>
      <c r="I165">
        <f t="shared" si="178"/>
        <v>11900</v>
      </c>
      <c r="J165">
        <v>8750</v>
      </c>
      <c r="K165">
        <f t="shared" si="179"/>
        <v>13125</v>
      </c>
      <c r="L165">
        <v>120</v>
      </c>
      <c r="M165">
        <f t="shared" si="180"/>
        <v>156</v>
      </c>
      <c r="N165" t="s">
        <v>73</v>
      </c>
      <c r="O165" t="e">
        <f t="shared" si="181"/>
        <v>#VALUE!</v>
      </c>
      <c r="P165">
        <v>1275</v>
      </c>
      <c r="Q165">
        <f t="shared" si="182"/>
        <v>675.75</v>
      </c>
      <c r="R165">
        <v>15980</v>
      </c>
      <c r="S165">
        <f t="shared" si="183"/>
        <v>15980</v>
      </c>
      <c r="T165">
        <v>11200</v>
      </c>
      <c r="U165">
        <f t="shared" si="184"/>
        <v>16800</v>
      </c>
      <c r="V165">
        <v>120</v>
      </c>
      <c r="W165">
        <f t="shared" ref="W165" si="232">V165*1.3</f>
        <v>156</v>
      </c>
      <c r="X165" t="s">
        <v>73</v>
      </c>
      <c r="Y165" t="e">
        <f t="shared" si="186"/>
        <v>#VALUE!</v>
      </c>
      <c r="Z165">
        <v>900</v>
      </c>
      <c r="AA165">
        <f t="shared" si="187"/>
        <v>477</v>
      </c>
      <c r="AB165">
        <v>11520</v>
      </c>
      <c r="AC165">
        <f t="shared" si="188"/>
        <v>11520</v>
      </c>
      <c r="AD165">
        <v>9300</v>
      </c>
      <c r="AE165">
        <f t="shared" si="189"/>
        <v>13950</v>
      </c>
      <c r="AF165">
        <v>396</v>
      </c>
      <c r="AG165">
        <f t="shared" si="190"/>
        <v>514.80000000000007</v>
      </c>
      <c r="AH165" t="s">
        <v>73</v>
      </c>
      <c r="AI165" t="e">
        <f t="shared" si="191"/>
        <v>#VALUE!</v>
      </c>
      <c r="AJ165">
        <v>1360</v>
      </c>
      <c r="AK165">
        <f t="shared" si="192"/>
        <v>720.80000000000007</v>
      </c>
      <c r="AL165">
        <v>15414</v>
      </c>
      <c r="AM165">
        <f t="shared" si="193"/>
        <v>15414</v>
      </c>
      <c r="AN165">
        <v>10150</v>
      </c>
      <c r="AO165">
        <f t="shared" si="194"/>
        <v>15225</v>
      </c>
      <c r="AP165">
        <v>60</v>
      </c>
      <c r="AQ165">
        <f t="shared" si="195"/>
        <v>78</v>
      </c>
      <c r="AR165" t="s">
        <v>73</v>
      </c>
      <c r="AS165" t="e">
        <f t="shared" si="196"/>
        <v>#VALUE!</v>
      </c>
      <c r="AT165">
        <v>605</v>
      </c>
      <c r="AU165">
        <f t="shared" si="197"/>
        <v>320.65000000000003</v>
      </c>
      <c r="AV165">
        <v>14545</v>
      </c>
      <c r="AW165">
        <f t="shared" si="198"/>
        <v>14545</v>
      </c>
      <c r="AX165">
        <v>13452</v>
      </c>
      <c r="AY165">
        <f t="shared" si="199"/>
        <v>20178</v>
      </c>
      <c r="AZ165">
        <v>300</v>
      </c>
      <c r="BA165">
        <f t="shared" si="200"/>
        <v>390</v>
      </c>
    </row>
    <row r="166" spans="1:53" x14ac:dyDescent="0.3">
      <c r="A166" t="s">
        <v>74</v>
      </c>
      <c r="B166" t="s">
        <v>393</v>
      </c>
      <c r="C166" t="s">
        <v>394</v>
      </c>
      <c r="D166" t="s">
        <v>73</v>
      </c>
      <c r="E166" t="e">
        <f t="shared" si="176"/>
        <v>#VALUE!</v>
      </c>
      <c r="F166">
        <v>168</v>
      </c>
      <c r="G166">
        <f t="shared" si="177"/>
        <v>89.04</v>
      </c>
      <c r="H166">
        <v>9900</v>
      </c>
      <c r="I166">
        <f t="shared" si="178"/>
        <v>9900</v>
      </c>
      <c r="J166">
        <v>5670</v>
      </c>
      <c r="K166">
        <f t="shared" si="179"/>
        <v>8505</v>
      </c>
      <c r="L166">
        <v>78</v>
      </c>
      <c r="M166">
        <f t="shared" si="180"/>
        <v>101.4</v>
      </c>
      <c r="N166" t="s">
        <v>73</v>
      </c>
      <c r="O166" t="e">
        <f t="shared" si="181"/>
        <v>#VALUE!</v>
      </c>
      <c r="P166">
        <v>54</v>
      </c>
      <c r="Q166">
        <f t="shared" si="182"/>
        <v>28.62</v>
      </c>
      <c r="R166">
        <v>10640</v>
      </c>
      <c r="S166">
        <f t="shared" si="183"/>
        <v>10640</v>
      </c>
      <c r="T166">
        <v>7636</v>
      </c>
      <c r="U166">
        <f t="shared" si="184"/>
        <v>11454</v>
      </c>
      <c r="V166">
        <v>205</v>
      </c>
      <c r="W166">
        <f t="shared" ref="W166" si="233">V166*1.3</f>
        <v>266.5</v>
      </c>
      <c r="X166" t="s">
        <v>73</v>
      </c>
      <c r="Y166" t="e">
        <f t="shared" si="186"/>
        <v>#VALUE!</v>
      </c>
      <c r="Z166">
        <v>180</v>
      </c>
      <c r="AA166">
        <f t="shared" si="187"/>
        <v>95.4</v>
      </c>
      <c r="AB166">
        <v>9600</v>
      </c>
      <c r="AC166">
        <f t="shared" si="188"/>
        <v>9600</v>
      </c>
      <c r="AD166">
        <v>5000</v>
      </c>
      <c r="AE166">
        <f t="shared" si="189"/>
        <v>7500</v>
      </c>
      <c r="AF166">
        <v>1300</v>
      </c>
      <c r="AG166">
        <f t="shared" si="190"/>
        <v>1690</v>
      </c>
      <c r="AH166" t="s">
        <v>73</v>
      </c>
      <c r="AI166" t="e">
        <f t="shared" si="191"/>
        <v>#VALUE!</v>
      </c>
      <c r="AJ166">
        <v>180</v>
      </c>
      <c r="AK166">
        <f t="shared" si="192"/>
        <v>95.4</v>
      </c>
      <c r="AL166">
        <v>9000</v>
      </c>
      <c r="AM166">
        <f t="shared" si="193"/>
        <v>9000</v>
      </c>
      <c r="AN166">
        <v>5700</v>
      </c>
      <c r="AO166">
        <f t="shared" si="194"/>
        <v>8550</v>
      </c>
      <c r="AP166">
        <v>840</v>
      </c>
      <c r="AQ166">
        <f t="shared" si="195"/>
        <v>1092</v>
      </c>
      <c r="AR166" t="s">
        <v>73</v>
      </c>
      <c r="AS166" t="e">
        <f t="shared" si="196"/>
        <v>#VALUE!</v>
      </c>
      <c r="AT166">
        <v>126</v>
      </c>
      <c r="AU166">
        <f t="shared" si="197"/>
        <v>66.78</v>
      </c>
      <c r="AV166">
        <v>5265</v>
      </c>
      <c r="AW166">
        <f t="shared" si="198"/>
        <v>5265</v>
      </c>
      <c r="AX166">
        <v>6000</v>
      </c>
      <c r="AY166">
        <f t="shared" si="199"/>
        <v>9000</v>
      </c>
      <c r="AZ166">
        <v>1050</v>
      </c>
      <c r="BA166">
        <f t="shared" si="200"/>
        <v>1365</v>
      </c>
    </row>
    <row r="167" spans="1:53" x14ac:dyDescent="0.3">
      <c r="A167" t="s">
        <v>74</v>
      </c>
      <c r="B167" t="s">
        <v>395</v>
      </c>
      <c r="C167" t="s">
        <v>396</v>
      </c>
      <c r="D167" t="s">
        <v>73</v>
      </c>
      <c r="E167" t="e">
        <f t="shared" si="176"/>
        <v>#VALUE!</v>
      </c>
      <c r="F167">
        <v>172</v>
      </c>
      <c r="G167">
        <f t="shared" si="177"/>
        <v>91.160000000000011</v>
      </c>
      <c r="H167">
        <v>5500</v>
      </c>
      <c r="I167">
        <f t="shared" si="178"/>
        <v>5500</v>
      </c>
      <c r="J167">
        <v>7500</v>
      </c>
      <c r="K167">
        <f t="shared" si="179"/>
        <v>11250</v>
      </c>
      <c r="L167" t="s">
        <v>73</v>
      </c>
      <c r="M167" t="e">
        <f t="shared" si="180"/>
        <v>#VALUE!</v>
      </c>
      <c r="N167" t="s">
        <v>73</v>
      </c>
      <c r="O167" t="e">
        <f t="shared" si="181"/>
        <v>#VALUE!</v>
      </c>
      <c r="P167">
        <v>177</v>
      </c>
      <c r="Q167">
        <f t="shared" si="182"/>
        <v>93.81</v>
      </c>
      <c r="R167">
        <v>7480</v>
      </c>
      <c r="S167">
        <f t="shared" si="183"/>
        <v>7480</v>
      </c>
      <c r="T167">
        <v>10200</v>
      </c>
      <c r="U167">
        <f t="shared" si="184"/>
        <v>15300</v>
      </c>
      <c r="V167" t="s">
        <v>73</v>
      </c>
      <c r="W167" t="e">
        <f t="shared" ref="W167" si="234">V167*1.3</f>
        <v>#VALUE!</v>
      </c>
      <c r="X167" t="s">
        <v>73</v>
      </c>
      <c r="Y167" t="e">
        <f t="shared" si="186"/>
        <v>#VALUE!</v>
      </c>
      <c r="Z167">
        <v>162</v>
      </c>
      <c r="AA167">
        <f t="shared" si="187"/>
        <v>85.86</v>
      </c>
      <c r="AB167">
        <v>5400</v>
      </c>
      <c r="AC167">
        <f t="shared" si="188"/>
        <v>5400</v>
      </c>
      <c r="AD167">
        <v>9000</v>
      </c>
      <c r="AE167">
        <f t="shared" si="189"/>
        <v>13500</v>
      </c>
      <c r="AF167" t="s">
        <v>73</v>
      </c>
      <c r="AG167" t="e">
        <f t="shared" si="190"/>
        <v>#VALUE!</v>
      </c>
      <c r="AH167" t="s">
        <v>73</v>
      </c>
      <c r="AI167" t="e">
        <f t="shared" si="191"/>
        <v>#VALUE!</v>
      </c>
      <c r="AJ167">
        <v>179</v>
      </c>
      <c r="AK167">
        <f t="shared" si="192"/>
        <v>94.87</v>
      </c>
      <c r="AL167">
        <v>7334</v>
      </c>
      <c r="AM167">
        <f t="shared" si="193"/>
        <v>7334</v>
      </c>
      <c r="AN167">
        <v>9501</v>
      </c>
      <c r="AO167">
        <f t="shared" si="194"/>
        <v>14251.5</v>
      </c>
      <c r="AP167" t="s">
        <v>73</v>
      </c>
      <c r="AQ167" t="e">
        <f t="shared" si="195"/>
        <v>#VALUE!</v>
      </c>
      <c r="AR167" t="s">
        <v>73</v>
      </c>
      <c r="AS167" t="e">
        <f t="shared" si="196"/>
        <v>#VALUE!</v>
      </c>
      <c r="AT167">
        <v>176</v>
      </c>
      <c r="AU167">
        <f t="shared" si="197"/>
        <v>93.28</v>
      </c>
      <c r="AV167">
        <v>6918</v>
      </c>
      <c r="AW167">
        <f t="shared" si="198"/>
        <v>6918</v>
      </c>
      <c r="AX167">
        <v>11322</v>
      </c>
      <c r="AY167">
        <f t="shared" si="199"/>
        <v>16983</v>
      </c>
      <c r="AZ167" t="s">
        <v>73</v>
      </c>
      <c r="BA167" t="e">
        <f t="shared" si="200"/>
        <v>#VALUE!</v>
      </c>
    </row>
    <row r="168" spans="1:53" x14ac:dyDescent="0.3">
      <c r="A168" t="s">
        <v>74</v>
      </c>
      <c r="B168" t="s">
        <v>397</v>
      </c>
      <c r="C168" t="s">
        <v>398</v>
      </c>
      <c r="D168" t="s">
        <v>73</v>
      </c>
      <c r="E168" t="e">
        <f t="shared" si="176"/>
        <v>#VALUE!</v>
      </c>
      <c r="F168" t="s">
        <v>73</v>
      </c>
      <c r="G168" t="e">
        <f t="shared" si="177"/>
        <v>#VALUE!</v>
      </c>
      <c r="H168">
        <v>850</v>
      </c>
      <c r="I168">
        <f t="shared" si="178"/>
        <v>850</v>
      </c>
      <c r="J168">
        <v>1875</v>
      </c>
      <c r="K168">
        <f t="shared" si="179"/>
        <v>2812.5</v>
      </c>
      <c r="L168" t="s">
        <v>73</v>
      </c>
      <c r="M168" t="e">
        <f t="shared" si="180"/>
        <v>#VALUE!</v>
      </c>
      <c r="N168" t="s">
        <v>73</v>
      </c>
      <c r="O168" t="e">
        <f t="shared" si="181"/>
        <v>#VALUE!</v>
      </c>
      <c r="P168" t="s">
        <v>73</v>
      </c>
      <c r="Q168" t="e">
        <f t="shared" si="182"/>
        <v>#VALUE!</v>
      </c>
      <c r="R168">
        <v>1020</v>
      </c>
      <c r="S168">
        <f t="shared" si="183"/>
        <v>1020</v>
      </c>
      <c r="T168">
        <v>2550</v>
      </c>
      <c r="U168">
        <f t="shared" si="184"/>
        <v>3825</v>
      </c>
      <c r="V168" t="s">
        <v>73</v>
      </c>
      <c r="W168" t="e">
        <f t="shared" ref="W168" si="235">V168*1.3</f>
        <v>#VALUE!</v>
      </c>
      <c r="X168" t="s">
        <v>73</v>
      </c>
      <c r="Y168" t="e">
        <f t="shared" si="186"/>
        <v>#VALUE!</v>
      </c>
      <c r="Z168" t="s">
        <v>73</v>
      </c>
      <c r="AA168" t="e">
        <f t="shared" si="187"/>
        <v>#VALUE!</v>
      </c>
      <c r="AB168">
        <v>480</v>
      </c>
      <c r="AC168">
        <f t="shared" si="188"/>
        <v>480</v>
      </c>
      <c r="AD168">
        <v>2166</v>
      </c>
      <c r="AE168">
        <f t="shared" si="189"/>
        <v>3249</v>
      </c>
      <c r="AF168" t="s">
        <v>73</v>
      </c>
      <c r="AG168" t="e">
        <f t="shared" si="190"/>
        <v>#VALUE!</v>
      </c>
      <c r="AH168" t="s">
        <v>73</v>
      </c>
      <c r="AI168" t="e">
        <f t="shared" si="191"/>
        <v>#VALUE!</v>
      </c>
      <c r="AJ168" t="s">
        <v>73</v>
      </c>
      <c r="AK168" t="e">
        <f t="shared" si="192"/>
        <v>#VALUE!</v>
      </c>
      <c r="AL168">
        <v>1020</v>
      </c>
      <c r="AM168">
        <f t="shared" si="193"/>
        <v>1020</v>
      </c>
      <c r="AN168">
        <v>2375</v>
      </c>
      <c r="AO168">
        <f t="shared" si="194"/>
        <v>3562.5</v>
      </c>
      <c r="AP168" t="s">
        <v>73</v>
      </c>
      <c r="AQ168" t="e">
        <f t="shared" si="195"/>
        <v>#VALUE!</v>
      </c>
      <c r="AR168" t="s">
        <v>73</v>
      </c>
      <c r="AS168" t="e">
        <f t="shared" si="196"/>
        <v>#VALUE!</v>
      </c>
      <c r="AT168" t="s">
        <v>73</v>
      </c>
      <c r="AU168" t="e">
        <f t="shared" si="197"/>
        <v>#VALUE!</v>
      </c>
      <c r="AV168">
        <v>1020</v>
      </c>
      <c r="AW168">
        <f t="shared" si="198"/>
        <v>1020</v>
      </c>
      <c r="AX168">
        <v>1529</v>
      </c>
      <c r="AY168">
        <f t="shared" si="199"/>
        <v>2293.5</v>
      </c>
      <c r="AZ168" t="s">
        <v>73</v>
      </c>
      <c r="BA168" t="e">
        <f t="shared" si="200"/>
        <v>#VALUE!</v>
      </c>
    </row>
    <row r="169" spans="1:53" x14ac:dyDescent="0.3">
      <c r="A169" t="s">
        <v>74</v>
      </c>
      <c r="B169" t="s">
        <v>399</v>
      </c>
      <c r="C169" t="s">
        <v>400</v>
      </c>
      <c r="D169" t="s">
        <v>73</v>
      </c>
      <c r="E169" t="e">
        <f t="shared" si="176"/>
        <v>#VALUE!</v>
      </c>
      <c r="F169">
        <v>40</v>
      </c>
      <c r="G169">
        <f t="shared" si="177"/>
        <v>21.200000000000003</v>
      </c>
      <c r="H169">
        <v>924</v>
      </c>
      <c r="I169">
        <f t="shared" si="178"/>
        <v>924</v>
      </c>
      <c r="J169">
        <v>10696</v>
      </c>
      <c r="K169">
        <f t="shared" si="179"/>
        <v>16044</v>
      </c>
      <c r="L169" t="s">
        <v>73</v>
      </c>
      <c r="M169" t="e">
        <f t="shared" si="180"/>
        <v>#VALUE!</v>
      </c>
      <c r="N169" t="s">
        <v>73</v>
      </c>
      <c r="O169" t="e">
        <f t="shared" si="181"/>
        <v>#VALUE!</v>
      </c>
      <c r="P169">
        <v>30</v>
      </c>
      <c r="Q169">
        <f t="shared" si="182"/>
        <v>15.9</v>
      </c>
      <c r="R169">
        <v>924</v>
      </c>
      <c r="S169">
        <f t="shared" si="183"/>
        <v>924</v>
      </c>
      <c r="T169">
        <v>8839</v>
      </c>
      <c r="U169">
        <f t="shared" si="184"/>
        <v>13258.5</v>
      </c>
      <c r="V169" t="s">
        <v>73</v>
      </c>
      <c r="W169" t="e">
        <f t="shared" ref="W169" si="236">V169*1.3</f>
        <v>#VALUE!</v>
      </c>
      <c r="X169" t="s">
        <v>73</v>
      </c>
      <c r="Y169" t="e">
        <f t="shared" si="186"/>
        <v>#VALUE!</v>
      </c>
      <c r="Z169">
        <v>30</v>
      </c>
      <c r="AA169">
        <f t="shared" si="187"/>
        <v>15.9</v>
      </c>
      <c r="AB169">
        <v>660</v>
      </c>
      <c r="AC169">
        <f t="shared" si="188"/>
        <v>660</v>
      </c>
      <c r="AD169">
        <v>9600</v>
      </c>
      <c r="AE169">
        <f t="shared" si="189"/>
        <v>14400</v>
      </c>
      <c r="AF169">
        <v>2800</v>
      </c>
      <c r="AG169">
        <f t="shared" si="190"/>
        <v>3640</v>
      </c>
      <c r="AH169" t="s">
        <v>73</v>
      </c>
      <c r="AI169" t="e">
        <f t="shared" si="191"/>
        <v>#VALUE!</v>
      </c>
      <c r="AJ169">
        <v>37</v>
      </c>
      <c r="AK169">
        <f t="shared" si="192"/>
        <v>19.61</v>
      </c>
      <c r="AL169">
        <v>924</v>
      </c>
      <c r="AM169">
        <f t="shared" si="193"/>
        <v>924</v>
      </c>
      <c r="AN169">
        <v>8889</v>
      </c>
      <c r="AO169">
        <f t="shared" si="194"/>
        <v>13333.5</v>
      </c>
      <c r="AP169" t="s">
        <v>73</v>
      </c>
      <c r="AQ169" t="e">
        <f t="shared" si="195"/>
        <v>#VALUE!</v>
      </c>
      <c r="AR169" t="s">
        <v>73</v>
      </c>
      <c r="AS169" t="e">
        <f t="shared" si="196"/>
        <v>#VALUE!</v>
      </c>
      <c r="AT169">
        <v>36</v>
      </c>
      <c r="AU169">
        <f t="shared" si="197"/>
        <v>19.080000000000002</v>
      </c>
      <c r="AV169">
        <v>924</v>
      </c>
      <c r="AW169">
        <f t="shared" si="198"/>
        <v>924</v>
      </c>
      <c r="AX169">
        <v>9202</v>
      </c>
      <c r="AY169">
        <f t="shared" si="199"/>
        <v>13803</v>
      </c>
      <c r="AZ169">
        <v>450</v>
      </c>
      <c r="BA169">
        <f t="shared" si="200"/>
        <v>585</v>
      </c>
    </row>
    <row r="170" spans="1:53" x14ac:dyDescent="0.3">
      <c r="A170" t="s">
        <v>74</v>
      </c>
      <c r="B170" t="s">
        <v>401</v>
      </c>
      <c r="C170" t="s">
        <v>402</v>
      </c>
      <c r="D170" t="s">
        <v>73</v>
      </c>
      <c r="E170" t="e">
        <f t="shared" si="176"/>
        <v>#VALUE!</v>
      </c>
      <c r="F170">
        <v>30</v>
      </c>
      <c r="G170">
        <f t="shared" si="177"/>
        <v>15.9</v>
      </c>
      <c r="H170">
        <v>1456</v>
      </c>
      <c r="I170">
        <f t="shared" si="178"/>
        <v>1456</v>
      </c>
      <c r="J170">
        <v>563</v>
      </c>
      <c r="K170">
        <f t="shared" si="179"/>
        <v>844.5</v>
      </c>
      <c r="L170" t="s">
        <v>73</v>
      </c>
      <c r="M170" t="e">
        <f t="shared" si="180"/>
        <v>#VALUE!</v>
      </c>
      <c r="N170" t="s">
        <v>73</v>
      </c>
      <c r="O170" t="e">
        <f t="shared" si="181"/>
        <v>#VALUE!</v>
      </c>
      <c r="P170">
        <v>30</v>
      </c>
      <c r="Q170">
        <f t="shared" si="182"/>
        <v>15.9</v>
      </c>
      <c r="R170">
        <v>1381</v>
      </c>
      <c r="S170">
        <f t="shared" si="183"/>
        <v>1381</v>
      </c>
      <c r="T170">
        <v>765</v>
      </c>
      <c r="U170">
        <f t="shared" si="184"/>
        <v>1147.5</v>
      </c>
      <c r="V170" t="s">
        <v>73</v>
      </c>
      <c r="W170" t="e">
        <f t="shared" ref="W170" si="237">V170*1.3</f>
        <v>#VALUE!</v>
      </c>
      <c r="X170" t="s">
        <v>73</v>
      </c>
      <c r="Y170" t="e">
        <f t="shared" si="186"/>
        <v>#VALUE!</v>
      </c>
      <c r="Z170">
        <v>30</v>
      </c>
      <c r="AA170">
        <f t="shared" si="187"/>
        <v>15.9</v>
      </c>
      <c r="AB170">
        <v>180</v>
      </c>
      <c r="AC170">
        <f t="shared" si="188"/>
        <v>180</v>
      </c>
      <c r="AD170">
        <v>1080</v>
      </c>
      <c r="AE170">
        <f t="shared" si="189"/>
        <v>1620</v>
      </c>
      <c r="AF170" t="s">
        <v>73</v>
      </c>
      <c r="AG170" t="e">
        <f t="shared" si="190"/>
        <v>#VALUE!</v>
      </c>
      <c r="AH170" t="s">
        <v>73</v>
      </c>
      <c r="AI170" t="e">
        <f t="shared" si="191"/>
        <v>#VALUE!</v>
      </c>
      <c r="AJ170">
        <v>30</v>
      </c>
      <c r="AK170">
        <f t="shared" si="192"/>
        <v>15.9</v>
      </c>
      <c r="AL170">
        <v>1373</v>
      </c>
      <c r="AM170">
        <f t="shared" si="193"/>
        <v>1373</v>
      </c>
      <c r="AN170">
        <v>713</v>
      </c>
      <c r="AO170">
        <f t="shared" si="194"/>
        <v>1069.5</v>
      </c>
      <c r="AP170" t="s">
        <v>73</v>
      </c>
      <c r="AQ170" t="e">
        <f t="shared" si="195"/>
        <v>#VALUE!</v>
      </c>
      <c r="AR170" t="s">
        <v>73</v>
      </c>
      <c r="AS170" t="e">
        <f t="shared" si="196"/>
        <v>#VALUE!</v>
      </c>
      <c r="AT170">
        <v>30</v>
      </c>
      <c r="AU170">
        <f t="shared" si="197"/>
        <v>15.9</v>
      </c>
      <c r="AV170">
        <v>1366</v>
      </c>
      <c r="AW170">
        <f t="shared" si="198"/>
        <v>1366</v>
      </c>
      <c r="AX170">
        <v>2520</v>
      </c>
      <c r="AY170">
        <f t="shared" si="199"/>
        <v>3780</v>
      </c>
      <c r="AZ170">
        <v>75</v>
      </c>
      <c r="BA170">
        <f t="shared" si="200"/>
        <v>97.5</v>
      </c>
    </row>
    <row r="171" spans="1:53" x14ac:dyDescent="0.3">
      <c r="A171" t="s">
        <v>74</v>
      </c>
      <c r="B171" t="s">
        <v>403</v>
      </c>
      <c r="C171" t="s">
        <v>404</v>
      </c>
      <c r="D171" t="s">
        <v>73</v>
      </c>
      <c r="E171" t="e">
        <f t="shared" si="176"/>
        <v>#VALUE!</v>
      </c>
      <c r="F171">
        <v>237</v>
      </c>
      <c r="G171">
        <f t="shared" si="177"/>
        <v>125.61</v>
      </c>
      <c r="H171">
        <v>8320</v>
      </c>
      <c r="I171">
        <f t="shared" si="178"/>
        <v>8320</v>
      </c>
      <c r="J171">
        <v>8640</v>
      </c>
      <c r="K171">
        <f t="shared" si="179"/>
        <v>12960</v>
      </c>
      <c r="L171" t="s">
        <v>73</v>
      </c>
      <c r="M171" t="e">
        <f t="shared" si="180"/>
        <v>#VALUE!</v>
      </c>
      <c r="N171" t="s">
        <v>73</v>
      </c>
      <c r="O171" t="e">
        <f t="shared" si="181"/>
        <v>#VALUE!</v>
      </c>
      <c r="P171">
        <v>146</v>
      </c>
      <c r="Q171">
        <f t="shared" si="182"/>
        <v>77.38000000000001</v>
      </c>
      <c r="R171">
        <v>10800</v>
      </c>
      <c r="S171">
        <f t="shared" si="183"/>
        <v>10800</v>
      </c>
      <c r="T171">
        <v>10368</v>
      </c>
      <c r="U171">
        <f t="shared" si="184"/>
        <v>15552</v>
      </c>
      <c r="V171" t="s">
        <v>73</v>
      </c>
      <c r="W171" t="e">
        <f t="shared" ref="W171" si="238">V171*1.3</f>
        <v>#VALUE!</v>
      </c>
      <c r="X171" t="s">
        <v>73</v>
      </c>
      <c r="Y171" t="e">
        <f t="shared" si="186"/>
        <v>#VALUE!</v>
      </c>
      <c r="Z171">
        <v>180</v>
      </c>
      <c r="AA171">
        <f t="shared" si="187"/>
        <v>95.4</v>
      </c>
      <c r="AB171">
        <v>9000</v>
      </c>
      <c r="AC171">
        <f t="shared" si="188"/>
        <v>9000</v>
      </c>
      <c r="AD171">
        <v>10880</v>
      </c>
      <c r="AE171">
        <f t="shared" si="189"/>
        <v>16320</v>
      </c>
      <c r="AF171">
        <v>2280</v>
      </c>
      <c r="AG171">
        <f t="shared" si="190"/>
        <v>2964</v>
      </c>
      <c r="AH171" t="s">
        <v>73</v>
      </c>
      <c r="AI171" t="e">
        <f t="shared" si="191"/>
        <v>#VALUE!</v>
      </c>
      <c r="AJ171">
        <v>72</v>
      </c>
      <c r="AK171">
        <f t="shared" si="192"/>
        <v>38.160000000000004</v>
      </c>
      <c r="AL171">
        <v>14500</v>
      </c>
      <c r="AM171">
        <f t="shared" si="193"/>
        <v>14500</v>
      </c>
      <c r="AN171">
        <v>13500</v>
      </c>
      <c r="AO171">
        <f t="shared" si="194"/>
        <v>20250</v>
      </c>
      <c r="AP171">
        <v>1240</v>
      </c>
      <c r="AQ171">
        <f t="shared" si="195"/>
        <v>1612</v>
      </c>
      <c r="AR171" t="s">
        <v>73</v>
      </c>
      <c r="AS171" t="e">
        <f t="shared" si="196"/>
        <v>#VALUE!</v>
      </c>
      <c r="AT171">
        <v>110</v>
      </c>
      <c r="AU171">
        <f t="shared" si="197"/>
        <v>58.300000000000004</v>
      </c>
      <c r="AV171">
        <v>10000</v>
      </c>
      <c r="AW171">
        <f t="shared" si="198"/>
        <v>10000</v>
      </c>
      <c r="AX171">
        <v>12630</v>
      </c>
      <c r="AY171">
        <f t="shared" si="199"/>
        <v>18945</v>
      </c>
      <c r="AZ171">
        <v>1170</v>
      </c>
      <c r="BA171">
        <f t="shared" si="200"/>
        <v>1521</v>
      </c>
    </row>
    <row r="172" spans="1:53" x14ac:dyDescent="0.3">
      <c r="A172" t="s">
        <v>74</v>
      </c>
      <c r="B172" t="s">
        <v>405</v>
      </c>
      <c r="C172" t="s">
        <v>406</v>
      </c>
      <c r="D172" t="s">
        <v>73</v>
      </c>
      <c r="E172" t="e">
        <f t="shared" si="176"/>
        <v>#VALUE!</v>
      </c>
      <c r="F172">
        <v>64</v>
      </c>
      <c r="G172">
        <f t="shared" si="177"/>
        <v>33.92</v>
      </c>
      <c r="H172">
        <v>7080</v>
      </c>
      <c r="I172">
        <f t="shared" si="178"/>
        <v>7080</v>
      </c>
      <c r="J172">
        <v>13356</v>
      </c>
      <c r="K172">
        <f t="shared" si="179"/>
        <v>20034</v>
      </c>
      <c r="L172">
        <v>1860</v>
      </c>
      <c r="M172">
        <f t="shared" si="180"/>
        <v>2418</v>
      </c>
      <c r="N172" t="s">
        <v>73</v>
      </c>
      <c r="O172" t="e">
        <f t="shared" si="181"/>
        <v>#VALUE!</v>
      </c>
      <c r="P172">
        <v>57</v>
      </c>
      <c r="Q172">
        <f t="shared" si="182"/>
        <v>30.21</v>
      </c>
      <c r="R172">
        <v>9000</v>
      </c>
      <c r="S172">
        <f t="shared" si="183"/>
        <v>9000</v>
      </c>
      <c r="T172">
        <v>17808</v>
      </c>
      <c r="U172">
        <f t="shared" si="184"/>
        <v>26712</v>
      </c>
      <c r="V172">
        <v>6720</v>
      </c>
      <c r="W172">
        <f t="shared" ref="W172" si="239">V172*1.3</f>
        <v>8736</v>
      </c>
      <c r="X172" t="s">
        <v>73</v>
      </c>
      <c r="Y172" t="e">
        <f t="shared" si="186"/>
        <v>#VALUE!</v>
      </c>
      <c r="Z172">
        <v>54</v>
      </c>
      <c r="AA172">
        <f t="shared" si="187"/>
        <v>28.62</v>
      </c>
      <c r="AB172">
        <v>7020</v>
      </c>
      <c r="AC172">
        <f t="shared" si="188"/>
        <v>7020</v>
      </c>
      <c r="AD172">
        <v>30100</v>
      </c>
      <c r="AE172">
        <f t="shared" si="189"/>
        <v>45150</v>
      </c>
      <c r="AF172">
        <v>16800</v>
      </c>
      <c r="AG172">
        <f t="shared" si="190"/>
        <v>21840</v>
      </c>
      <c r="AH172" t="s">
        <v>73</v>
      </c>
      <c r="AI172" t="e">
        <f t="shared" si="191"/>
        <v>#VALUE!</v>
      </c>
      <c r="AJ172">
        <v>45</v>
      </c>
      <c r="AK172">
        <f t="shared" si="192"/>
        <v>23.85</v>
      </c>
      <c r="AL172">
        <v>5500</v>
      </c>
      <c r="AM172">
        <f t="shared" si="193"/>
        <v>5500</v>
      </c>
      <c r="AN172">
        <v>28314</v>
      </c>
      <c r="AO172">
        <f t="shared" si="194"/>
        <v>42471</v>
      </c>
      <c r="AP172">
        <v>8040</v>
      </c>
      <c r="AQ172">
        <f t="shared" si="195"/>
        <v>10452</v>
      </c>
      <c r="AR172" t="s">
        <v>73</v>
      </c>
      <c r="AS172" t="e">
        <f t="shared" si="196"/>
        <v>#VALUE!</v>
      </c>
      <c r="AT172">
        <v>54</v>
      </c>
      <c r="AU172">
        <f t="shared" si="197"/>
        <v>28.62</v>
      </c>
      <c r="AV172">
        <v>4320</v>
      </c>
      <c r="AW172">
        <f t="shared" si="198"/>
        <v>4320</v>
      </c>
      <c r="AX172">
        <v>27000</v>
      </c>
      <c r="AY172">
        <f t="shared" si="199"/>
        <v>40500</v>
      </c>
      <c r="AZ172">
        <v>9660</v>
      </c>
      <c r="BA172">
        <f t="shared" si="200"/>
        <v>12558</v>
      </c>
    </row>
    <row r="173" spans="1:53" x14ac:dyDescent="0.3">
      <c r="A173" t="s">
        <v>70</v>
      </c>
      <c r="B173" t="s">
        <v>407</v>
      </c>
      <c r="C173" t="s">
        <v>408</v>
      </c>
      <c r="D173">
        <v>14</v>
      </c>
      <c r="E173">
        <f t="shared" si="176"/>
        <v>16.8</v>
      </c>
      <c r="F173">
        <v>10460</v>
      </c>
      <c r="G173">
        <f t="shared" si="177"/>
        <v>5543.8</v>
      </c>
      <c r="H173">
        <v>162612</v>
      </c>
      <c r="I173">
        <f t="shared" si="178"/>
        <v>162612</v>
      </c>
      <c r="J173">
        <v>141129</v>
      </c>
      <c r="K173">
        <f t="shared" si="179"/>
        <v>211693.5</v>
      </c>
      <c r="L173">
        <v>2628</v>
      </c>
      <c r="M173">
        <f t="shared" si="180"/>
        <v>3416.4</v>
      </c>
      <c r="N173">
        <v>18</v>
      </c>
      <c r="O173">
        <f t="shared" si="181"/>
        <v>21.599999999999998</v>
      </c>
      <c r="P173">
        <v>16225</v>
      </c>
      <c r="Q173">
        <f t="shared" si="182"/>
        <v>8599.25</v>
      </c>
      <c r="R173">
        <v>256992</v>
      </c>
      <c r="S173">
        <f t="shared" si="183"/>
        <v>256992</v>
      </c>
      <c r="T173">
        <v>257460</v>
      </c>
      <c r="U173">
        <f t="shared" si="184"/>
        <v>386190</v>
      </c>
      <c r="V173">
        <v>3348</v>
      </c>
      <c r="W173">
        <f t="shared" ref="W173" si="240">V173*1.3</f>
        <v>4352.4000000000005</v>
      </c>
      <c r="X173">
        <v>15</v>
      </c>
      <c r="Y173">
        <f t="shared" si="186"/>
        <v>18</v>
      </c>
      <c r="Z173">
        <v>9924</v>
      </c>
      <c r="AA173">
        <f t="shared" si="187"/>
        <v>5259.72</v>
      </c>
      <c r="AB173">
        <v>149614</v>
      </c>
      <c r="AC173">
        <f t="shared" si="188"/>
        <v>149614</v>
      </c>
      <c r="AD173">
        <v>186821</v>
      </c>
      <c r="AE173">
        <f t="shared" si="189"/>
        <v>280231.5</v>
      </c>
      <c r="AF173">
        <v>23380</v>
      </c>
      <c r="AG173">
        <f t="shared" si="190"/>
        <v>30394</v>
      </c>
      <c r="AH173">
        <v>12</v>
      </c>
      <c r="AI173">
        <f t="shared" si="191"/>
        <v>14.399999999999999</v>
      </c>
      <c r="AJ173">
        <v>12114</v>
      </c>
      <c r="AK173">
        <f t="shared" si="192"/>
        <v>6420.42</v>
      </c>
      <c r="AL173">
        <v>234390</v>
      </c>
      <c r="AM173">
        <f t="shared" si="193"/>
        <v>234390</v>
      </c>
      <c r="AN173">
        <v>327780</v>
      </c>
      <c r="AO173">
        <f t="shared" si="194"/>
        <v>491670</v>
      </c>
      <c r="AP173">
        <v>11964</v>
      </c>
      <c r="AQ173">
        <f t="shared" si="195"/>
        <v>15553.2</v>
      </c>
      <c r="AR173">
        <v>11</v>
      </c>
      <c r="AS173">
        <f t="shared" si="196"/>
        <v>13.2</v>
      </c>
      <c r="AT173">
        <v>10459</v>
      </c>
      <c r="AU173">
        <f t="shared" si="197"/>
        <v>5543.27</v>
      </c>
      <c r="AV173">
        <v>115743</v>
      </c>
      <c r="AW173">
        <f t="shared" si="198"/>
        <v>115743</v>
      </c>
      <c r="AX173">
        <v>232880</v>
      </c>
      <c r="AY173">
        <f t="shared" si="199"/>
        <v>349320</v>
      </c>
      <c r="AZ173">
        <v>13164</v>
      </c>
      <c r="BA173">
        <f t="shared" si="200"/>
        <v>17113.2</v>
      </c>
    </row>
    <row r="174" spans="1:53" x14ac:dyDescent="0.3">
      <c r="A174" t="s">
        <v>74</v>
      </c>
      <c r="B174" t="s">
        <v>409</v>
      </c>
      <c r="C174" t="s">
        <v>410</v>
      </c>
      <c r="D174" t="s">
        <v>73</v>
      </c>
      <c r="E174" t="e">
        <f t="shared" si="176"/>
        <v>#VALUE!</v>
      </c>
      <c r="F174">
        <v>600</v>
      </c>
      <c r="G174">
        <f t="shared" si="177"/>
        <v>318</v>
      </c>
      <c r="H174">
        <v>11280</v>
      </c>
      <c r="I174">
        <f t="shared" si="178"/>
        <v>11280</v>
      </c>
      <c r="J174">
        <v>5775</v>
      </c>
      <c r="K174">
        <f t="shared" si="179"/>
        <v>8662.5</v>
      </c>
      <c r="L174" t="s">
        <v>73</v>
      </c>
      <c r="M174" t="e">
        <f t="shared" si="180"/>
        <v>#VALUE!</v>
      </c>
      <c r="N174" t="s">
        <v>73</v>
      </c>
      <c r="O174" t="e">
        <f t="shared" si="181"/>
        <v>#VALUE!</v>
      </c>
      <c r="P174">
        <v>840</v>
      </c>
      <c r="Q174">
        <f t="shared" si="182"/>
        <v>445.20000000000005</v>
      </c>
      <c r="R174">
        <v>15840</v>
      </c>
      <c r="S174">
        <f t="shared" si="183"/>
        <v>15840</v>
      </c>
      <c r="T174">
        <v>10800</v>
      </c>
      <c r="U174">
        <f t="shared" si="184"/>
        <v>16200</v>
      </c>
      <c r="V174" t="s">
        <v>73</v>
      </c>
      <c r="W174" t="e">
        <f t="shared" ref="W174" si="241">V174*1.3</f>
        <v>#VALUE!</v>
      </c>
      <c r="X174" t="s">
        <v>73</v>
      </c>
      <c r="Y174" t="e">
        <f t="shared" si="186"/>
        <v>#VALUE!</v>
      </c>
      <c r="Z174">
        <v>720</v>
      </c>
      <c r="AA174">
        <f t="shared" si="187"/>
        <v>381.6</v>
      </c>
      <c r="AB174">
        <v>7200</v>
      </c>
      <c r="AC174">
        <f t="shared" si="188"/>
        <v>7200</v>
      </c>
      <c r="AD174">
        <v>8160</v>
      </c>
      <c r="AE174">
        <f t="shared" si="189"/>
        <v>12240</v>
      </c>
      <c r="AF174">
        <v>120</v>
      </c>
      <c r="AG174">
        <f t="shared" si="190"/>
        <v>156</v>
      </c>
      <c r="AH174" t="s">
        <v>73</v>
      </c>
      <c r="AI174" t="e">
        <f t="shared" si="191"/>
        <v>#VALUE!</v>
      </c>
      <c r="AJ174">
        <v>720</v>
      </c>
      <c r="AK174">
        <f t="shared" si="192"/>
        <v>381.6</v>
      </c>
      <c r="AL174">
        <v>14400</v>
      </c>
      <c r="AM174">
        <f t="shared" si="193"/>
        <v>14400</v>
      </c>
      <c r="AN174">
        <v>12240</v>
      </c>
      <c r="AO174">
        <f t="shared" si="194"/>
        <v>18360</v>
      </c>
      <c r="AP174">
        <v>180</v>
      </c>
      <c r="AQ174">
        <f t="shared" si="195"/>
        <v>234</v>
      </c>
      <c r="AR174" t="s">
        <v>73</v>
      </c>
      <c r="AS174" t="e">
        <f t="shared" si="196"/>
        <v>#VALUE!</v>
      </c>
      <c r="AT174">
        <v>864</v>
      </c>
      <c r="AU174">
        <f t="shared" si="197"/>
        <v>457.92</v>
      </c>
      <c r="AV174">
        <v>7200</v>
      </c>
      <c r="AW174">
        <f t="shared" si="198"/>
        <v>7200</v>
      </c>
      <c r="AX174">
        <v>8820</v>
      </c>
      <c r="AY174">
        <f t="shared" si="199"/>
        <v>13230</v>
      </c>
      <c r="AZ174">
        <v>768</v>
      </c>
      <c r="BA174">
        <f t="shared" si="200"/>
        <v>998.40000000000009</v>
      </c>
    </row>
    <row r="175" spans="1:53" x14ac:dyDescent="0.3">
      <c r="A175" t="s">
        <v>74</v>
      </c>
      <c r="B175" t="s">
        <v>411</v>
      </c>
      <c r="C175" t="s">
        <v>412</v>
      </c>
      <c r="D175" t="s">
        <v>73</v>
      </c>
      <c r="E175" t="e">
        <f t="shared" si="176"/>
        <v>#VALUE!</v>
      </c>
      <c r="F175">
        <v>420</v>
      </c>
      <c r="G175">
        <f t="shared" si="177"/>
        <v>222.60000000000002</v>
      </c>
      <c r="H175">
        <v>7800</v>
      </c>
      <c r="I175">
        <f t="shared" si="178"/>
        <v>7800</v>
      </c>
      <c r="J175">
        <v>4290</v>
      </c>
      <c r="K175">
        <f t="shared" si="179"/>
        <v>6435</v>
      </c>
      <c r="L175" t="s">
        <v>73</v>
      </c>
      <c r="M175" t="e">
        <f t="shared" si="180"/>
        <v>#VALUE!</v>
      </c>
      <c r="N175" t="s">
        <v>73</v>
      </c>
      <c r="O175" t="e">
        <f t="shared" si="181"/>
        <v>#VALUE!</v>
      </c>
      <c r="P175">
        <v>480</v>
      </c>
      <c r="Q175">
        <f t="shared" si="182"/>
        <v>254.4</v>
      </c>
      <c r="R175">
        <v>6000</v>
      </c>
      <c r="S175">
        <f t="shared" si="183"/>
        <v>6000</v>
      </c>
      <c r="T175">
        <v>5400</v>
      </c>
      <c r="U175">
        <f t="shared" si="184"/>
        <v>8100</v>
      </c>
      <c r="V175" t="s">
        <v>73</v>
      </c>
      <c r="W175" t="e">
        <f t="shared" ref="W175" si="242">V175*1.3</f>
        <v>#VALUE!</v>
      </c>
      <c r="X175" t="s">
        <v>73</v>
      </c>
      <c r="Y175" t="e">
        <f t="shared" si="186"/>
        <v>#VALUE!</v>
      </c>
      <c r="Z175">
        <v>360</v>
      </c>
      <c r="AA175">
        <f t="shared" si="187"/>
        <v>190.8</v>
      </c>
      <c r="AB175">
        <v>5760</v>
      </c>
      <c r="AC175">
        <f t="shared" si="188"/>
        <v>5760</v>
      </c>
      <c r="AD175">
        <v>5760</v>
      </c>
      <c r="AE175">
        <f t="shared" si="189"/>
        <v>8640</v>
      </c>
      <c r="AF175">
        <v>240</v>
      </c>
      <c r="AG175">
        <f t="shared" si="190"/>
        <v>312</v>
      </c>
      <c r="AH175" t="s">
        <v>73</v>
      </c>
      <c r="AI175" t="e">
        <f t="shared" si="191"/>
        <v>#VALUE!</v>
      </c>
      <c r="AJ175">
        <v>540</v>
      </c>
      <c r="AK175">
        <f t="shared" si="192"/>
        <v>286.2</v>
      </c>
      <c r="AL175">
        <v>2880</v>
      </c>
      <c r="AM175">
        <f t="shared" si="193"/>
        <v>2880</v>
      </c>
      <c r="AN175">
        <v>6720</v>
      </c>
      <c r="AO175">
        <f t="shared" si="194"/>
        <v>10080</v>
      </c>
      <c r="AP175">
        <v>150</v>
      </c>
      <c r="AQ175">
        <f t="shared" si="195"/>
        <v>195</v>
      </c>
      <c r="AR175" t="s">
        <v>73</v>
      </c>
      <c r="AS175" t="e">
        <f t="shared" si="196"/>
        <v>#VALUE!</v>
      </c>
      <c r="AT175">
        <v>630</v>
      </c>
      <c r="AU175">
        <f t="shared" si="197"/>
        <v>333.90000000000003</v>
      </c>
      <c r="AV175">
        <v>1920</v>
      </c>
      <c r="AW175">
        <f t="shared" si="198"/>
        <v>1920</v>
      </c>
      <c r="AX175">
        <v>5760</v>
      </c>
      <c r="AY175">
        <f t="shared" si="199"/>
        <v>8640</v>
      </c>
      <c r="AZ175">
        <v>360</v>
      </c>
      <c r="BA175">
        <f t="shared" si="200"/>
        <v>468</v>
      </c>
    </row>
    <row r="176" spans="1:53" x14ac:dyDescent="0.3">
      <c r="A176" t="s">
        <v>74</v>
      </c>
      <c r="B176" t="s">
        <v>413</v>
      </c>
      <c r="C176" t="s">
        <v>414</v>
      </c>
      <c r="D176" t="s">
        <v>73</v>
      </c>
      <c r="E176" t="e">
        <f t="shared" si="176"/>
        <v>#VALUE!</v>
      </c>
      <c r="F176">
        <v>60</v>
      </c>
      <c r="G176">
        <f t="shared" si="177"/>
        <v>31.8</v>
      </c>
      <c r="H176">
        <v>540</v>
      </c>
      <c r="I176">
        <f t="shared" si="178"/>
        <v>540</v>
      </c>
      <c r="J176" t="s">
        <v>73</v>
      </c>
      <c r="K176" t="e">
        <f t="shared" si="179"/>
        <v>#VALUE!</v>
      </c>
      <c r="L176" t="s">
        <v>73</v>
      </c>
      <c r="M176" t="e">
        <f t="shared" si="180"/>
        <v>#VALUE!</v>
      </c>
      <c r="N176" t="s">
        <v>73</v>
      </c>
      <c r="O176" t="e">
        <f t="shared" si="181"/>
        <v>#VALUE!</v>
      </c>
      <c r="P176">
        <v>105</v>
      </c>
      <c r="Q176">
        <f t="shared" si="182"/>
        <v>55.650000000000006</v>
      </c>
      <c r="R176">
        <v>720</v>
      </c>
      <c r="S176">
        <f t="shared" si="183"/>
        <v>720</v>
      </c>
      <c r="T176" t="s">
        <v>73</v>
      </c>
      <c r="U176" t="e">
        <f t="shared" si="184"/>
        <v>#VALUE!</v>
      </c>
      <c r="V176" t="s">
        <v>73</v>
      </c>
      <c r="W176" t="e">
        <f t="shared" ref="W176" si="243">V176*1.3</f>
        <v>#VALUE!</v>
      </c>
      <c r="X176" t="s">
        <v>73</v>
      </c>
      <c r="Y176" t="e">
        <f t="shared" si="186"/>
        <v>#VALUE!</v>
      </c>
      <c r="Z176">
        <v>116</v>
      </c>
      <c r="AA176">
        <f t="shared" si="187"/>
        <v>61.480000000000004</v>
      </c>
      <c r="AB176">
        <v>720</v>
      </c>
      <c r="AC176">
        <f t="shared" si="188"/>
        <v>720</v>
      </c>
      <c r="AD176" t="s">
        <v>73</v>
      </c>
      <c r="AE176" t="e">
        <f t="shared" si="189"/>
        <v>#VALUE!</v>
      </c>
      <c r="AF176" t="s">
        <v>73</v>
      </c>
      <c r="AG176" t="e">
        <f t="shared" si="190"/>
        <v>#VALUE!</v>
      </c>
      <c r="AH176" t="s">
        <v>73</v>
      </c>
      <c r="AI176" t="e">
        <f t="shared" si="191"/>
        <v>#VALUE!</v>
      </c>
      <c r="AJ176">
        <v>99</v>
      </c>
      <c r="AK176">
        <f t="shared" si="192"/>
        <v>52.470000000000006</v>
      </c>
      <c r="AL176">
        <v>630</v>
      </c>
      <c r="AM176">
        <f t="shared" si="193"/>
        <v>630</v>
      </c>
      <c r="AN176" t="s">
        <v>73</v>
      </c>
      <c r="AO176" t="e">
        <f t="shared" si="194"/>
        <v>#VALUE!</v>
      </c>
      <c r="AP176" t="s">
        <v>73</v>
      </c>
      <c r="AQ176" t="e">
        <f t="shared" si="195"/>
        <v>#VALUE!</v>
      </c>
      <c r="AR176" t="s">
        <v>73</v>
      </c>
      <c r="AS176" t="e">
        <f t="shared" si="196"/>
        <v>#VALUE!</v>
      </c>
      <c r="AT176">
        <v>21</v>
      </c>
      <c r="AU176">
        <f t="shared" si="197"/>
        <v>11.13</v>
      </c>
      <c r="AV176">
        <v>315</v>
      </c>
      <c r="AW176">
        <f t="shared" si="198"/>
        <v>315</v>
      </c>
      <c r="AX176" t="s">
        <v>73</v>
      </c>
      <c r="AY176" t="e">
        <f t="shared" si="199"/>
        <v>#VALUE!</v>
      </c>
      <c r="AZ176" t="s">
        <v>73</v>
      </c>
      <c r="BA176" t="e">
        <f t="shared" si="200"/>
        <v>#VALUE!</v>
      </c>
    </row>
    <row r="177" spans="1:53" x14ac:dyDescent="0.3">
      <c r="A177" t="s">
        <v>74</v>
      </c>
      <c r="B177" t="s">
        <v>415</v>
      </c>
      <c r="C177" t="s">
        <v>416</v>
      </c>
      <c r="D177" t="s">
        <v>73</v>
      </c>
      <c r="E177" t="e">
        <f t="shared" si="176"/>
        <v>#VALUE!</v>
      </c>
      <c r="F177">
        <v>360</v>
      </c>
      <c r="G177">
        <f t="shared" si="177"/>
        <v>190.8</v>
      </c>
      <c r="H177">
        <v>9600</v>
      </c>
      <c r="I177">
        <f t="shared" si="178"/>
        <v>9600</v>
      </c>
      <c r="J177">
        <v>20400</v>
      </c>
      <c r="K177">
        <f t="shared" si="179"/>
        <v>30600</v>
      </c>
      <c r="L177">
        <v>360</v>
      </c>
      <c r="M177">
        <f t="shared" si="180"/>
        <v>468</v>
      </c>
      <c r="N177" t="s">
        <v>73</v>
      </c>
      <c r="O177" t="e">
        <f t="shared" si="181"/>
        <v>#VALUE!</v>
      </c>
      <c r="P177">
        <v>480</v>
      </c>
      <c r="Q177">
        <f t="shared" si="182"/>
        <v>254.4</v>
      </c>
      <c r="R177">
        <v>15000</v>
      </c>
      <c r="S177">
        <f t="shared" si="183"/>
        <v>15000</v>
      </c>
      <c r="T177">
        <v>30960</v>
      </c>
      <c r="U177">
        <f t="shared" si="184"/>
        <v>46440</v>
      </c>
      <c r="V177">
        <v>360</v>
      </c>
      <c r="W177">
        <f t="shared" ref="W177" si="244">V177*1.3</f>
        <v>468</v>
      </c>
      <c r="X177" t="s">
        <v>73</v>
      </c>
      <c r="Y177" t="e">
        <f t="shared" si="186"/>
        <v>#VALUE!</v>
      </c>
      <c r="Z177">
        <v>414</v>
      </c>
      <c r="AA177">
        <f t="shared" si="187"/>
        <v>219.42000000000002</v>
      </c>
      <c r="AB177">
        <v>18000</v>
      </c>
      <c r="AC177">
        <f t="shared" si="188"/>
        <v>18000</v>
      </c>
      <c r="AD177">
        <v>21600</v>
      </c>
      <c r="AE177">
        <f t="shared" si="189"/>
        <v>32400</v>
      </c>
      <c r="AF177">
        <v>2520</v>
      </c>
      <c r="AG177">
        <f t="shared" si="190"/>
        <v>3276</v>
      </c>
      <c r="AH177" t="s">
        <v>73</v>
      </c>
      <c r="AI177" t="e">
        <f t="shared" si="191"/>
        <v>#VALUE!</v>
      </c>
      <c r="AJ177">
        <v>489</v>
      </c>
      <c r="AK177">
        <f t="shared" si="192"/>
        <v>259.17</v>
      </c>
      <c r="AL177">
        <v>27000</v>
      </c>
      <c r="AM177">
        <f t="shared" si="193"/>
        <v>27000</v>
      </c>
      <c r="AN177">
        <v>33600</v>
      </c>
      <c r="AO177">
        <f t="shared" si="194"/>
        <v>50400</v>
      </c>
      <c r="AP177">
        <v>720</v>
      </c>
      <c r="AQ177">
        <f t="shared" si="195"/>
        <v>936</v>
      </c>
      <c r="AR177" t="s">
        <v>73</v>
      </c>
      <c r="AS177" t="e">
        <f t="shared" si="196"/>
        <v>#VALUE!</v>
      </c>
      <c r="AT177">
        <v>369</v>
      </c>
      <c r="AU177">
        <f t="shared" si="197"/>
        <v>195.57000000000002</v>
      </c>
      <c r="AV177">
        <v>6000</v>
      </c>
      <c r="AW177">
        <f t="shared" si="198"/>
        <v>6000</v>
      </c>
      <c r="AX177">
        <v>19460</v>
      </c>
      <c r="AY177">
        <f t="shared" si="199"/>
        <v>29190</v>
      </c>
      <c r="AZ177">
        <v>1260</v>
      </c>
      <c r="BA177">
        <f t="shared" si="200"/>
        <v>1638</v>
      </c>
    </row>
    <row r="178" spans="1:53" x14ac:dyDescent="0.3">
      <c r="A178" t="s">
        <v>74</v>
      </c>
      <c r="B178" t="s">
        <v>417</v>
      </c>
      <c r="C178" t="s">
        <v>418</v>
      </c>
      <c r="D178">
        <v>10</v>
      </c>
      <c r="E178">
        <f t="shared" si="176"/>
        <v>12</v>
      </c>
      <c r="F178">
        <v>1820</v>
      </c>
      <c r="G178">
        <f t="shared" si="177"/>
        <v>964.6</v>
      </c>
      <c r="H178">
        <v>24000</v>
      </c>
      <c r="I178">
        <f t="shared" si="178"/>
        <v>24000</v>
      </c>
      <c r="J178">
        <v>21600</v>
      </c>
      <c r="K178">
        <f t="shared" si="179"/>
        <v>32400</v>
      </c>
      <c r="L178">
        <v>1260</v>
      </c>
      <c r="M178">
        <f t="shared" si="180"/>
        <v>1638</v>
      </c>
      <c r="N178">
        <v>12</v>
      </c>
      <c r="O178">
        <f t="shared" si="181"/>
        <v>14.399999999999999</v>
      </c>
      <c r="P178">
        <v>3120</v>
      </c>
      <c r="Q178">
        <f t="shared" si="182"/>
        <v>1653.6000000000001</v>
      </c>
      <c r="R178">
        <v>36000</v>
      </c>
      <c r="S178">
        <f t="shared" si="183"/>
        <v>36000</v>
      </c>
      <c r="T178">
        <v>42780</v>
      </c>
      <c r="U178">
        <f t="shared" si="184"/>
        <v>64170</v>
      </c>
      <c r="V178">
        <v>1260</v>
      </c>
      <c r="W178">
        <f t="shared" ref="W178" si="245">V178*1.3</f>
        <v>1638</v>
      </c>
      <c r="X178">
        <v>9</v>
      </c>
      <c r="Y178">
        <f t="shared" si="186"/>
        <v>10.799999999999999</v>
      </c>
      <c r="Z178">
        <v>1950</v>
      </c>
      <c r="AA178">
        <f t="shared" si="187"/>
        <v>1033.5</v>
      </c>
      <c r="AB178">
        <v>14700</v>
      </c>
      <c r="AC178">
        <f t="shared" si="188"/>
        <v>14700</v>
      </c>
      <c r="AD178">
        <v>35100</v>
      </c>
      <c r="AE178">
        <f t="shared" si="189"/>
        <v>52650</v>
      </c>
      <c r="AF178">
        <v>9450</v>
      </c>
      <c r="AG178">
        <f t="shared" si="190"/>
        <v>12285</v>
      </c>
      <c r="AH178">
        <v>6</v>
      </c>
      <c r="AI178">
        <f t="shared" si="191"/>
        <v>7.1999999999999993</v>
      </c>
      <c r="AJ178">
        <v>960</v>
      </c>
      <c r="AK178">
        <f t="shared" si="192"/>
        <v>508.8</v>
      </c>
      <c r="AL178">
        <v>27000</v>
      </c>
      <c r="AM178">
        <f t="shared" si="193"/>
        <v>27000</v>
      </c>
      <c r="AN178">
        <v>52080</v>
      </c>
      <c r="AO178">
        <f t="shared" si="194"/>
        <v>78120</v>
      </c>
      <c r="AP178">
        <v>1530</v>
      </c>
      <c r="AQ178">
        <f t="shared" si="195"/>
        <v>1989</v>
      </c>
      <c r="AR178">
        <v>6</v>
      </c>
      <c r="AS178">
        <f t="shared" si="196"/>
        <v>7.1999999999999993</v>
      </c>
      <c r="AT178">
        <v>924</v>
      </c>
      <c r="AU178">
        <f t="shared" si="197"/>
        <v>489.72</v>
      </c>
      <c r="AV178">
        <v>19200</v>
      </c>
      <c r="AW178">
        <f t="shared" si="198"/>
        <v>19200</v>
      </c>
      <c r="AX178">
        <v>35520</v>
      </c>
      <c r="AY178">
        <f t="shared" si="199"/>
        <v>53280</v>
      </c>
      <c r="AZ178">
        <v>2880</v>
      </c>
      <c r="BA178">
        <f t="shared" si="200"/>
        <v>3744</v>
      </c>
    </row>
    <row r="179" spans="1:53" x14ac:dyDescent="0.3">
      <c r="A179" t="s">
        <v>74</v>
      </c>
      <c r="B179" t="s">
        <v>419</v>
      </c>
      <c r="C179" t="s">
        <v>420</v>
      </c>
      <c r="D179" t="s">
        <v>73</v>
      </c>
      <c r="E179" t="e">
        <f t="shared" si="176"/>
        <v>#VALUE!</v>
      </c>
      <c r="F179">
        <v>480</v>
      </c>
      <c r="G179">
        <f t="shared" si="177"/>
        <v>254.4</v>
      </c>
      <c r="H179">
        <v>16200</v>
      </c>
      <c r="I179">
        <f t="shared" si="178"/>
        <v>16200</v>
      </c>
      <c r="J179">
        <v>14040</v>
      </c>
      <c r="K179">
        <f t="shared" si="179"/>
        <v>21060</v>
      </c>
      <c r="L179">
        <v>180</v>
      </c>
      <c r="M179">
        <f t="shared" si="180"/>
        <v>234</v>
      </c>
      <c r="N179" t="s">
        <v>73</v>
      </c>
      <c r="O179" t="e">
        <f t="shared" si="181"/>
        <v>#VALUE!</v>
      </c>
      <c r="P179">
        <v>960</v>
      </c>
      <c r="Q179">
        <f t="shared" si="182"/>
        <v>508.8</v>
      </c>
      <c r="R179">
        <v>26880</v>
      </c>
      <c r="S179">
        <f t="shared" si="183"/>
        <v>26880</v>
      </c>
      <c r="T179">
        <v>23064</v>
      </c>
      <c r="U179">
        <f t="shared" si="184"/>
        <v>34596</v>
      </c>
      <c r="V179">
        <v>540</v>
      </c>
      <c r="W179">
        <f t="shared" ref="W179" si="246">V179*1.3</f>
        <v>702</v>
      </c>
      <c r="X179" t="s">
        <v>73</v>
      </c>
      <c r="Y179" t="e">
        <f t="shared" si="186"/>
        <v>#VALUE!</v>
      </c>
      <c r="Z179">
        <v>346</v>
      </c>
      <c r="AA179">
        <f t="shared" si="187"/>
        <v>183.38</v>
      </c>
      <c r="AB179">
        <v>9600</v>
      </c>
      <c r="AC179">
        <f t="shared" si="188"/>
        <v>9600</v>
      </c>
      <c r="AD179">
        <v>16800</v>
      </c>
      <c r="AE179">
        <f t="shared" si="189"/>
        <v>25200</v>
      </c>
      <c r="AF179">
        <v>2550</v>
      </c>
      <c r="AG179">
        <f t="shared" si="190"/>
        <v>3315</v>
      </c>
      <c r="AH179" t="s">
        <v>73</v>
      </c>
      <c r="AI179" t="e">
        <f t="shared" si="191"/>
        <v>#VALUE!</v>
      </c>
      <c r="AJ179">
        <v>720</v>
      </c>
      <c r="AK179">
        <f t="shared" si="192"/>
        <v>381.6</v>
      </c>
      <c r="AL179">
        <v>28800</v>
      </c>
      <c r="AM179">
        <f t="shared" si="193"/>
        <v>28800</v>
      </c>
      <c r="AN179">
        <v>35100</v>
      </c>
      <c r="AO179">
        <f t="shared" si="194"/>
        <v>52650</v>
      </c>
      <c r="AP179">
        <v>1440</v>
      </c>
      <c r="AQ179">
        <f t="shared" si="195"/>
        <v>1872</v>
      </c>
      <c r="AR179" t="s">
        <v>73</v>
      </c>
      <c r="AS179" t="e">
        <f t="shared" si="196"/>
        <v>#VALUE!</v>
      </c>
      <c r="AT179">
        <v>360</v>
      </c>
      <c r="AU179">
        <f t="shared" si="197"/>
        <v>190.8</v>
      </c>
      <c r="AV179">
        <v>17136</v>
      </c>
      <c r="AW179">
        <f t="shared" si="198"/>
        <v>17136</v>
      </c>
      <c r="AX179">
        <v>23760</v>
      </c>
      <c r="AY179">
        <f t="shared" si="199"/>
        <v>35640</v>
      </c>
      <c r="AZ179">
        <v>2520</v>
      </c>
      <c r="BA179">
        <f t="shared" si="200"/>
        <v>3276</v>
      </c>
    </row>
    <row r="180" spans="1:53" x14ac:dyDescent="0.3">
      <c r="A180" t="s">
        <v>74</v>
      </c>
      <c r="B180" t="s">
        <v>421</v>
      </c>
      <c r="C180" t="s">
        <v>422</v>
      </c>
      <c r="D180" t="s">
        <v>73</v>
      </c>
      <c r="E180" t="e">
        <f t="shared" si="176"/>
        <v>#VALUE!</v>
      </c>
      <c r="F180">
        <v>12</v>
      </c>
      <c r="G180">
        <f t="shared" si="177"/>
        <v>6.36</v>
      </c>
      <c r="H180">
        <v>2592</v>
      </c>
      <c r="I180">
        <f t="shared" si="178"/>
        <v>2592</v>
      </c>
      <c r="J180">
        <v>1620</v>
      </c>
      <c r="K180">
        <f t="shared" si="179"/>
        <v>2430</v>
      </c>
      <c r="L180" t="s">
        <v>73</v>
      </c>
      <c r="M180" t="e">
        <f t="shared" si="180"/>
        <v>#VALUE!</v>
      </c>
      <c r="N180" t="s">
        <v>73</v>
      </c>
      <c r="O180" t="e">
        <f t="shared" si="181"/>
        <v>#VALUE!</v>
      </c>
      <c r="P180">
        <v>44</v>
      </c>
      <c r="Q180">
        <f t="shared" si="182"/>
        <v>23.32</v>
      </c>
      <c r="R180">
        <v>2592</v>
      </c>
      <c r="S180">
        <f t="shared" si="183"/>
        <v>2592</v>
      </c>
      <c r="T180">
        <v>2088</v>
      </c>
      <c r="U180">
        <f t="shared" si="184"/>
        <v>3132</v>
      </c>
      <c r="V180" t="s">
        <v>73</v>
      </c>
      <c r="W180" t="e">
        <f t="shared" ref="W180" si="247">V180*1.3</f>
        <v>#VALUE!</v>
      </c>
      <c r="X180" t="s">
        <v>73</v>
      </c>
      <c r="Y180" t="e">
        <f t="shared" si="186"/>
        <v>#VALUE!</v>
      </c>
      <c r="Z180">
        <v>45</v>
      </c>
      <c r="AA180">
        <f t="shared" si="187"/>
        <v>23.85</v>
      </c>
      <c r="AB180">
        <v>7000</v>
      </c>
      <c r="AC180">
        <f t="shared" si="188"/>
        <v>7000</v>
      </c>
      <c r="AD180">
        <v>3600</v>
      </c>
      <c r="AE180">
        <f t="shared" si="189"/>
        <v>5400</v>
      </c>
      <c r="AF180" t="s">
        <v>73</v>
      </c>
      <c r="AG180" t="e">
        <f t="shared" si="190"/>
        <v>#VALUE!</v>
      </c>
      <c r="AH180" t="s">
        <v>73</v>
      </c>
      <c r="AI180" t="e">
        <f t="shared" si="191"/>
        <v>#VALUE!</v>
      </c>
      <c r="AJ180">
        <v>42</v>
      </c>
      <c r="AK180">
        <f t="shared" si="192"/>
        <v>22.26</v>
      </c>
      <c r="AL180">
        <v>5700</v>
      </c>
      <c r="AM180">
        <f t="shared" si="193"/>
        <v>5700</v>
      </c>
      <c r="AN180">
        <v>3600</v>
      </c>
      <c r="AO180">
        <f t="shared" si="194"/>
        <v>5400</v>
      </c>
      <c r="AP180">
        <v>90</v>
      </c>
      <c r="AQ180">
        <f t="shared" si="195"/>
        <v>117</v>
      </c>
      <c r="AR180" t="s">
        <v>73</v>
      </c>
      <c r="AS180" t="e">
        <f t="shared" si="196"/>
        <v>#VALUE!</v>
      </c>
      <c r="AT180">
        <v>60</v>
      </c>
      <c r="AU180">
        <f t="shared" si="197"/>
        <v>31.8</v>
      </c>
      <c r="AV180">
        <v>4200</v>
      </c>
      <c r="AW180">
        <f t="shared" si="198"/>
        <v>4200</v>
      </c>
      <c r="AX180">
        <v>3240</v>
      </c>
      <c r="AY180">
        <f t="shared" si="199"/>
        <v>4860</v>
      </c>
      <c r="AZ180" t="s">
        <v>73</v>
      </c>
      <c r="BA180" t="e">
        <f t="shared" si="200"/>
        <v>#VALUE!</v>
      </c>
    </row>
    <row r="181" spans="1:53" x14ac:dyDescent="0.3">
      <c r="A181" t="s">
        <v>74</v>
      </c>
      <c r="B181" t="s">
        <v>423</v>
      </c>
      <c r="C181" t="s">
        <v>424</v>
      </c>
      <c r="D181">
        <v>4</v>
      </c>
      <c r="E181">
        <f t="shared" si="176"/>
        <v>4.8</v>
      </c>
      <c r="F181">
        <v>1500</v>
      </c>
      <c r="G181">
        <f t="shared" si="177"/>
        <v>795</v>
      </c>
      <c r="H181">
        <v>14400</v>
      </c>
      <c r="I181">
        <f t="shared" si="178"/>
        <v>14400</v>
      </c>
      <c r="J181">
        <v>10260</v>
      </c>
      <c r="K181">
        <f t="shared" si="179"/>
        <v>15390</v>
      </c>
      <c r="L181" t="s">
        <v>73</v>
      </c>
      <c r="M181" t="e">
        <f t="shared" si="180"/>
        <v>#VALUE!</v>
      </c>
      <c r="N181">
        <v>6</v>
      </c>
      <c r="O181">
        <f t="shared" si="181"/>
        <v>7.1999999999999993</v>
      </c>
      <c r="P181">
        <v>2640</v>
      </c>
      <c r="Q181">
        <f t="shared" si="182"/>
        <v>1399.2</v>
      </c>
      <c r="R181">
        <v>23400</v>
      </c>
      <c r="S181">
        <f t="shared" si="183"/>
        <v>23400</v>
      </c>
      <c r="T181">
        <v>17856</v>
      </c>
      <c r="U181">
        <f t="shared" si="184"/>
        <v>26784</v>
      </c>
      <c r="V181" t="s">
        <v>73</v>
      </c>
      <c r="W181" t="e">
        <f t="shared" ref="W181" si="248">V181*1.3</f>
        <v>#VALUE!</v>
      </c>
      <c r="X181">
        <v>6</v>
      </c>
      <c r="Y181">
        <f t="shared" si="186"/>
        <v>7.1999999999999993</v>
      </c>
      <c r="Z181">
        <v>810</v>
      </c>
      <c r="AA181">
        <f t="shared" si="187"/>
        <v>429.3</v>
      </c>
      <c r="AB181">
        <v>6900</v>
      </c>
      <c r="AC181">
        <f t="shared" si="188"/>
        <v>6900</v>
      </c>
      <c r="AD181">
        <v>11760</v>
      </c>
      <c r="AE181">
        <f t="shared" si="189"/>
        <v>17640</v>
      </c>
      <c r="AF181">
        <v>720</v>
      </c>
      <c r="AG181">
        <f t="shared" si="190"/>
        <v>936</v>
      </c>
      <c r="AH181">
        <v>6</v>
      </c>
      <c r="AI181">
        <f t="shared" si="191"/>
        <v>7.1999999999999993</v>
      </c>
      <c r="AJ181">
        <v>1440</v>
      </c>
      <c r="AK181">
        <f t="shared" si="192"/>
        <v>763.2</v>
      </c>
      <c r="AL181">
        <v>15120</v>
      </c>
      <c r="AM181">
        <f t="shared" si="193"/>
        <v>15120</v>
      </c>
      <c r="AN181">
        <v>25620</v>
      </c>
      <c r="AO181">
        <f t="shared" si="194"/>
        <v>38430</v>
      </c>
      <c r="AP181">
        <v>1200</v>
      </c>
      <c r="AQ181">
        <f t="shared" si="195"/>
        <v>1560</v>
      </c>
      <c r="AR181">
        <v>5</v>
      </c>
      <c r="AS181">
        <f t="shared" si="196"/>
        <v>6</v>
      </c>
      <c r="AT181">
        <v>1440</v>
      </c>
      <c r="AU181">
        <f t="shared" si="197"/>
        <v>763.2</v>
      </c>
      <c r="AV181">
        <v>11520</v>
      </c>
      <c r="AW181">
        <f t="shared" si="198"/>
        <v>11520</v>
      </c>
      <c r="AX181">
        <v>18300</v>
      </c>
      <c r="AY181">
        <f t="shared" si="199"/>
        <v>27450</v>
      </c>
      <c r="AZ181">
        <v>1680</v>
      </c>
      <c r="BA181">
        <f t="shared" si="200"/>
        <v>2184</v>
      </c>
    </row>
    <row r="182" spans="1:53" x14ac:dyDescent="0.3">
      <c r="A182" t="s">
        <v>74</v>
      </c>
      <c r="B182" t="s">
        <v>425</v>
      </c>
      <c r="C182" t="s">
        <v>426</v>
      </c>
      <c r="D182" t="s">
        <v>73</v>
      </c>
      <c r="E182" t="e">
        <f t="shared" si="176"/>
        <v>#VALUE!</v>
      </c>
      <c r="F182">
        <v>375</v>
      </c>
      <c r="G182">
        <f t="shared" si="177"/>
        <v>198.75</v>
      </c>
      <c r="H182">
        <v>10800</v>
      </c>
      <c r="I182">
        <f t="shared" si="178"/>
        <v>10800</v>
      </c>
      <c r="J182">
        <v>8496</v>
      </c>
      <c r="K182">
        <f t="shared" si="179"/>
        <v>12744</v>
      </c>
      <c r="L182">
        <v>360</v>
      </c>
      <c r="M182">
        <f t="shared" si="180"/>
        <v>468</v>
      </c>
      <c r="N182" t="s">
        <v>73</v>
      </c>
      <c r="O182" t="e">
        <f t="shared" si="181"/>
        <v>#VALUE!</v>
      </c>
      <c r="P182">
        <v>420</v>
      </c>
      <c r="Q182">
        <f t="shared" si="182"/>
        <v>222.60000000000002</v>
      </c>
      <c r="R182">
        <v>16200</v>
      </c>
      <c r="S182">
        <f t="shared" si="183"/>
        <v>16200</v>
      </c>
      <c r="T182">
        <v>12744</v>
      </c>
      <c r="U182">
        <f t="shared" si="184"/>
        <v>19116</v>
      </c>
      <c r="V182">
        <v>360</v>
      </c>
      <c r="W182">
        <f t="shared" ref="W182" si="249">V182*1.3</f>
        <v>468</v>
      </c>
      <c r="X182" t="s">
        <v>73</v>
      </c>
      <c r="Y182" t="e">
        <f t="shared" si="186"/>
        <v>#VALUE!</v>
      </c>
      <c r="Z182">
        <v>375</v>
      </c>
      <c r="AA182">
        <f t="shared" si="187"/>
        <v>198.75</v>
      </c>
      <c r="AB182">
        <v>10800</v>
      </c>
      <c r="AC182">
        <f t="shared" si="188"/>
        <v>10800</v>
      </c>
      <c r="AD182">
        <v>13500</v>
      </c>
      <c r="AE182">
        <f t="shared" si="189"/>
        <v>20250</v>
      </c>
      <c r="AF182" t="s">
        <v>73</v>
      </c>
      <c r="AG182" t="e">
        <f t="shared" si="190"/>
        <v>#VALUE!</v>
      </c>
      <c r="AH182" t="s">
        <v>73</v>
      </c>
      <c r="AI182" t="e">
        <f t="shared" si="191"/>
        <v>#VALUE!</v>
      </c>
      <c r="AJ182">
        <v>216</v>
      </c>
      <c r="AK182">
        <f t="shared" si="192"/>
        <v>114.48</v>
      </c>
      <c r="AL182">
        <v>7200</v>
      </c>
      <c r="AM182">
        <f t="shared" si="193"/>
        <v>7200</v>
      </c>
      <c r="AN182">
        <v>22260</v>
      </c>
      <c r="AO182">
        <f t="shared" si="194"/>
        <v>33390</v>
      </c>
      <c r="AP182">
        <v>510</v>
      </c>
      <c r="AQ182">
        <f t="shared" si="195"/>
        <v>663</v>
      </c>
      <c r="AR182" t="s">
        <v>73</v>
      </c>
      <c r="AS182" t="e">
        <f t="shared" si="196"/>
        <v>#VALUE!</v>
      </c>
      <c r="AT182">
        <v>180</v>
      </c>
      <c r="AU182">
        <f t="shared" si="197"/>
        <v>95.4</v>
      </c>
      <c r="AV182">
        <v>4320</v>
      </c>
      <c r="AW182">
        <f t="shared" si="198"/>
        <v>4320</v>
      </c>
      <c r="AX182">
        <v>16704</v>
      </c>
      <c r="AY182">
        <f t="shared" si="199"/>
        <v>25056</v>
      </c>
      <c r="AZ182">
        <v>504</v>
      </c>
      <c r="BA182">
        <f t="shared" si="200"/>
        <v>655.20000000000005</v>
      </c>
    </row>
    <row r="183" spans="1:53" x14ac:dyDescent="0.3">
      <c r="A183" t="s">
        <v>74</v>
      </c>
      <c r="B183" t="s">
        <v>427</v>
      </c>
      <c r="C183" t="s">
        <v>428</v>
      </c>
      <c r="D183" t="s">
        <v>73</v>
      </c>
      <c r="E183" t="e">
        <f t="shared" si="176"/>
        <v>#VALUE!</v>
      </c>
      <c r="F183">
        <v>1200</v>
      </c>
      <c r="G183">
        <f t="shared" si="177"/>
        <v>636</v>
      </c>
      <c r="H183">
        <v>21600</v>
      </c>
      <c r="I183">
        <f t="shared" si="178"/>
        <v>21600</v>
      </c>
      <c r="J183">
        <v>19800</v>
      </c>
      <c r="K183">
        <f t="shared" si="179"/>
        <v>29700</v>
      </c>
      <c r="L183">
        <v>180</v>
      </c>
      <c r="M183">
        <f t="shared" si="180"/>
        <v>234</v>
      </c>
      <c r="N183" t="s">
        <v>73</v>
      </c>
      <c r="O183" t="e">
        <f t="shared" si="181"/>
        <v>#VALUE!</v>
      </c>
      <c r="P183">
        <v>2400</v>
      </c>
      <c r="Q183">
        <f t="shared" si="182"/>
        <v>1272</v>
      </c>
      <c r="R183">
        <v>36000</v>
      </c>
      <c r="S183">
        <f t="shared" si="183"/>
        <v>36000</v>
      </c>
      <c r="T183">
        <v>46800</v>
      </c>
      <c r="U183">
        <f t="shared" si="184"/>
        <v>70200</v>
      </c>
      <c r="V183">
        <v>180</v>
      </c>
      <c r="W183">
        <f t="shared" ref="W183" si="250">V183*1.3</f>
        <v>234</v>
      </c>
      <c r="X183" t="s">
        <v>73</v>
      </c>
      <c r="Y183" t="e">
        <f t="shared" si="186"/>
        <v>#VALUE!</v>
      </c>
      <c r="Z183">
        <v>1800</v>
      </c>
      <c r="AA183">
        <f t="shared" si="187"/>
        <v>954</v>
      </c>
      <c r="AB183">
        <v>15000</v>
      </c>
      <c r="AC183">
        <f t="shared" si="188"/>
        <v>15000</v>
      </c>
      <c r="AD183">
        <v>23400</v>
      </c>
      <c r="AE183">
        <f t="shared" si="189"/>
        <v>35100</v>
      </c>
      <c r="AF183">
        <v>4200</v>
      </c>
      <c r="AG183">
        <f t="shared" si="190"/>
        <v>5460</v>
      </c>
      <c r="AH183" t="s">
        <v>73</v>
      </c>
      <c r="AI183" t="e">
        <f t="shared" si="191"/>
        <v>#VALUE!</v>
      </c>
      <c r="AJ183">
        <v>3150</v>
      </c>
      <c r="AK183">
        <f t="shared" si="192"/>
        <v>1669.5</v>
      </c>
      <c r="AL183">
        <v>45000</v>
      </c>
      <c r="AM183">
        <f t="shared" si="193"/>
        <v>45000</v>
      </c>
      <c r="AN183">
        <v>50220</v>
      </c>
      <c r="AO183">
        <f t="shared" si="194"/>
        <v>75330</v>
      </c>
      <c r="AP183">
        <v>3600</v>
      </c>
      <c r="AQ183">
        <f t="shared" si="195"/>
        <v>4680</v>
      </c>
      <c r="AR183" t="s">
        <v>73</v>
      </c>
      <c r="AS183" t="e">
        <f t="shared" si="196"/>
        <v>#VALUE!</v>
      </c>
      <c r="AT183">
        <v>1800</v>
      </c>
      <c r="AU183">
        <f t="shared" si="197"/>
        <v>954</v>
      </c>
      <c r="AV183">
        <v>21600</v>
      </c>
      <c r="AW183">
        <f t="shared" si="198"/>
        <v>21600</v>
      </c>
      <c r="AX183">
        <v>30240</v>
      </c>
      <c r="AY183">
        <f t="shared" si="199"/>
        <v>45360</v>
      </c>
      <c r="AZ183">
        <v>1800</v>
      </c>
      <c r="BA183">
        <f t="shared" si="200"/>
        <v>2340</v>
      </c>
    </row>
    <row r="184" spans="1:53" x14ac:dyDescent="0.3">
      <c r="A184" t="s">
        <v>74</v>
      </c>
      <c r="B184" t="s">
        <v>429</v>
      </c>
      <c r="C184" t="s">
        <v>430</v>
      </c>
      <c r="D184" t="s">
        <v>73</v>
      </c>
      <c r="E184" t="e">
        <f t="shared" si="176"/>
        <v>#VALUE!</v>
      </c>
      <c r="F184">
        <v>126</v>
      </c>
      <c r="G184">
        <f t="shared" si="177"/>
        <v>66.78</v>
      </c>
      <c r="H184">
        <v>12000</v>
      </c>
      <c r="I184">
        <f t="shared" si="178"/>
        <v>12000</v>
      </c>
      <c r="J184">
        <v>17100</v>
      </c>
      <c r="K184">
        <f t="shared" si="179"/>
        <v>25650</v>
      </c>
      <c r="L184">
        <v>288</v>
      </c>
      <c r="M184">
        <f t="shared" si="180"/>
        <v>374.40000000000003</v>
      </c>
      <c r="N184" t="s">
        <v>73</v>
      </c>
      <c r="O184" t="e">
        <f t="shared" si="181"/>
        <v>#VALUE!</v>
      </c>
      <c r="P184">
        <v>240</v>
      </c>
      <c r="Q184">
        <f t="shared" si="182"/>
        <v>127.2</v>
      </c>
      <c r="R184">
        <v>27000</v>
      </c>
      <c r="S184">
        <f t="shared" si="183"/>
        <v>27000</v>
      </c>
      <c r="T184">
        <v>28800</v>
      </c>
      <c r="U184">
        <f t="shared" si="184"/>
        <v>43200</v>
      </c>
      <c r="V184">
        <v>288</v>
      </c>
      <c r="W184">
        <f t="shared" ref="W184" si="251">V184*1.3</f>
        <v>374.40000000000003</v>
      </c>
      <c r="X184" t="s">
        <v>73</v>
      </c>
      <c r="Y184" t="e">
        <f t="shared" si="186"/>
        <v>#VALUE!</v>
      </c>
      <c r="Z184">
        <v>225</v>
      </c>
      <c r="AA184">
        <f t="shared" si="187"/>
        <v>119.25</v>
      </c>
      <c r="AB184">
        <v>22500</v>
      </c>
      <c r="AC184">
        <f t="shared" si="188"/>
        <v>22500</v>
      </c>
      <c r="AD184">
        <v>27120</v>
      </c>
      <c r="AE184">
        <f t="shared" si="189"/>
        <v>40680</v>
      </c>
      <c r="AF184">
        <v>1300</v>
      </c>
      <c r="AG184">
        <f t="shared" si="190"/>
        <v>1690</v>
      </c>
      <c r="AH184" t="s">
        <v>73</v>
      </c>
      <c r="AI184" t="e">
        <f t="shared" si="191"/>
        <v>#VALUE!</v>
      </c>
      <c r="AJ184">
        <v>300</v>
      </c>
      <c r="AK184">
        <f t="shared" si="192"/>
        <v>159</v>
      </c>
      <c r="AL184">
        <v>15000</v>
      </c>
      <c r="AM184">
        <f t="shared" si="193"/>
        <v>15000</v>
      </c>
      <c r="AN184">
        <v>39900</v>
      </c>
      <c r="AO184">
        <f t="shared" si="194"/>
        <v>59850</v>
      </c>
      <c r="AP184">
        <v>120</v>
      </c>
      <c r="AQ184">
        <f t="shared" si="195"/>
        <v>156</v>
      </c>
      <c r="AR184" t="s">
        <v>73</v>
      </c>
      <c r="AS184" t="e">
        <f t="shared" si="196"/>
        <v>#VALUE!</v>
      </c>
      <c r="AT184">
        <v>1056</v>
      </c>
      <c r="AU184">
        <f t="shared" si="197"/>
        <v>559.68000000000006</v>
      </c>
      <c r="AV184">
        <v>1800</v>
      </c>
      <c r="AW184">
        <f t="shared" si="198"/>
        <v>1800</v>
      </c>
      <c r="AX184">
        <v>37440</v>
      </c>
      <c r="AY184">
        <f t="shared" si="199"/>
        <v>56160</v>
      </c>
      <c r="AZ184">
        <v>420</v>
      </c>
      <c r="BA184">
        <f t="shared" si="200"/>
        <v>546</v>
      </c>
    </row>
    <row r="185" spans="1:53" x14ac:dyDescent="0.3">
      <c r="A185" t="s">
        <v>74</v>
      </c>
      <c r="B185" t="s">
        <v>431</v>
      </c>
      <c r="C185" t="s">
        <v>432</v>
      </c>
      <c r="D185" t="s">
        <v>73</v>
      </c>
      <c r="E185" t="e">
        <f t="shared" si="176"/>
        <v>#VALUE!</v>
      </c>
      <c r="F185">
        <v>90</v>
      </c>
      <c r="G185">
        <f t="shared" si="177"/>
        <v>47.7</v>
      </c>
      <c r="H185">
        <v>1200</v>
      </c>
      <c r="I185">
        <f t="shared" si="178"/>
        <v>1200</v>
      </c>
      <c r="J185">
        <v>1380</v>
      </c>
      <c r="K185">
        <f t="shared" si="179"/>
        <v>2070</v>
      </c>
      <c r="L185" t="s">
        <v>73</v>
      </c>
      <c r="M185" t="e">
        <f t="shared" si="180"/>
        <v>#VALUE!</v>
      </c>
      <c r="N185" t="s">
        <v>73</v>
      </c>
      <c r="O185" t="e">
        <f t="shared" si="181"/>
        <v>#VALUE!</v>
      </c>
      <c r="P185">
        <v>90</v>
      </c>
      <c r="Q185">
        <f t="shared" si="182"/>
        <v>47.7</v>
      </c>
      <c r="R185">
        <v>1200</v>
      </c>
      <c r="S185">
        <f t="shared" si="183"/>
        <v>1200</v>
      </c>
      <c r="T185">
        <v>2520</v>
      </c>
      <c r="U185">
        <f t="shared" si="184"/>
        <v>3780</v>
      </c>
      <c r="V185" t="s">
        <v>73</v>
      </c>
      <c r="W185" t="e">
        <f t="shared" ref="W185" si="252">V185*1.3</f>
        <v>#VALUE!</v>
      </c>
      <c r="X185" t="s">
        <v>73</v>
      </c>
      <c r="Y185" t="e">
        <f t="shared" si="186"/>
        <v>#VALUE!</v>
      </c>
      <c r="Z185">
        <v>24</v>
      </c>
      <c r="AA185">
        <f t="shared" si="187"/>
        <v>12.72</v>
      </c>
      <c r="AB185">
        <v>2160</v>
      </c>
      <c r="AC185">
        <f t="shared" si="188"/>
        <v>2160</v>
      </c>
      <c r="AD185">
        <v>2160</v>
      </c>
      <c r="AE185">
        <f t="shared" si="189"/>
        <v>3240</v>
      </c>
      <c r="AF185" t="s">
        <v>73</v>
      </c>
      <c r="AG185" t="e">
        <f t="shared" si="190"/>
        <v>#VALUE!</v>
      </c>
      <c r="AH185" t="s">
        <v>73</v>
      </c>
      <c r="AI185" t="e">
        <f t="shared" si="191"/>
        <v>#VALUE!</v>
      </c>
      <c r="AJ185">
        <v>42</v>
      </c>
      <c r="AK185">
        <f t="shared" si="192"/>
        <v>22.26</v>
      </c>
      <c r="AL185">
        <v>2160</v>
      </c>
      <c r="AM185">
        <f t="shared" si="193"/>
        <v>2160</v>
      </c>
      <c r="AN185">
        <v>2880</v>
      </c>
      <c r="AO185">
        <f t="shared" si="194"/>
        <v>4320</v>
      </c>
      <c r="AP185" t="s">
        <v>73</v>
      </c>
      <c r="AQ185" t="e">
        <f t="shared" si="195"/>
        <v>#VALUE!</v>
      </c>
      <c r="AR185" t="s">
        <v>73</v>
      </c>
      <c r="AS185" t="e">
        <f t="shared" si="196"/>
        <v>#VALUE!</v>
      </c>
      <c r="AT185">
        <v>36</v>
      </c>
      <c r="AU185">
        <f t="shared" si="197"/>
        <v>19.080000000000002</v>
      </c>
      <c r="AV185">
        <v>1200</v>
      </c>
      <c r="AW185">
        <f t="shared" si="198"/>
        <v>1200</v>
      </c>
      <c r="AX185">
        <v>2550</v>
      </c>
      <c r="AY185">
        <f t="shared" si="199"/>
        <v>3825</v>
      </c>
      <c r="AZ185" t="s">
        <v>73</v>
      </c>
      <c r="BA185" t="e">
        <f t="shared" si="200"/>
        <v>#VALUE!</v>
      </c>
    </row>
    <row r="186" spans="1:53" x14ac:dyDescent="0.3">
      <c r="A186" t="s">
        <v>74</v>
      </c>
      <c r="B186" t="s">
        <v>433</v>
      </c>
      <c r="C186" t="s">
        <v>434</v>
      </c>
      <c r="D186" t="s">
        <v>73</v>
      </c>
      <c r="E186" t="e">
        <f t="shared" si="176"/>
        <v>#VALUE!</v>
      </c>
      <c r="F186">
        <v>90</v>
      </c>
      <c r="G186">
        <f t="shared" si="177"/>
        <v>47.7</v>
      </c>
      <c r="H186">
        <v>2400</v>
      </c>
      <c r="I186">
        <f t="shared" si="178"/>
        <v>2400</v>
      </c>
      <c r="J186">
        <v>3528</v>
      </c>
      <c r="K186">
        <f t="shared" si="179"/>
        <v>5292</v>
      </c>
      <c r="L186" t="s">
        <v>73</v>
      </c>
      <c r="M186" t="e">
        <f t="shared" si="180"/>
        <v>#VALUE!</v>
      </c>
      <c r="N186" t="s">
        <v>73</v>
      </c>
      <c r="O186" t="e">
        <f t="shared" si="181"/>
        <v>#VALUE!</v>
      </c>
      <c r="P186">
        <v>200</v>
      </c>
      <c r="Q186">
        <f t="shared" si="182"/>
        <v>106</v>
      </c>
      <c r="R186">
        <v>4320</v>
      </c>
      <c r="S186">
        <f t="shared" si="183"/>
        <v>4320</v>
      </c>
      <c r="T186">
        <v>5904</v>
      </c>
      <c r="U186">
        <f t="shared" si="184"/>
        <v>8856</v>
      </c>
      <c r="V186" t="s">
        <v>73</v>
      </c>
      <c r="W186" t="e">
        <f t="shared" ref="W186" si="253">V186*1.3</f>
        <v>#VALUE!</v>
      </c>
      <c r="X186" t="s">
        <v>73</v>
      </c>
      <c r="Y186" t="e">
        <f t="shared" si="186"/>
        <v>#VALUE!</v>
      </c>
      <c r="Z186">
        <v>120</v>
      </c>
      <c r="AA186">
        <f t="shared" si="187"/>
        <v>63.6</v>
      </c>
      <c r="AB186">
        <v>2160</v>
      </c>
      <c r="AC186">
        <f t="shared" si="188"/>
        <v>2160</v>
      </c>
      <c r="AD186">
        <v>4320</v>
      </c>
      <c r="AE186">
        <f t="shared" si="189"/>
        <v>6480</v>
      </c>
      <c r="AF186">
        <v>180</v>
      </c>
      <c r="AG186">
        <f t="shared" si="190"/>
        <v>234</v>
      </c>
      <c r="AH186" t="s">
        <v>73</v>
      </c>
      <c r="AI186" t="e">
        <f t="shared" si="191"/>
        <v>#VALUE!</v>
      </c>
      <c r="AJ186">
        <v>120</v>
      </c>
      <c r="AK186">
        <f t="shared" si="192"/>
        <v>63.6</v>
      </c>
      <c r="AL186">
        <v>1920</v>
      </c>
      <c r="AM186">
        <f t="shared" si="193"/>
        <v>1920</v>
      </c>
      <c r="AN186">
        <v>7200</v>
      </c>
      <c r="AO186">
        <f t="shared" si="194"/>
        <v>10800</v>
      </c>
      <c r="AP186">
        <v>324</v>
      </c>
      <c r="AQ186">
        <f t="shared" si="195"/>
        <v>421.2</v>
      </c>
      <c r="AR186" t="s">
        <v>73</v>
      </c>
      <c r="AS186" t="e">
        <f t="shared" si="196"/>
        <v>#VALUE!</v>
      </c>
      <c r="AT186">
        <v>134</v>
      </c>
      <c r="AU186">
        <f t="shared" si="197"/>
        <v>71.02000000000001</v>
      </c>
      <c r="AV186">
        <v>840</v>
      </c>
      <c r="AW186">
        <f t="shared" si="198"/>
        <v>840</v>
      </c>
      <c r="AX186">
        <v>5940</v>
      </c>
      <c r="AY186">
        <f t="shared" si="199"/>
        <v>8910</v>
      </c>
      <c r="AZ186">
        <v>252</v>
      </c>
      <c r="BA186">
        <f t="shared" si="200"/>
        <v>327.60000000000002</v>
      </c>
    </row>
    <row r="187" spans="1:53" x14ac:dyDescent="0.3">
      <c r="A187" t="s">
        <v>74</v>
      </c>
      <c r="B187" t="s">
        <v>435</v>
      </c>
      <c r="C187" t="s">
        <v>436</v>
      </c>
      <c r="D187" t="s">
        <v>73</v>
      </c>
      <c r="E187" t="e">
        <f t="shared" si="176"/>
        <v>#VALUE!</v>
      </c>
      <c r="F187">
        <v>120</v>
      </c>
      <c r="G187">
        <f t="shared" si="177"/>
        <v>63.6</v>
      </c>
      <c r="H187">
        <v>3900</v>
      </c>
      <c r="I187">
        <f t="shared" si="178"/>
        <v>3900</v>
      </c>
      <c r="J187">
        <v>240</v>
      </c>
      <c r="K187">
        <f t="shared" si="179"/>
        <v>360</v>
      </c>
      <c r="L187" t="s">
        <v>73</v>
      </c>
      <c r="M187" t="e">
        <f t="shared" si="180"/>
        <v>#VALUE!</v>
      </c>
      <c r="N187" t="s">
        <v>73</v>
      </c>
      <c r="O187" t="e">
        <f t="shared" si="181"/>
        <v>#VALUE!</v>
      </c>
      <c r="P187">
        <v>96</v>
      </c>
      <c r="Q187">
        <f t="shared" si="182"/>
        <v>50.88</v>
      </c>
      <c r="R187">
        <v>3900</v>
      </c>
      <c r="S187">
        <f t="shared" si="183"/>
        <v>3900</v>
      </c>
      <c r="T187">
        <v>744</v>
      </c>
      <c r="U187">
        <f t="shared" si="184"/>
        <v>1116</v>
      </c>
      <c r="V187" t="s">
        <v>73</v>
      </c>
      <c r="W187" t="e">
        <f t="shared" ref="W187" si="254">V187*1.3</f>
        <v>#VALUE!</v>
      </c>
      <c r="X187" t="s">
        <v>73</v>
      </c>
      <c r="Y187" t="e">
        <f t="shared" si="186"/>
        <v>#VALUE!</v>
      </c>
      <c r="Z187">
        <v>60</v>
      </c>
      <c r="AA187">
        <f t="shared" si="187"/>
        <v>31.8</v>
      </c>
      <c r="AB187">
        <v>3780</v>
      </c>
      <c r="AC187">
        <f t="shared" si="188"/>
        <v>3780</v>
      </c>
      <c r="AD187">
        <v>1500</v>
      </c>
      <c r="AE187">
        <f t="shared" si="189"/>
        <v>2250</v>
      </c>
      <c r="AF187" t="s">
        <v>73</v>
      </c>
      <c r="AG187" t="e">
        <f t="shared" si="190"/>
        <v>#VALUE!</v>
      </c>
      <c r="AH187" t="s">
        <v>73</v>
      </c>
      <c r="AI187" t="e">
        <f t="shared" si="191"/>
        <v>#VALUE!</v>
      </c>
      <c r="AJ187">
        <v>36</v>
      </c>
      <c r="AK187">
        <f t="shared" si="192"/>
        <v>19.080000000000002</v>
      </c>
      <c r="AL187">
        <v>4200</v>
      </c>
      <c r="AM187">
        <f t="shared" si="193"/>
        <v>4200</v>
      </c>
      <c r="AN187">
        <v>1170</v>
      </c>
      <c r="AO187">
        <f t="shared" si="194"/>
        <v>1755</v>
      </c>
      <c r="AP187" t="s">
        <v>73</v>
      </c>
      <c r="AQ187" t="e">
        <f t="shared" si="195"/>
        <v>#VALUE!</v>
      </c>
      <c r="AR187" t="s">
        <v>73</v>
      </c>
      <c r="AS187" t="e">
        <f t="shared" si="196"/>
        <v>#VALUE!</v>
      </c>
      <c r="AT187">
        <v>27</v>
      </c>
      <c r="AU187">
        <f t="shared" si="197"/>
        <v>14.31</v>
      </c>
      <c r="AV187">
        <v>2208</v>
      </c>
      <c r="AW187">
        <f t="shared" si="198"/>
        <v>2208</v>
      </c>
      <c r="AX187">
        <v>540</v>
      </c>
      <c r="AY187">
        <f t="shared" si="199"/>
        <v>810</v>
      </c>
      <c r="AZ187" t="s">
        <v>73</v>
      </c>
      <c r="BA187" t="e">
        <f t="shared" si="200"/>
        <v>#VALUE!</v>
      </c>
    </row>
    <row r="188" spans="1:53" x14ac:dyDescent="0.3">
      <c r="A188" t="s">
        <v>74</v>
      </c>
      <c r="B188" t="s">
        <v>437</v>
      </c>
      <c r="C188" t="s">
        <v>438</v>
      </c>
      <c r="D188" t="s">
        <v>73</v>
      </c>
      <c r="E188" t="e">
        <f t="shared" si="176"/>
        <v>#VALUE!</v>
      </c>
      <c r="F188">
        <v>135</v>
      </c>
      <c r="G188">
        <f t="shared" si="177"/>
        <v>71.55</v>
      </c>
      <c r="H188">
        <v>2520</v>
      </c>
      <c r="I188">
        <f t="shared" si="178"/>
        <v>2520</v>
      </c>
      <c r="J188" t="s">
        <v>73</v>
      </c>
      <c r="K188" t="e">
        <f t="shared" si="179"/>
        <v>#VALUE!</v>
      </c>
      <c r="L188" t="s">
        <v>73</v>
      </c>
      <c r="M188" t="e">
        <f t="shared" si="180"/>
        <v>#VALUE!</v>
      </c>
      <c r="N188" t="s">
        <v>73</v>
      </c>
      <c r="O188" t="e">
        <f t="shared" si="181"/>
        <v>#VALUE!</v>
      </c>
      <c r="P188">
        <v>180</v>
      </c>
      <c r="Q188">
        <f t="shared" si="182"/>
        <v>95.4</v>
      </c>
      <c r="R188">
        <v>1920</v>
      </c>
      <c r="S188">
        <f t="shared" si="183"/>
        <v>1920</v>
      </c>
      <c r="T188" t="s">
        <v>73</v>
      </c>
      <c r="U188" t="e">
        <f t="shared" si="184"/>
        <v>#VALUE!</v>
      </c>
      <c r="V188" t="s">
        <v>73</v>
      </c>
      <c r="W188" t="e">
        <f t="shared" ref="W188" si="255">V188*1.3</f>
        <v>#VALUE!</v>
      </c>
      <c r="X188" t="s">
        <v>73</v>
      </c>
      <c r="Y188" t="e">
        <f t="shared" si="186"/>
        <v>#VALUE!</v>
      </c>
      <c r="Z188">
        <v>105</v>
      </c>
      <c r="AA188">
        <f t="shared" si="187"/>
        <v>55.650000000000006</v>
      </c>
      <c r="AB188">
        <v>1680</v>
      </c>
      <c r="AC188">
        <f t="shared" si="188"/>
        <v>1680</v>
      </c>
      <c r="AD188" t="s">
        <v>73</v>
      </c>
      <c r="AE188" t="e">
        <f t="shared" si="189"/>
        <v>#VALUE!</v>
      </c>
      <c r="AF188" t="s">
        <v>73</v>
      </c>
      <c r="AG188" t="e">
        <f t="shared" si="190"/>
        <v>#VALUE!</v>
      </c>
      <c r="AH188" t="s">
        <v>73</v>
      </c>
      <c r="AI188" t="e">
        <f t="shared" si="191"/>
        <v>#VALUE!</v>
      </c>
      <c r="AJ188">
        <v>168</v>
      </c>
      <c r="AK188">
        <f t="shared" si="192"/>
        <v>89.04</v>
      </c>
      <c r="AL188">
        <v>1920</v>
      </c>
      <c r="AM188">
        <f t="shared" si="193"/>
        <v>1920</v>
      </c>
      <c r="AN188" t="s">
        <v>73</v>
      </c>
      <c r="AO188" t="e">
        <f t="shared" si="194"/>
        <v>#VALUE!</v>
      </c>
      <c r="AP188" t="s">
        <v>73</v>
      </c>
      <c r="AQ188" t="e">
        <f t="shared" si="195"/>
        <v>#VALUE!</v>
      </c>
      <c r="AR188" t="s">
        <v>73</v>
      </c>
      <c r="AS188" t="e">
        <f t="shared" si="196"/>
        <v>#VALUE!</v>
      </c>
      <c r="AT188">
        <v>105</v>
      </c>
      <c r="AU188">
        <f t="shared" si="197"/>
        <v>55.650000000000006</v>
      </c>
      <c r="AV188">
        <v>1260</v>
      </c>
      <c r="AW188">
        <f t="shared" si="198"/>
        <v>1260</v>
      </c>
      <c r="AX188" t="s">
        <v>73</v>
      </c>
      <c r="AY188" t="e">
        <f t="shared" si="199"/>
        <v>#VALUE!</v>
      </c>
      <c r="AZ188" t="s">
        <v>73</v>
      </c>
      <c r="BA188" t="e">
        <f t="shared" si="200"/>
        <v>#VALUE!</v>
      </c>
    </row>
    <row r="189" spans="1:53" x14ac:dyDescent="0.3">
      <c r="A189" t="s">
        <v>74</v>
      </c>
      <c r="B189" t="s">
        <v>439</v>
      </c>
      <c r="C189" t="s">
        <v>440</v>
      </c>
      <c r="D189" t="s">
        <v>73</v>
      </c>
      <c r="E189" t="e">
        <f t="shared" si="176"/>
        <v>#VALUE!</v>
      </c>
      <c r="F189">
        <v>3000</v>
      </c>
      <c r="G189">
        <f t="shared" si="177"/>
        <v>1590</v>
      </c>
      <c r="H189">
        <v>18000</v>
      </c>
      <c r="I189">
        <f t="shared" si="178"/>
        <v>18000</v>
      </c>
      <c r="J189">
        <v>12600</v>
      </c>
      <c r="K189">
        <f t="shared" si="179"/>
        <v>18900</v>
      </c>
      <c r="L189" t="s">
        <v>73</v>
      </c>
      <c r="M189" t="e">
        <f t="shared" si="180"/>
        <v>#VALUE!</v>
      </c>
      <c r="N189" t="s">
        <v>73</v>
      </c>
      <c r="O189" t="e">
        <f t="shared" si="181"/>
        <v>#VALUE!</v>
      </c>
      <c r="P189">
        <v>3840</v>
      </c>
      <c r="Q189">
        <f t="shared" si="182"/>
        <v>2035.2</v>
      </c>
      <c r="R189">
        <v>36000</v>
      </c>
      <c r="S189">
        <f t="shared" si="183"/>
        <v>36000</v>
      </c>
      <c r="T189">
        <v>27000</v>
      </c>
      <c r="U189">
        <f t="shared" si="184"/>
        <v>40500</v>
      </c>
      <c r="V189">
        <v>360</v>
      </c>
      <c r="W189">
        <f t="shared" ref="W189" si="256">V189*1.3</f>
        <v>468</v>
      </c>
      <c r="X189" t="s">
        <v>73</v>
      </c>
      <c r="Y189" t="e">
        <f t="shared" si="186"/>
        <v>#VALUE!</v>
      </c>
      <c r="Z189">
        <v>2400</v>
      </c>
      <c r="AA189">
        <f t="shared" si="187"/>
        <v>1272</v>
      </c>
      <c r="AB189">
        <v>17550</v>
      </c>
      <c r="AC189">
        <f t="shared" si="188"/>
        <v>17550</v>
      </c>
      <c r="AD189">
        <v>12000</v>
      </c>
      <c r="AE189">
        <f t="shared" si="189"/>
        <v>18000</v>
      </c>
      <c r="AF189">
        <v>2100</v>
      </c>
      <c r="AG189">
        <f t="shared" si="190"/>
        <v>2730</v>
      </c>
      <c r="AH189" t="s">
        <v>73</v>
      </c>
      <c r="AI189" t="e">
        <f t="shared" si="191"/>
        <v>#VALUE!</v>
      </c>
      <c r="AJ189">
        <v>3000</v>
      </c>
      <c r="AK189">
        <f t="shared" si="192"/>
        <v>1590</v>
      </c>
      <c r="AL189">
        <v>30000</v>
      </c>
      <c r="AM189">
        <f t="shared" si="193"/>
        <v>30000</v>
      </c>
      <c r="AN189">
        <v>35100</v>
      </c>
      <c r="AO189">
        <f t="shared" si="194"/>
        <v>52650</v>
      </c>
      <c r="AP189">
        <v>2100</v>
      </c>
      <c r="AQ189">
        <f t="shared" si="195"/>
        <v>2730</v>
      </c>
      <c r="AR189" t="s">
        <v>73</v>
      </c>
      <c r="AS189" t="e">
        <f t="shared" si="196"/>
        <v>#VALUE!</v>
      </c>
      <c r="AT189">
        <v>2400</v>
      </c>
      <c r="AU189">
        <f t="shared" si="197"/>
        <v>1272</v>
      </c>
      <c r="AV189">
        <v>12000</v>
      </c>
      <c r="AW189">
        <f t="shared" si="198"/>
        <v>12000</v>
      </c>
      <c r="AX189">
        <v>24480</v>
      </c>
      <c r="AY189">
        <f t="shared" si="199"/>
        <v>36720</v>
      </c>
      <c r="AZ189">
        <v>720</v>
      </c>
      <c r="BA189">
        <f t="shared" si="200"/>
        <v>936</v>
      </c>
    </row>
    <row r="190" spans="1:53" x14ac:dyDescent="0.3">
      <c r="A190" t="s">
        <v>74</v>
      </c>
      <c r="B190" t="s">
        <v>441</v>
      </c>
      <c r="C190" t="s">
        <v>442</v>
      </c>
      <c r="D190" t="s">
        <v>73</v>
      </c>
      <c r="E190" t="e">
        <f t="shared" si="176"/>
        <v>#VALUE!</v>
      </c>
      <c r="F190">
        <v>36</v>
      </c>
      <c r="G190">
        <f t="shared" si="177"/>
        <v>19.080000000000002</v>
      </c>
      <c r="H190">
        <v>3600</v>
      </c>
      <c r="I190">
        <f t="shared" si="178"/>
        <v>3600</v>
      </c>
      <c r="J190" t="s">
        <v>73</v>
      </c>
      <c r="K190" t="e">
        <f t="shared" si="179"/>
        <v>#VALUE!</v>
      </c>
      <c r="L190" t="s">
        <v>73</v>
      </c>
      <c r="M190" t="e">
        <f t="shared" si="180"/>
        <v>#VALUE!</v>
      </c>
      <c r="N190" t="s">
        <v>73</v>
      </c>
      <c r="O190" t="e">
        <f t="shared" si="181"/>
        <v>#VALUE!</v>
      </c>
      <c r="P190">
        <v>36</v>
      </c>
      <c r="Q190">
        <f t="shared" si="182"/>
        <v>19.080000000000002</v>
      </c>
      <c r="R190">
        <v>3600</v>
      </c>
      <c r="S190">
        <f t="shared" si="183"/>
        <v>3600</v>
      </c>
      <c r="T190" t="s">
        <v>73</v>
      </c>
      <c r="U190" t="e">
        <f t="shared" si="184"/>
        <v>#VALUE!</v>
      </c>
      <c r="V190" t="s">
        <v>73</v>
      </c>
      <c r="W190" t="e">
        <f t="shared" ref="W190" si="257">V190*1.3</f>
        <v>#VALUE!</v>
      </c>
      <c r="X190" t="s">
        <v>73</v>
      </c>
      <c r="Y190" t="e">
        <f t="shared" si="186"/>
        <v>#VALUE!</v>
      </c>
      <c r="Z190">
        <v>18</v>
      </c>
      <c r="AA190">
        <f t="shared" si="187"/>
        <v>9.5400000000000009</v>
      </c>
      <c r="AB190">
        <v>3600</v>
      </c>
      <c r="AC190">
        <f t="shared" si="188"/>
        <v>3600</v>
      </c>
      <c r="AD190">
        <v>41</v>
      </c>
      <c r="AE190">
        <f t="shared" si="189"/>
        <v>61.5</v>
      </c>
      <c r="AF190" t="s">
        <v>73</v>
      </c>
      <c r="AG190" t="e">
        <f t="shared" si="190"/>
        <v>#VALUE!</v>
      </c>
      <c r="AH190" t="s">
        <v>73</v>
      </c>
      <c r="AI190" t="e">
        <f t="shared" si="191"/>
        <v>#VALUE!</v>
      </c>
      <c r="AJ190">
        <v>36</v>
      </c>
      <c r="AK190">
        <f t="shared" si="192"/>
        <v>19.080000000000002</v>
      </c>
      <c r="AL190">
        <v>5040</v>
      </c>
      <c r="AM190">
        <f t="shared" si="193"/>
        <v>5040</v>
      </c>
      <c r="AN190">
        <v>90</v>
      </c>
      <c r="AO190">
        <f t="shared" si="194"/>
        <v>135</v>
      </c>
      <c r="AP190" t="s">
        <v>73</v>
      </c>
      <c r="AQ190" t="e">
        <f t="shared" si="195"/>
        <v>#VALUE!</v>
      </c>
      <c r="AR190" t="s">
        <v>73</v>
      </c>
      <c r="AS190" t="e">
        <f t="shared" si="196"/>
        <v>#VALUE!</v>
      </c>
      <c r="AT190">
        <v>23</v>
      </c>
      <c r="AU190">
        <f t="shared" si="197"/>
        <v>12.190000000000001</v>
      </c>
      <c r="AV190">
        <v>2880</v>
      </c>
      <c r="AW190">
        <f t="shared" si="198"/>
        <v>2880</v>
      </c>
      <c r="AX190">
        <v>126</v>
      </c>
      <c r="AY190">
        <f t="shared" si="199"/>
        <v>189</v>
      </c>
      <c r="AZ190" t="s">
        <v>73</v>
      </c>
      <c r="BA190" t="e">
        <f t="shared" si="200"/>
        <v>#VALUE!</v>
      </c>
    </row>
    <row r="191" spans="1:53" x14ac:dyDescent="0.3">
      <c r="A191" t="s">
        <v>74</v>
      </c>
      <c r="B191" t="s">
        <v>443</v>
      </c>
      <c r="C191" t="s">
        <v>444</v>
      </c>
      <c r="D191" t="s">
        <v>73</v>
      </c>
      <c r="E191" t="e">
        <f t="shared" si="176"/>
        <v>#VALUE!</v>
      </c>
      <c r="F191">
        <v>36</v>
      </c>
      <c r="G191">
        <f t="shared" si="177"/>
        <v>19.080000000000002</v>
      </c>
      <c r="H191">
        <v>180</v>
      </c>
      <c r="I191">
        <f t="shared" si="178"/>
        <v>180</v>
      </c>
      <c r="J191" t="s">
        <v>73</v>
      </c>
      <c r="K191" t="e">
        <f t="shared" si="179"/>
        <v>#VALUE!</v>
      </c>
      <c r="L191" t="s">
        <v>73</v>
      </c>
      <c r="M191" t="e">
        <f t="shared" si="180"/>
        <v>#VALUE!</v>
      </c>
      <c r="N191" t="s">
        <v>73</v>
      </c>
      <c r="O191" t="e">
        <f t="shared" si="181"/>
        <v>#VALUE!</v>
      </c>
      <c r="P191">
        <v>54</v>
      </c>
      <c r="Q191">
        <f t="shared" si="182"/>
        <v>28.62</v>
      </c>
      <c r="R191">
        <v>420</v>
      </c>
      <c r="S191">
        <f t="shared" si="183"/>
        <v>420</v>
      </c>
      <c r="T191" t="s">
        <v>73</v>
      </c>
      <c r="U191" t="e">
        <f t="shared" si="184"/>
        <v>#VALUE!</v>
      </c>
      <c r="V191" t="s">
        <v>73</v>
      </c>
      <c r="W191" t="e">
        <f t="shared" ref="W191" si="258">V191*1.3</f>
        <v>#VALUE!</v>
      </c>
      <c r="X191" t="s">
        <v>73</v>
      </c>
      <c r="Y191" t="e">
        <f t="shared" si="186"/>
        <v>#VALUE!</v>
      </c>
      <c r="Z191">
        <v>36</v>
      </c>
      <c r="AA191">
        <f t="shared" si="187"/>
        <v>19.080000000000002</v>
      </c>
      <c r="AB191">
        <v>504</v>
      </c>
      <c r="AC191">
        <f t="shared" si="188"/>
        <v>504</v>
      </c>
      <c r="AD191" t="s">
        <v>73</v>
      </c>
      <c r="AE191" t="e">
        <f t="shared" si="189"/>
        <v>#VALUE!</v>
      </c>
      <c r="AF191" t="s">
        <v>73</v>
      </c>
      <c r="AG191" t="e">
        <f t="shared" si="190"/>
        <v>#VALUE!</v>
      </c>
      <c r="AH191" t="s">
        <v>73</v>
      </c>
      <c r="AI191" t="e">
        <f t="shared" si="191"/>
        <v>#VALUE!</v>
      </c>
      <c r="AJ191">
        <v>36</v>
      </c>
      <c r="AK191">
        <f t="shared" si="192"/>
        <v>19.080000000000002</v>
      </c>
      <c r="AL191">
        <v>420</v>
      </c>
      <c r="AM191">
        <f t="shared" si="193"/>
        <v>420</v>
      </c>
      <c r="AN191" t="s">
        <v>73</v>
      </c>
      <c r="AO191" t="e">
        <f t="shared" si="194"/>
        <v>#VALUE!</v>
      </c>
      <c r="AP191" t="s">
        <v>73</v>
      </c>
      <c r="AQ191" t="e">
        <f t="shared" si="195"/>
        <v>#VALUE!</v>
      </c>
      <c r="AR191" t="s">
        <v>73</v>
      </c>
      <c r="AS191" t="e">
        <f t="shared" si="196"/>
        <v>#VALUE!</v>
      </c>
      <c r="AT191">
        <v>30</v>
      </c>
      <c r="AU191">
        <f t="shared" si="197"/>
        <v>15.9</v>
      </c>
      <c r="AV191">
        <v>144</v>
      </c>
      <c r="AW191">
        <f t="shared" si="198"/>
        <v>144</v>
      </c>
      <c r="AX191" t="s">
        <v>73</v>
      </c>
      <c r="AY191" t="e">
        <f t="shared" si="199"/>
        <v>#VALUE!</v>
      </c>
      <c r="AZ191" t="s">
        <v>73</v>
      </c>
      <c r="BA191" t="e">
        <f t="shared" si="200"/>
        <v>#VALUE!</v>
      </c>
    </row>
    <row r="192" spans="1:53" x14ac:dyDescent="0.3">
      <c r="A192" t="s">
        <v>67</v>
      </c>
      <c r="B192" t="s">
        <v>445</v>
      </c>
      <c r="C192" t="s">
        <v>446</v>
      </c>
      <c r="D192">
        <v>209525</v>
      </c>
      <c r="E192">
        <f t="shared" si="176"/>
        <v>251430</v>
      </c>
      <c r="F192">
        <v>6242</v>
      </c>
      <c r="G192">
        <f t="shared" si="177"/>
        <v>3308.26</v>
      </c>
      <c r="H192">
        <v>170093</v>
      </c>
      <c r="I192">
        <f t="shared" si="178"/>
        <v>170093</v>
      </c>
      <c r="J192">
        <v>49103</v>
      </c>
      <c r="K192">
        <f t="shared" si="179"/>
        <v>73654.5</v>
      </c>
      <c r="L192">
        <v>3688</v>
      </c>
      <c r="M192">
        <f t="shared" si="180"/>
        <v>4794.4000000000005</v>
      </c>
      <c r="N192">
        <v>208186</v>
      </c>
      <c r="O192">
        <f t="shared" si="181"/>
        <v>249823.19999999998</v>
      </c>
      <c r="P192">
        <v>6921</v>
      </c>
      <c r="Q192">
        <f t="shared" si="182"/>
        <v>3668.13</v>
      </c>
      <c r="R192">
        <v>191647</v>
      </c>
      <c r="S192">
        <f t="shared" si="183"/>
        <v>191647</v>
      </c>
      <c r="T192">
        <v>56473</v>
      </c>
      <c r="U192">
        <f t="shared" si="184"/>
        <v>84709.5</v>
      </c>
      <c r="V192">
        <v>8783</v>
      </c>
      <c r="W192">
        <f t="shared" ref="W192" si="259">V192*1.3</f>
        <v>11417.9</v>
      </c>
      <c r="X192">
        <v>217437</v>
      </c>
      <c r="Y192">
        <f t="shared" si="186"/>
        <v>260924.4</v>
      </c>
      <c r="Z192">
        <v>6813</v>
      </c>
      <c r="AA192">
        <f t="shared" si="187"/>
        <v>3610.8900000000003</v>
      </c>
      <c r="AB192">
        <v>198628</v>
      </c>
      <c r="AC192">
        <f t="shared" si="188"/>
        <v>198628</v>
      </c>
      <c r="AD192">
        <v>65780</v>
      </c>
      <c r="AE192">
        <f t="shared" si="189"/>
        <v>98670</v>
      </c>
      <c r="AF192">
        <v>10600</v>
      </c>
      <c r="AG192">
        <f t="shared" si="190"/>
        <v>13780</v>
      </c>
      <c r="AH192">
        <v>213279</v>
      </c>
      <c r="AI192">
        <f t="shared" si="191"/>
        <v>255934.8</v>
      </c>
      <c r="AJ192">
        <v>4451</v>
      </c>
      <c r="AK192">
        <f t="shared" si="192"/>
        <v>2359.0300000000002</v>
      </c>
      <c r="AL192">
        <v>191282</v>
      </c>
      <c r="AM192">
        <f t="shared" si="193"/>
        <v>191282</v>
      </c>
      <c r="AN192">
        <v>60973</v>
      </c>
      <c r="AO192">
        <f t="shared" si="194"/>
        <v>91459.5</v>
      </c>
      <c r="AP192">
        <v>2010</v>
      </c>
      <c r="AQ192">
        <f t="shared" si="195"/>
        <v>2613</v>
      </c>
      <c r="AR192">
        <v>205702</v>
      </c>
      <c r="AS192">
        <f t="shared" si="196"/>
        <v>246842.4</v>
      </c>
      <c r="AT192">
        <v>3774</v>
      </c>
      <c r="AU192">
        <f t="shared" si="197"/>
        <v>2000.22</v>
      </c>
      <c r="AV192">
        <v>134230</v>
      </c>
      <c r="AW192">
        <f t="shared" si="198"/>
        <v>134230</v>
      </c>
      <c r="AX192">
        <v>61894</v>
      </c>
      <c r="AY192">
        <f t="shared" si="199"/>
        <v>92841</v>
      </c>
      <c r="AZ192">
        <v>4772</v>
      </c>
      <c r="BA192">
        <f t="shared" si="200"/>
        <v>6203.6</v>
      </c>
    </row>
    <row r="193" spans="1:53" x14ac:dyDescent="0.3">
      <c r="A193" t="s">
        <v>70</v>
      </c>
      <c r="B193" t="s">
        <v>447</v>
      </c>
      <c r="C193" t="s">
        <v>448</v>
      </c>
      <c r="D193">
        <v>78856</v>
      </c>
      <c r="E193">
        <f t="shared" si="176"/>
        <v>94627.199999999997</v>
      </c>
      <c r="F193">
        <v>2022</v>
      </c>
      <c r="G193">
        <f t="shared" si="177"/>
        <v>1071.6600000000001</v>
      </c>
      <c r="H193">
        <v>101969</v>
      </c>
      <c r="I193">
        <f t="shared" si="178"/>
        <v>101969</v>
      </c>
      <c r="J193">
        <v>20182</v>
      </c>
      <c r="K193">
        <f t="shared" si="179"/>
        <v>30273</v>
      </c>
      <c r="L193">
        <v>890</v>
      </c>
      <c r="M193">
        <f t="shared" si="180"/>
        <v>1157</v>
      </c>
      <c r="N193">
        <v>78118</v>
      </c>
      <c r="O193">
        <f t="shared" si="181"/>
        <v>93741.599999999991</v>
      </c>
      <c r="P193">
        <v>2375</v>
      </c>
      <c r="Q193">
        <f t="shared" si="182"/>
        <v>1258.75</v>
      </c>
      <c r="R193">
        <v>117366</v>
      </c>
      <c r="S193">
        <f t="shared" si="183"/>
        <v>117366</v>
      </c>
      <c r="T193">
        <v>24413</v>
      </c>
      <c r="U193">
        <f t="shared" si="184"/>
        <v>36619.5</v>
      </c>
      <c r="V193">
        <v>3405</v>
      </c>
      <c r="W193">
        <f t="shared" ref="W193" si="260">V193*1.3</f>
        <v>4426.5</v>
      </c>
      <c r="X193">
        <v>83188</v>
      </c>
      <c r="Y193">
        <f t="shared" si="186"/>
        <v>99825.599999999991</v>
      </c>
      <c r="Z193">
        <v>2676</v>
      </c>
      <c r="AA193">
        <f t="shared" si="187"/>
        <v>1418.28</v>
      </c>
      <c r="AB193">
        <v>121389</v>
      </c>
      <c r="AC193">
        <f t="shared" si="188"/>
        <v>121389</v>
      </c>
      <c r="AD193">
        <v>31460</v>
      </c>
      <c r="AE193">
        <f t="shared" si="189"/>
        <v>47190</v>
      </c>
      <c r="AF193">
        <v>5270</v>
      </c>
      <c r="AG193">
        <f t="shared" si="190"/>
        <v>6851</v>
      </c>
      <c r="AH193">
        <v>78194</v>
      </c>
      <c r="AI193">
        <f t="shared" si="191"/>
        <v>93832.8</v>
      </c>
      <c r="AJ193">
        <v>1609</v>
      </c>
      <c r="AK193">
        <f t="shared" si="192"/>
        <v>852.7700000000001</v>
      </c>
      <c r="AL193">
        <v>116270</v>
      </c>
      <c r="AM193">
        <f t="shared" si="193"/>
        <v>116270</v>
      </c>
      <c r="AN193">
        <v>26041</v>
      </c>
      <c r="AO193">
        <f t="shared" si="194"/>
        <v>39061.5</v>
      </c>
      <c r="AP193">
        <v>762</v>
      </c>
      <c r="AQ193">
        <f t="shared" si="195"/>
        <v>990.6</v>
      </c>
      <c r="AR193">
        <v>72557</v>
      </c>
      <c r="AS193">
        <f t="shared" si="196"/>
        <v>87068.4</v>
      </c>
      <c r="AT193">
        <v>1176</v>
      </c>
      <c r="AU193">
        <f t="shared" si="197"/>
        <v>623.28000000000009</v>
      </c>
      <c r="AV193">
        <v>82137</v>
      </c>
      <c r="AW193">
        <f t="shared" si="198"/>
        <v>82137</v>
      </c>
      <c r="AX193">
        <v>28180</v>
      </c>
      <c r="AY193">
        <f t="shared" si="199"/>
        <v>42270</v>
      </c>
      <c r="AZ193">
        <v>2783</v>
      </c>
      <c r="BA193">
        <f t="shared" si="200"/>
        <v>3617.9</v>
      </c>
    </row>
    <row r="194" spans="1:53" x14ac:dyDescent="0.3">
      <c r="A194" t="s">
        <v>74</v>
      </c>
      <c r="B194" t="s">
        <v>449</v>
      </c>
      <c r="C194" t="s">
        <v>450</v>
      </c>
      <c r="D194">
        <v>3850</v>
      </c>
      <c r="E194">
        <f t="shared" si="176"/>
        <v>4620</v>
      </c>
      <c r="F194">
        <v>231</v>
      </c>
      <c r="G194">
        <f t="shared" si="177"/>
        <v>122.43</v>
      </c>
      <c r="H194">
        <v>7590</v>
      </c>
      <c r="I194">
        <f t="shared" si="178"/>
        <v>7590</v>
      </c>
      <c r="J194">
        <v>4836</v>
      </c>
      <c r="K194">
        <f t="shared" si="179"/>
        <v>7254</v>
      </c>
      <c r="L194">
        <v>243</v>
      </c>
      <c r="M194">
        <f t="shared" si="180"/>
        <v>315.90000000000003</v>
      </c>
      <c r="N194">
        <v>3850</v>
      </c>
      <c r="O194">
        <f t="shared" si="181"/>
        <v>4620</v>
      </c>
      <c r="P194">
        <v>515</v>
      </c>
      <c r="Q194">
        <f t="shared" si="182"/>
        <v>272.95</v>
      </c>
      <c r="R194">
        <v>9360</v>
      </c>
      <c r="S194">
        <f t="shared" si="183"/>
        <v>9360</v>
      </c>
      <c r="T194">
        <v>5460</v>
      </c>
      <c r="U194">
        <f t="shared" si="184"/>
        <v>8190</v>
      </c>
      <c r="V194">
        <v>1200</v>
      </c>
      <c r="W194">
        <f t="shared" ref="W194" si="261">V194*1.3</f>
        <v>1560</v>
      </c>
      <c r="X194">
        <v>3850</v>
      </c>
      <c r="Y194">
        <f t="shared" si="186"/>
        <v>4620</v>
      </c>
      <c r="Z194">
        <v>513</v>
      </c>
      <c r="AA194">
        <f t="shared" si="187"/>
        <v>271.89</v>
      </c>
      <c r="AB194">
        <v>8580</v>
      </c>
      <c r="AC194">
        <f t="shared" si="188"/>
        <v>8580</v>
      </c>
      <c r="AD194">
        <v>5460</v>
      </c>
      <c r="AE194">
        <f t="shared" si="189"/>
        <v>8190</v>
      </c>
      <c r="AF194">
        <v>1200</v>
      </c>
      <c r="AG194">
        <f t="shared" si="190"/>
        <v>1560</v>
      </c>
      <c r="AH194">
        <v>3850</v>
      </c>
      <c r="AI194">
        <f t="shared" si="191"/>
        <v>4620</v>
      </c>
      <c r="AJ194">
        <v>367</v>
      </c>
      <c r="AK194">
        <f t="shared" si="192"/>
        <v>194.51000000000002</v>
      </c>
      <c r="AL194">
        <v>8930</v>
      </c>
      <c r="AM194">
        <f t="shared" si="193"/>
        <v>8930</v>
      </c>
      <c r="AN194">
        <v>5460</v>
      </c>
      <c r="AO194">
        <f t="shared" si="194"/>
        <v>8190</v>
      </c>
      <c r="AP194">
        <v>240</v>
      </c>
      <c r="AQ194">
        <f t="shared" si="195"/>
        <v>312</v>
      </c>
      <c r="AR194">
        <v>2713</v>
      </c>
      <c r="AS194">
        <f t="shared" si="196"/>
        <v>3255.6</v>
      </c>
      <c r="AT194">
        <v>69</v>
      </c>
      <c r="AU194">
        <f t="shared" si="197"/>
        <v>36.57</v>
      </c>
      <c r="AV194">
        <v>3465</v>
      </c>
      <c r="AW194">
        <f t="shared" si="198"/>
        <v>3465</v>
      </c>
      <c r="AX194">
        <v>5400</v>
      </c>
      <c r="AY194">
        <f t="shared" si="199"/>
        <v>8100</v>
      </c>
      <c r="AZ194">
        <v>450</v>
      </c>
      <c r="BA194">
        <f t="shared" si="200"/>
        <v>585</v>
      </c>
    </row>
    <row r="195" spans="1:53" x14ac:dyDescent="0.3">
      <c r="A195" t="s">
        <v>74</v>
      </c>
      <c r="B195" t="s">
        <v>451</v>
      </c>
      <c r="C195" t="s">
        <v>452</v>
      </c>
      <c r="D195" t="s">
        <v>73</v>
      </c>
      <c r="E195" t="e">
        <f t="shared" si="176"/>
        <v>#VALUE!</v>
      </c>
      <c r="F195">
        <v>310</v>
      </c>
      <c r="G195">
        <f t="shared" si="177"/>
        <v>164.3</v>
      </c>
      <c r="H195">
        <v>11682</v>
      </c>
      <c r="I195">
        <f t="shared" si="178"/>
        <v>11682</v>
      </c>
      <c r="J195">
        <v>1860</v>
      </c>
      <c r="K195">
        <f t="shared" si="179"/>
        <v>2790</v>
      </c>
      <c r="L195">
        <v>150</v>
      </c>
      <c r="M195">
        <f t="shared" si="180"/>
        <v>195</v>
      </c>
      <c r="N195" t="s">
        <v>73</v>
      </c>
      <c r="O195" t="e">
        <f t="shared" si="181"/>
        <v>#VALUE!</v>
      </c>
      <c r="P195">
        <v>265</v>
      </c>
      <c r="Q195">
        <f t="shared" si="182"/>
        <v>140.45000000000002</v>
      </c>
      <c r="R195">
        <v>13110</v>
      </c>
      <c r="S195">
        <f t="shared" si="183"/>
        <v>13110</v>
      </c>
      <c r="T195">
        <v>2535</v>
      </c>
      <c r="U195">
        <f t="shared" si="184"/>
        <v>3802.5</v>
      </c>
      <c r="V195">
        <v>1200</v>
      </c>
      <c r="W195">
        <f t="shared" ref="W195" si="262">V195*1.3</f>
        <v>1560</v>
      </c>
      <c r="X195" t="s">
        <v>73</v>
      </c>
      <c r="Y195" t="e">
        <f t="shared" si="186"/>
        <v>#VALUE!</v>
      </c>
      <c r="Z195">
        <v>251</v>
      </c>
      <c r="AA195">
        <f t="shared" si="187"/>
        <v>133.03</v>
      </c>
      <c r="AB195">
        <v>10800</v>
      </c>
      <c r="AC195">
        <f t="shared" si="188"/>
        <v>10800</v>
      </c>
      <c r="AD195">
        <v>2730</v>
      </c>
      <c r="AE195">
        <f t="shared" si="189"/>
        <v>4095</v>
      </c>
      <c r="AF195">
        <v>1500</v>
      </c>
      <c r="AG195">
        <f t="shared" si="190"/>
        <v>1950</v>
      </c>
      <c r="AH195" t="s">
        <v>73</v>
      </c>
      <c r="AI195" t="e">
        <f t="shared" si="191"/>
        <v>#VALUE!</v>
      </c>
      <c r="AJ195">
        <v>218</v>
      </c>
      <c r="AK195">
        <f t="shared" si="192"/>
        <v>115.54</v>
      </c>
      <c r="AL195">
        <v>12240</v>
      </c>
      <c r="AM195">
        <f t="shared" si="193"/>
        <v>12240</v>
      </c>
      <c r="AN195">
        <v>2730</v>
      </c>
      <c r="AO195">
        <f t="shared" si="194"/>
        <v>4095</v>
      </c>
      <c r="AP195">
        <v>180</v>
      </c>
      <c r="AQ195">
        <f t="shared" si="195"/>
        <v>234</v>
      </c>
      <c r="AR195" t="s">
        <v>73</v>
      </c>
      <c r="AS195" t="e">
        <f t="shared" si="196"/>
        <v>#VALUE!</v>
      </c>
      <c r="AT195">
        <v>184</v>
      </c>
      <c r="AU195">
        <f t="shared" si="197"/>
        <v>97.52000000000001</v>
      </c>
      <c r="AV195">
        <v>8670</v>
      </c>
      <c r="AW195">
        <f t="shared" si="198"/>
        <v>8670</v>
      </c>
      <c r="AX195">
        <v>2310</v>
      </c>
      <c r="AY195">
        <f t="shared" si="199"/>
        <v>3465</v>
      </c>
      <c r="AZ195">
        <v>450</v>
      </c>
      <c r="BA195">
        <f t="shared" si="200"/>
        <v>585</v>
      </c>
    </row>
    <row r="196" spans="1:53" x14ac:dyDescent="0.3">
      <c r="A196" t="s">
        <v>74</v>
      </c>
      <c r="B196" t="s">
        <v>453</v>
      </c>
      <c r="C196" t="s">
        <v>454</v>
      </c>
      <c r="D196">
        <v>301</v>
      </c>
      <c r="E196">
        <f t="shared" si="176"/>
        <v>361.2</v>
      </c>
      <c r="F196">
        <v>45</v>
      </c>
      <c r="G196">
        <f t="shared" si="177"/>
        <v>23.85</v>
      </c>
      <c r="H196">
        <v>3306</v>
      </c>
      <c r="I196">
        <f t="shared" si="178"/>
        <v>3306</v>
      </c>
      <c r="J196">
        <v>192</v>
      </c>
      <c r="K196">
        <f t="shared" si="179"/>
        <v>288</v>
      </c>
      <c r="L196">
        <v>342</v>
      </c>
      <c r="M196">
        <f t="shared" si="180"/>
        <v>444.6</v>
      </c>
      <c r="N196">
        <v>301</v>
      </c>
      <c r="O196">
        <f t="shared" si="181"/>
        <v>361.2</v>
      </c>
      <c r="P196">
        <v>68</v>
      </c>
      <c r="Q196">
        <f t="shared" si="182"/>
        <v>36.04</v>
      </c>
      <c r="R196">
        <v>4200</v>
      </c>
      <c r="S196">
        <f t="shared" si="183"/>
        <v>4200</v>
      </c>
      <c r="T196">
        <v>342</v>
      </c>
      <c r="U196">
        <f t="shared" si="184"/>
        <v>513</v>
      </c>
      <c r="V196">
        <v>17</v>
      </c>
      <c r="W196">
        <f t="shared" ref="W196" si="263">V196*1.3</f>
        <v>22.1</v>
      </c>
      <c r="X196">
        <v>366</v>
      </c>
      <c r="Y196">
        <f t="shared" si="186"/>
        <v>439.2</v>
      </c>
      <c r="Z196">
        <v>64</v>
      </c>
      <c r="AA196">
        <f t="shared" si="187"/>
        <v>33.92</v>
      </c>
      <c r="AB196">
        <v>3780</v>
      </c>
      <c r="AC196">
        <f t="shared" si="188"/>
        <v>3780</v>
      </c>
      <c r="AD196">
        <v>342</v>
      </c>
      <c r="AE196">
        <f t="shared" si="189"/>
        <v>513</v>
      </c>
      <c r="AF196">
        <v>17</v>
      </c>
      <c r="AG196">
        <f t="shared" si="190"/>
        <v>22.1</v>
      </c>
      <c r="AH196">
        <v>315</v>
      </c>
      <c r="AI196">
        <f t="shared" si="191"/>
        <v>378</v>
      </c>
      <c r="AJ196">
        <v>35</v>
      </c>
      <c r="AK196">
        <f t="shared" si="192"/>
        <v>18.55</v>
      </c>
      <c r="AL196">
        <v>3990</v>
      </c>
      <c r="AM196">
        <f t="shared" si="193"/>
        <v>3990</v>
      </c>
      <c r="AN196">
        <v>1080</v>
      </c>
      <c r="AO196">
        <f t="shared" si="194"/>
        <v>1620</v>
      </c>
      <c r="AP196">
        <v>6</v>
      </c>
      <c r="AQ196">
        <f t="shared" si="195"/>
        <v>7.8000000000000007</v>
      </c>
      <c r="AR196">
        <v>258</v>
      </c>
      <c r="AS196">
        <f t="shared" si="196"/>
        <v>309.59999999999997</v>
      </c>
      <c r="AT196">
        <v>21</v>
      </c>
      <c r="AU196">
        <f t="shared" si="197"/>
        <v>11.13</v>
      </c>
      <c r="AV196">
        <v>1890</v>
      </c>
      <c r="AW196">
        <f t="shared" si="198"/>
        <v>1890</v>
      </c>
      <c r="AX196">
        <v>990</v>
      </c>
      <c r="AY196">
        <f t="shared" si="199"/>
        <v>1485</v>
      </c>
      <c r="AZ196">
        <v>12</v>
      </c>
      <c r="BA196">
        <f t="shared" si="200"/>
        <v>15.600000000000001</v>
      </c>
    </row>
    <row r="197" spans="1:53" x14ac:dyDescent="0.3">
      <c r="A197" t="s">
        <v>74</v>
      </c>
      <c r="B197" t="s">
        <v>455</v>
      </c>
      <c r="C197" t="s">
        <v>456</v>
      </c>
      <c r="D197">
        <v>120</v>
      </c>
      <c r="E197">
        <f t="shared" ref="E197:E260" si="264">D197*1.2</f>
        <v>144</v>
      </c>
      <c r="F197">
        <v>53</v>
      </c>
      <c r="G197">
        <f t="shared" ref="G197:G260" si="265">F197*0.53</f>
        <v>28.09</v>
      </c>
      <c r="H197">
        <v>3600</v>
      </c>
      <c r="I197">
        <f t="shared" ref="I197:I260" si="266">H197</f>
        <v>3600</v>
      </c>
      <c r="J197">
        <v>168</v>
      </c>
      <c r="K197">
        <f t="shared" ref="K197:K260" si="267">J197*1.5</f>
        <v>252</v>
      </c>
      <c r="L197" t="s">
        <v>73</v>
      </c>
      <c r="M197" t="e">
        <f t="shared" ref="M197:M260" si="268">L197*1.3</f>
        <v>#VALUE!</v>
      </c>
      <c r="N197">
        <v>120</v>
      </c>
      <c r="O197">
        <f t="shared" ref="O197:O260" si="269">N197*1.2</f>
        <v>144</v>
      </c>
      <c r="P197">
        <v>53</v>
      </c>
      <c r="Q197">
        <f t="shared" ref="Q197:Q260" si="270">P197*0.53</f>
        <v>28.09</v>
      </c>
      <c r="R197">
        <v>4500</v>
      </c>
      <c r="S197">
        <f t="shared" ref="S197:S260" si="271">R197</f>
        <v>4500</v>
      </c>
      <c r="T197">
        <v>252</v>
      </c>
      <c r="U197">
        <f t="shared" ref="U197:U260" si="272">T197*1.5</f>
        <v>378</v>
      </c>
      <c r="V197" t="s">
        <v>73</v>
      </c>
      <c r="W197" t="e">
        <f t="shared" ref="W197" si="273">V197*1.3</f>
        <v>#VALUE!</v>
      </c>
      <c r="X197">
        <v>102</v>
      </c>
      <c r="Y197">
        <f t="shared" ref="Y197:Y260" si="274">X197*1.2</f>
        <v>122.39999999999999</v>
      </c>
      <c r="Z197">
        <v>44</v>
      </c>
      <c r="AA197">
        <f t="shared" ref="AA197:AA260" si="275">Z197*0.53</f>
        <v>23.32</v>
      </c>
      <c r="AB197">
        <v>4275</v>
      </c>
      <c r="AC197">
        <f t="shared" ref="AC197:AC260" si="276">AB197</f>
        <v>4275</v>
      </c>
      <c r="AD197">
        <v>252</v>
      </c>
      <c r="AE197">
        <f t="shared" ref="AE197:AE260" si="277">AD197*1.5</f>
        <v>378</v>
      </c>
      <c r="AF197" t="s">
        <v>73</v>
      </c>
      <c r="AG197" t="e">
        <f t="shared" ref="AG197:AG260" si="278">AF197*1.3</f>
        <v>#VALUE!</v>
      </c>
      <c r="AH197">
        <v>102</v>
      </c>
      <c r="AI197">
        <f t="shared" ref="AI197:AI260" si="279">AH197*1.2</f>
        <v>122.39999999999999</v>
      </c>
      <c r="AJ197">
        <v>16</v>
      </c>
      <c r="AK197">
        <f t="shared" ref="AK197:AK260" si="280">AJ197*0.53</f>
        <v>8.48</v>
      </c>
      <c r="AL197">
        <v>4350</v>
      </c>
      <c r="AM197">
        <f t="shared" ref="AM197:AM260" si="281">AL197</f>
        <v>4350</v>
      </c>
      <c r="AN197">
        <v>216</v>
      </c>
      <c r="AO197">
        <f t="shared" ref="AO197:AO260" si="282">AN197*1.5</f>
        <v>324</v>
      </c>
      <c r="AP197">
        <v>10</v>
      </c>
      <c r="AQ197">
        <f t="shared" ref="AQ197:AQ260" si="283">AP197*1.3</f>
        <v>13</v>
      </c>
      <c r="AR197">
        <v>96</v>
      </c>
      <c r="AS197">
        <f t="shared" ref="AS197:AS260" si="284">AR197*1.2</f>
        <v>115.19999999999999</v>
      </c>
      <c r="AT197">
        <v>24</v>
      </c>
      <c r="AU197">
        <f t="shared" ref="AU197:AU260" si="285">AT197*0.53</f>
        <v>12.72</v>
      </c>
      <c r="AV197">
        <v>2700</v>
      </c>
      <c r="AW197">
        <f t="shared" ref="AW197:AW260" si="286">AV197</f>
        <v>2700</v>
      </c>
      <c r="AX197">
        <v>330</v>
      </c>
      <c r="AY197">
        <f t="shared" ref="AY197:AY260" si="287">AX197*1.5</f>
        <v>495</v>
      </c>
      <c r="AZ197" t="s">
        <v>73</v>
      </c>
      <c r="BA197" t="e">
        <f t="shared" ref="BA197:BA260" si="288">AZ197*1.3</f>
        <v>#VALUE!</v>
      </c>
    </row>
    <row r="198" spans="1:53" x14ac:dyDescent="0.3">
      <c r="A198" t="s">
        <v>74</v>
      </c>
      <c r="B198" t="s">
        <v>457</v>
      </c>
      <c r="C198" t="s">
        <v>458</v>
      </c>
      <c r="D198">
        <v>435</v>
      </c>
      <c r="E198">
        <f t="shared" si="264"/>
        <v>522</v>
      </c>
      <c r="F198">
        <v>35</v>
      </c>
      <c r="G198">
        <f t="shared" si="265"/>
        <v>18.55</v>
      </c>
      <c r="H198">
        <v>2346</v>
      </c>
      <c r="I198">
        <f t="shared" si="266"/>
        <v>2346</v>
      </c>
      <c r="J198" t="s">
        <v>73</v>
      </c>
      <c r="K198" t="e">
        <f t="shared" si="267"/>
        <v>#VALUE!</v>
      </c>
      <c r="L198" t="s">
        <v>73</v>
      </c>
      <c r="M198" t="e">
        <f t="shared" si="268"/>
        <v>#VALUE!</v>
      </c>
      <c r="N198">
        <v>435</v>
      </c>
      <c r="O198">
        <f t="shared" si="269"/>
        <v>522</v>
      </c>
      <c r="P198">
        <v>36</v>
      </c>
      <c r="Q198">
        <f t="shared" si="270"/>
        <v>19.080000000000002</v>
      </c>
      <c r="R198">
        <v>2484</v>
      </c>
      <c r="S198">
        <f t="shared" si="271"/>
        <v>2484</v>
      </c>
      <c r="T198" t="s">
        <v>73</v>
      </c>
      <c r="U198" t="e">
        <f t="shared" si="272"/>
        <v>#VALUE!</v>
      </c>
      <c r="V198" t="s">
        <v>73</v>
      </c>
      <c r="W198" t="e">
        <f t="shared" ref="W198" si="289">V198*1.3</f>
        <v>#VALUE!</v>
      </c>
      <c r="X198">
        <v>425</v>
      </c>
      <c r="Y198">
        <f t="shared" si="274"/>
        <v>510</v>
      </c>
      <c r="Z198">
        <v>47</v>
      </c>
      <c r="AA198">
        <f t="shared" si="275"/>
        <v>24.91</v>
      </c>
      <c r="AB198">
        <v>2268</v>
      </c>
      <c r="AC198">
        <f t="shared" si="276"/>
        <v>2268</v>
      </c>
      <c r="AD198" t="s">
        <v>73</v>
      </c>
      <c r="AE198" t="e">
        <f t="shared" si="277"/>
        <v>#VALUE!</v>
      </c>
      <c r="AF198" t="s">
        <v>73</v>
      </c>
      <c r="AG198" t="e">
        <f t="shared" si="278"/>
        <v>#VALUE!</v>
      </c>
      <c r="AH198">
        <v>425</v>
      </c>
      <c r="AI198">
        <f t="shared" si="279"/>
        <v>510</v>
      </c>
      <c r="AJ198">
        <v>24</v>
      </c>
      <c r="AK198">
        <f t="shared" si="280"/>
        <v>12.72</v>
      </c>
      <c r="AL198">
        <v>2268</v>
      </c>
      <c r="AM198">
        <f t="shared" si="281"/>
        <v>2268</v>
      </c>
      <c r="AN198" t="s">
        <v>73</v>
      </c>
      <c r="AO198" t="e">
        <f t="shared" si="282"/>
        <v>#VALUE!</v>
      </c>
      <c r="AP198" t="s">
        <v>73</v>
      </c>
      <c r="AQ198" t="e">
        <f t="shared" si="283"/>
        <v>#VALUE!</v>
      </c>
      <c r="AR198">
        <v>350</v>
      </c>
      <c r="AS198">
        <f t="shared" si="284"/>
        <v>420</v>
      </c>
      <c r="AT198">
        <v>13</v>
      </c>
      <c r="AU198">
        <f t="shared" si="285"/>
        <v>6.8900000000000006</v>
      </c>
      <c r="AV198">
        <v>1386</v>
      </c>
      <c r="AW198">
        <f t="shared" si="286"/>
        <v>1386</v>
      </c>
      <c r="AX198" t="s">
        <v>73</v>
      </c>
      <c r="AY198" t="e">
        <f t="shared" si="287"/>
        <v>#VALUE!</v>
      </c>
      <c r="AZ198" t="s">
        <v>73</v>
      </c>
      <c r="BA198" t="e">
        <f t="shared" si="288"/>
        <v>#VALUE!</v>
      </c>
    </row>
    <row r="199" spans="1:53" x14ac:dyDescent="0.3">
      <c r="A199" t="s">
        <v>74</v>
      </c>
      <c r="B199" t="s">
        <v>459</v>
      </c>
      <c r="C199" t="s">
        <v>460</v>
      </c>
      <c r="D199">
        <v>27</v>
      </c>
      <c r="E199">
        <f t="shared" si="264"/>
        <v>32.4</v>
      </c>
      <c r="F199">
        <v>34</v>
      </c>
      <c r="G199">
        <f t="shared" si="265"/>
        <v>18.02</v>
      </c>
      <c r="H199">
        <v>2400</v>
      </c>
      <c r="I199">
        <f t="shared" si="266"/>
        <v>2400</v>
      </c>
      <c r="J199" t="s">
        <v>73</v>
      </c>
      <c r="K199" t="e">
        <f t="shared" si="267"/>
        <v>#VALUE!</v>
      </c>
      <c r="L199" t="s">
        <v>73</v>
      </c>
      <c r="M199" t="e">
        <f t="shared" si="268"/>
        <v>#VALUE!</v>
      </c>
      <c r="N199">
        <v>27</v>
      </c>
      <c r="O199">
        <f t="shared" si="269"/>
        <v>32.4</v>
      </c>
      <c r="P199">
        <v>38</v>
      </c>
      <c r="Q199">
        <f t="shared" si="270"/>
        <v>20.14</v>
      </c>
      <c r="R199">
        <v>2310</v>
      </c>
      <c r="S199">
        <f t="shared" si="271"/>
        <v>2310</v>
      </c>
      <c r="T199" t="s">
        <v>73</v>
      </c>
      <c r="U199" t="e">
        <f t="shared" si="272"/>
        <v>#VALUE!</v>
      </c>
      <c r="V199" t="s">
        <v>73</v>
      </c>
      <c r="W199" t="e">
        <f t="shared" ref="W199" si="290">V199*1.3</f>
        <v>#VALUE!</v>
      </c>
      <c r="X199">
        <v>27</v>
      </c>
      <c r="Y199">
        <f t="shared" si="274"/>
        <v>32.4</v>
      </c>
      <c r="Z199">
        <v>42</v>
      </c>
      <c r="AA199">
        <f t="shared" si="275"/>
        <v>22.26</v>
      </c>
      <c r="AB199">
        <v>2448</v>
      </c>
      <c r="AC199">
        <f t="shared" si="276"/>
        <v>2448</v>
      </c>
      <c r="AD199" t="s">
        <v>73</v>
      </c>
      <c r="AE199" t="e">
        <f t="shared" si="277"/>
        <v>#VALUE!</v>
      </c>
      <c r="AF199" t="s">
        <v>73</v>
      </c>
      <c r="AG199" t="e">
        <f t="shared" si="278"/>
        <v>#VALUE!</v>
      </c>
      <c r="AH199">
        <v>27</v>
      </c>
      <c r="AI199">
        <f t="shared" si="279"/>
        <v>32.4</v>
      </c>
      <c r="AJ199">
        <v>45</v>
      </c>
      <c r="AK199">
        <f t="shared" si="280"/>
        <v>23.85</v>
      </c>
      <c r="AL199">
        <v>2352</v>
      </c>
      <c r="AM199">
        <f t="shared" si="281"/>
        <v>2352</v>
      </c>
      <c r="AN199" t="s">
        <v>73</v>
      </c>
      <c r="AO199" t="e">
        <f t="shared" si="282"/>
        <v>#VALUE!</v>
      </c>
      <c r="AP199">
        <v>8</v>
      </c>
      <c r="AQ199">
        <f t="shared" si="283"/>
        <v>10.4</v>
      </c>
      <c r="AR199">
        <v>24</v>
      </c>
      <c r="AS199">
        <f t="shared" si="284"/>
        <v>28.799999999999997</v>
      </c>
      <c r="AT199">
        <v>31</v>
      </c>
      <c r="AU199">
        <f t="shared" si="285"/>
        <v>16.43</v>
      </c>
      <c r="AV199">
        <v>2016</v>
      </c>
      <c r="AW199">
        <f t="shared" si="286"/>
        <v>2016</v>
      </c>
      <c r="AX199" t="s">
        <v>73</v>
      </c>
      <c r="AY199" t="e">
        <f t="shared" si="287"/>
        <v>#VALUE!</v>
      </c>
      <c r="AZ199">
        <v>75</v>
      </c>
      <c r="BA199">
        <f t="shared" si="288"/>
        <v>97.5</v>
      </c>
    </row>
    <row r="200" spans="1:53" x14ac:dyDescent="0.3">
      <c r="A200" t="s">
        <v>74</v>
      </c>
      <c r="B200" t="s">
        <v>461</v>
      </c>
      <c r="C200" t="s">
        <v>462</v>
      </c>
      <c r="D200">
        <v>272</v>
      </c>
      <c r="E200">
        <f t="shared" si="264"/>
        <v>326.39999999999998</v>
      </c>
      <c r="F200">
        <v>75</v>
      </c>
      <c r="G200">
        <f t="shared" si="265"/>
        <v>39.75</v>
      </c>
      <c r="H200">
        <v>1776</v>
      </c>
      <c r="I200">
        <f t="shared" si="266"/>
        <v>1776</v>
      </c>
      <c r="J200">
        <v>18</v>
      </c>
      <c r="K200">
        <f t="shared" si="267"/>
        <v>27</v>
      </c>
      <c r="L200" t="s">
        <v>73</v>
      </c>
      <c r="M200" t="e">
        <f t="shared" si="268"/>
        <v>#VALUE!</v>
      </c>
      <c r="N200">
        <v>239</v>
      </c>
      <c r="O200">
        <f t="shared" si="269"/>
        <v>286.8</v>
      </c>
      <c r="P200">
        <v>67</v>
      </c>
      <c r="Q200">
        <f t="shared" si="270"/>
        <v>35.510000000000005</v>
      </c>
      <c r="R200">
        <v>1560</v>
      </c>
      <c r="S200">
        <f t="shared" si="271"/>
        <v>1560</v>
      </c>
      <c r="T200">
        <v>90</v>
      </c>
      <c r="U200">
        <f t="shared" si="272"/>
        <v>135</v>
      </c>
      <c r="V200" t="s">
        <v>73</v>
      </c>
      <c r="W200" t="e">
        <f t="shared" ref="W200" si="291">V200*1.3</f>
        <v>#VALUE!</v>
      </c>
      <c r="X200">
        <v>288</v>
      </c>
      <c r="Y200">
        <f t="shared" si="274"/>
        <v>345.59999999999997</v>
      </c>
      <c r="Z200">
        <v>216</v>
      </c>
      <c r="AA200">
        <f t="shared" si="275"/>
        <v>114.48</v>
      </c>
      <c r="AB200">
        <v>2640</v>
      </c>
      <c r="AC200">
        <f t="shared" si="276"/>
        <v>2640</v>
      </c>
      <c r="AD200">
        <v>72</v>
      </c>
      <c r="AE200">
        <f t="shared" si="277"/>
        <v>108</v>
      </c>
      <c r="AF200" t="s">
        <v>73</v>
      </c>
      <c r="AG200" t="e">
        <f t="shared" si="278"/>
        <v>#VALUE!</v>
      </c>
      <c r="AH200">
        <v>341</v>
      </c>
      <c r="AI200">
        <f t="shared" si="279"/>
        <v>409.2</v>
      </c>
      <c r="AJ200">
        <v>33</v>
      </c>
      <c r="AK200">
        <f t="shared" si="280"/>
        <v>17.490000000000002</v>
      </c>
      <c r="AL200">
        <v>2720</v>
      </c>
      <c r="AM200">
        <f t="shared" si="281"/>
        <v>2720</v>
      </c>
      <c r="AN200">
        <v>72</v>
      </c>
      <c r="AO200">
        <f t="shared" si="282"/>
        <v>108</v>
      </c>
      <c r="AP200" t="s">
        <v>73</v>
      </c>
      <c r="AQ200" t="e">
        <f t="shared" si="283"/>
        <v>#VALUE!</v>
      </c>
      <c r="AR200">
        <v>192</v>
      </c>
      <c r="AS200">
        <f t="shared" si="284"/>
        <v>230.39999999999998</v>
      </c>
      <c r="AT200">
        <v>18</v>
      </c>
      <c r="AU200">
        <f t="shared" si="285"/>
        <v>9.5400000000000009</v>
      </c>
      <c r="AV200">
        <v>1200</v>
      </c>
      <c r="AW200">
        <f t="shared" si="286"/>
        <v>1200</v>
      </c>
      <c r="AX200">
        <v>60</v>
      </c>
      <c r="AY200">
        <f t="shared" si="287"/>
        <v>90</v>
      </c>
      <c r="AZ200" t="s">
        <v>73</v>
      </c>
      <c r="BA200" t="e">
        <f t="shared" si="288"/>
        <v>#VALUE!</v>
      </c>
    </row>
    <row r="201" spans="1:53" x14ac:dyDescent="0.3">
      <c r="A201" t="s">
        <v>74</v>
      </c>
      <c r="B201" t="s">
        <v>463</v>
      </c>
      <c r="C201" t="s">
        <v>464</v>
      </c>
      <c r="D201">
        <v>1539</v>
      </c>
      <c r="E201">
        <f t="shared" si="264"/>
        <v>1846.8</v>
      </c>
      <c r="F201">
        <v>215</v>
      </c>
      <c r="G201">
        <f t="shared" si="265"/>
        <v>113.95</v>
      </c>
      <c r="H201">
        <v>4275</v>
      </c>
      <c r="I201">
        <f t="shared" si="266"/>
        <v>4275</v>
      </c>
      <c r="J201">
        <v>28</v>
      </c>
      <c r="K201">
        <f t="shared" si="267"/>
        <v>42</v>
      </c>
      <c r="L201" t="s">
        <v>73</v>
      </c>
      <c r="M201" t="e">
        <f t="shared" si="268"/>
        <v>#VALUE!</v>
      </c>
      <c r="N201">
        <v>1349</v>
      </c>
      <c r="O201">
        <f t="shared" si="269"/>
        <v>1618.8</v>
      </c>
      <c r="P201">
        <v>215</v>
      </c>
      <c r="Q201">
        <f t="shared" si="270"/>
        <v>113.95</v>
      </c>
      <c r="R201">
        <v>5040</v>
      </c>
      <c r="S201">
        <f t="shared" si="271"/>
        <v>5040</v>
      </c>
      <c r="T201">
        <v>270</v>
      </c>
      <c r="U201">
        <f t="shared" si="272"/>
        <v>405</v>
      </c>
      <c r="V201" t="s">
        <v>73</v>
      </c>
      <c r="W201" t="e">
        <f t="shared" ref="W201" si="292">V201*1.3</f>
        <v>#VALUE!</v>
      </c>
      <c r="X201">
        <v>1349</v>
      </c>
      <c r="Y201">
        <f t="shared" si="274"/>
        <v>1618.8</v>
      </c>
      <c r="Z201">
        <v>192</v>
      </c>
      <c r="AA201">
        <f t="shared" si="275"/>
        <v>101.76</v>
      </c>
      <c r="AB201">
        <v>4440</v>
      </c>
      <c r="AC201">
        <f t="shared" si="276"/>
        <v>4440</v>
      </c>
      <c r="AD201">
        <v>360</v>
      </c>
      <c r="AE201">
        <f t="shared" si="277"/>
        <v>540</v>
      </c>
      <c r="AF201" t="s">
        <v>73</v>
      </c>
      <c r="AG201" t="e">
        <f t="shared" si="278"/>
        <v>#VALUE!</v>
      </c>
      <c r="AH201">
        <v>1349</v>
      </c>
      <c r="AI201">
        <f t="shared" si="279"/>
        <v>1618.8</v>
      </c>
      <c r="AJ201">
        <v>79</v>
      </c>
      <c r="AK201">
        <f t="shared" si="280"/>
        <v>41.870000000000005</v>
      </c>
      <c r="AL201">
        <v>4577</v>
      </c>
      <c r="AM201">
        <f t="shared" si="281"/>
        <v>4577</v>
      </c>
      <c r="AN201">
        <v>300</v>
      </c>
      <c r="AO201">
        <f t="shared" si="282"/>
        <v>450</v>
      </c>
      <c r="AP201" t="s">
        <v>73</v>
      </c>
      <c r="AQ201" t="e">
        <f t="shared" si="283"/>
        <v>#VALUE!</v>
      </c>
      <c r="AR201">
        <v>1065</v>
      </c>
      <c r="AS201">
        <f t="shared" si="284"/>
        <v>1278</v>
      </c>
      <c r="AT201">
        <v>90</v>
      </c>
      <c r="AU201">
        <f t="shared" si="285"/>
        <v>47.7</v>
      </c>
      <c r="AV201">
        <v>2442</v>
      </c>
      <c r="AW201">
        <f t="shared" si="286"/>
        <v>2442</v>
      </c>
      <c r="AX201">
        <v>300</v>
      </c>
      <c r="AY201">
        <f t="shared" si="287"/>
        <v>450</v>
      </c>
      <c r="AZ201">
        <v>96</v>
      </c>
      <c r="BA201">
        <f t="shared" si="288"/>
        <v>124.80000000000001</v>
      </c>
    </row>
    <row r="202" spans="1:53" x14ac:dyDescent="0.3">
      <c r="A202" t="s">
        <v>74</v>
      </c>
      <c r="B202" t="s">
        <v>465</v>
      </c>
      <c r="C202" t="s">
        <v>466</v>
      </c>
      <c r="D202">
        <v>12800</v>
      </c>
      <c r="E202">
        <f t="shared" si="264"/>
        <v>15360</v>
      </c>
      <c r="F202">
        <v>7</v>
      </c>
      <c r="G202">
        <f t="shared" si="265"/>
        <v>3.71</v>
      </c>
      <c r="H202">
        <v>500</v>
      </c>
      <c r="I202">
        <f t="shared" si="266"/>
        <v>500</v>
      </c>
      <c r="J202" t="s">
        <v>73</v>
      </c>
      <c r="K202" t="e">
        <f t="shared" si="267"/>
        <v>#VALUE!</v>
      </c>
      <c r="L202" t="s">
        <v>73</v>
      </c>
      <c r="M202" t="e">
        <f t="shared" si="268"/>
        <v>#VALUE!</v>
      </c>
      <c r="N202">
        <v>12267</v>
      </c>
      <c r="O202">
        <f t="shared" si="269"/>
        <v>14720.4</v>
      </c>
      <c r="P202">
        <v>8</v>
      </c>
      <c r="Q202">
        <f t="shared" si="270"/>
        <v>4.24</v>
      </c>
      <c r="R202">
        <v>1000</v>
      </c>
      <c r="S202">
        <f t="shared" si="271"/>
        <v>1000</v>
      </c>
      <c r="T202" t="s">
        <v>73</v>
      </c>
      <c r="U202" t="e">
        <f t="shared" si="272"/>
        <v>#VALUE!</v>
      </c>
      <c r="V202" t="s">
        <v>73</v>
      </c>
      <c r="W202" t="e">
        <f t="shared" ref="W202" si="293">V202*1.3</f>
        <v>#VALUE!</v>
      </c>
      <c r="X202">
        <v>13600</v>
      </c>
      <c r="Y202">
        <f t="shared" si="274"/>
        <v>16320</v>
      </c>
      <c r="Z202">
        <v>5</v>
      </c>
      <c r="AA202">
        <f t="shared" si="275"/>
        <v>2.6500000000000004</v>
      </c>
      <c r="AB202">
        <v>960</v>
      </c>
      <c r="AC202">
        <f t="shared" si="276"/>
        <v>960</v>
      </c>
      <c r="AD202">
        <v>18</v>
      </c>
      <c r="AE202">
        <f t="shared" si="277"/>
        <v>27</v>
      </c>
      <c r="AF202" t="s">
        <v>73</v>
      </c>
      <c r="AG202" t="e">
        <f t="shared" si="278"/>
        <v>#VALUE!</v>
      </c>
      <c r="AH202">
        <v>12208</v>
      </c>
      <c r="AI202">
        <f t="shared" si="279"/>
        <v>14649.6</v>
      </c>
      <c r="AJ202">
        <v>8</v>
      </c>
      <c r="AK202">
        <f t="shared" si="280"/>
        <v>4.24</v>
      </c>
      <c r="AL202">
        <v>1100</v>
      </c>
      <c r="AM202">
        <f t="shared" si="281"/>
        <v>1100</v>
      </c>
      <c r="AN202" t="s">
        <v>73</v>
      </c>
      <c r="AO202" t="e">
        <f t="shared" si="282"/>
        <v>#VALUE!</v>
      </c>
      <c r="AP202" t="s">
        <v>73</v>
      </c>
      <c r="AQ202" t="e">
        <f t="shared" si="283"/>
        <v>#VALUE!</v>
      </c>
      <c r="AR202">
        <v>12426</v>
      </c>
      <c r="AS202">
        <f t="shared" si="284"/>
        <v>14911.199999999999</v>
      </c>
      <c r="AT202">
        <v>8</v>
      </c>
      <c r="AU202">
        <f t="shared" si="285"/>
        <v>4.24</v>
      </c>
      <c r="AV202">
        <v>1020</v>
      </c>
      <c r="AW202">
        <f t="shared" si="286"/>
        <v>1020</v>
      </c>
      <c r="AX202" t="s">
        <v>73</v>
      </c>
      <c r="AY202" t="e">
        <f t="shared" si="287"/>
        <v>#VALUE!</v>
      </c>
      <c r="AZ202" t="s">
        <v>73</v>
      </c>
      <c r="BA202" t="e">
        <f t="shared" si="288"/>
        <v>#VALUE!</v>
      </c>
    </row>
    <row r="203" spans="1:53" x14ac:dyDescent="0.3">
      <c r="A203" t="s">
        <v>74</v>
      </c>
      <c r="B203" t="s">
        <v>467</v>
      </c>
      <c r="C203" t="s">
        <v>468</v>
      </c>
      <c r="D203">
        <v>15000</v>
      </c>
      <c r="E203">
        <f t="shared" si="264"/>
        <v>18000</v>
      </c>
      <c r="F203">
        <v>85</v>
      </c>
      <c r="G203">
        <f t="shared" si="265"/>
        <v>45.050000000000004</v>
      </c>
      <c r="H203">
        <v>5280</v>
      </c>
      <c r="I203">
        <f t="shared" si="266"/>
        <v>5280</v>
      </c>
      <c r="J203">
        <v>750</v>
      </c>
      <c r="K203">
        <f t="shared" si="267"/>
        <v>1125</v>
      </c>
      <c r="L203">
        <v>100</v>
      </c>
      <c r="M203">
        <f t="shared" si="268"/>
        <v>130</v>
      </c>
      <c r="N203">
        <v>15334</v>
      </c>
      <c r="O203">
        <f t="shared" si="269"/>
        <v>18400.8</v>
      </c>
      <c r="P203">
        <v>89</v>
      </c>
      <c r="Q203">
        <f t="shared" si="270"/>
        <v>47.17</v>
      </c>
      <c r="R203">
        <v>5280</v>
      </c>
      <c r="S203">
        <f t="shared" si="271"/>
        <v>5280</v>
      </c>
      <c r="T203">
        <v>825</v>
      </c>
      <c r="U203">
        <f t="shared" si="272"/>
        <v>1237.5</v>
      </c>
      <c r="V203">
        <v>100</v>
      </c>
      <c r="W203">
        <f t="shared" ref="W203" si="294">V203*1.3</f>
        <v>130</v>
      </c>
      <c r="X203">
        <v>18000</v>
      </c>
      <c r="Y203">
        <f t="shared" si="274"/>
        <v>21600</v>
      </c>
      <c r="Z203">
        <v>138</v>
      </c>
      <c r="AA203">
        <f t="shared" si="275"/>
        <v>73.14</v>
      </c>
      <c r="AB203">
        <v>8580</v>
      </c>
      <c r="AC203">
        <f t="shared" si="276"/>
        <v>8580</v>
      </c>
      <c r="AD203">
        <v>3600</v>
      </c>
      <c r="AE203">
        <f t="shared" si="277"/>
        <v>5400</v>
      </c>
      <c r="AF203">
        <v>1200</v>
      </c>
      <c r="AG203">
        <f t="shared" si="278"/>
        <v>1560</v>
      </c>
      <c r="AH203">
        <v>15260</v>
      </c>
      <c r="AI203">
        <f t="shared" si="279"/>
        <v>18312</v>
      </c>
      <c r="AJ203">
        <v>90</v>
      </c>
      <c r="AK203">
        <f t="shared" si="280"/>
        <v>47.7</v>
      </c>
      <c r="AL203">
        <v>5280</v>
      </c>
      <c r="AM203">
        <f t="shared" si="281"/>
        <v>5280</v>
      </c>
      <c r="AN203">
        <v>800</v>
      </c>
      <c r="AO203">
        <f t="shared" si="282"/>
        <v>1200</v>
      </c>
      <c r="AP203">
        <v>100</v>
      </c>
      <c r="AQ203">
        <f t="shared" si="283"/>
        <v>130</v>
      </c>
      <c r="AR203">
        <v>15198</v>
      </c>
      <c r="AS203">
        <f t="shared" si="284"/>
        <v>18237.599999999999</v>
      </c>
      <c r="AT203">
        <v>95</v>
      </c>
      <c r="AU203">
        <f t="shared" si="285"/>
        <v>50.35</v>
      </c>
      <c r="AV203">
        <v>5280</v>
      </c>
      <c r="AW203">
        <f t="shared" si="286"/>
        <v>5280</v>
      </c>
      <c r="AX203">
        <v>1950</v>
      </c>
      <c r="AY203">
        <f t="shared" si="287"/>
        <v>2925</v>
      </c>
      <c r="AZ203">
        <v>210</v>
      </c>
      <c r="BA203">
        <f t="shared" si="288"/>
        <v>273</v>
      </c>
    </row>
    <row r="204" spans="1:53" x14ac:dyDescent="0.3">
      <c r="A204" t="s">
        <v>74</v>
      </c>
      <c r="B204" t="s">
        <v>469</v>
      </c>
      <c r="C204" t="s">
        <v>470</v>
      </c>
      <c r="D204">
        <v>542</v>
      </c>
      <c r="E204">
        <f t="shared" si="264"/>
        <v>650.4</v>
      </c>
      <c r="F204">
        <v>146</v>
      </c>
      <c r="G204">
        <f t="shared" si="265"/>
        <v>77.38000000000001</v>
      </c>
      <c r="H204">
        <v>10836</v>
      </c>
      <c r="I204">
        <f t="shared" si="266"/>
        <v>10836</v>
      </c>
      <c r="J204">
        <v>1050</v>
      </c>
      <c r="K204">
        <f t="shared" si="267"/>
        <v>1575</v>
      </c>
      <c r="L204" t="s">
        <v>73</v>
      </c>
      <c r="M204" t="e">
        <f t="shared" si="268"/>
        <v>#VALUE!</v>
      </c>
      <c r="N204">
        <v>476</v>
      </c>
      <c r="O204">
        <f t="shared" si="269"/>
        <v>571.19999999999993</v>
      </c>
      <c r="P204">
        <v>152</v>
      </c>
      <c r="Q204">
        <f t="shared" si="270"/>
        <v>80.56</v>
      </c>
      <c r="R204">
        <v>11970</v>
      </c>
      <c r="S204">
        <f t="shared" si="271"/>
        <v>11970</v>
      </c>
      <c r="T204">
        <v>1365</v>
      </c>
      <c r="U204">
        <f t="shared" si="272"/>
        <v>2047.5</v>
      </c>
      <c r="V204">
        <v>360</v>
      </c>
      <c r="W204">
        <f t="shared" ref="W204" si="295">V204*1.3</f>
        <v>468</v>
      </c>
      <c r="X204">
        <v>476</v>
      </c>
      <c r="Y204">
        <f t="shared" si="274"/>
        <v>571.19999999999993</v>
      </c>
      <c r="Z204">
        <v>198</v>
      </c>
      <c r="AA204">
        <f t="shared" si="275"/>
        <v>104.94000000000001</v>
      </c>
      <c r="AB204">
        <v>11970</v>
      </c>
      <c r="AC204">
        <f t="shared" si="276"/>
        <v>11970</v>
      </c>
      <c r="AD204">
        <v>1620</v>
      </c>
      <c r="AE204">
        <f t="shared" si="277"/>
        <v>2430</v>
      </c>
      <c r="AF204">
        <v>405</v>
      </c>
      <c r="AG204">
        <f t="shared" si="278"/>
        <v>526.5</v>
      </c>
      <c r="AH204">
        <v>571</v>
      </c>
      <c r="AI204">
        <f t="shared" si="279"/>
        <v>685.19999999999993</v>
      </c>
      <c r="AJ204">
        <v>63</v>
      </c>
      <c r="AK204">
        <f t="shared" si="280"/>
        <v>33.39</v>
      </c>
      <c r="AL204">
        <v>12107</v>
      </c>
      <c r="AM204">
        <f t="shared" si="281"/>
        <v>12107</v>
      </c>
      <c r="AN204">
        <v>1620</v>
      </c>
      <c r="AO204">
        <f t="shared" si="282"/>
        <v>2430</v>
      </c>
      <c r="AP204">
        <v>120</v>
      </c>
      <c r="AQ204">
        <f t="shared" si="283"/>
        <v>156</v>
      </c>
      <c r="AR204">
        <v>460</v>
      </c>
      <c r="AS204">
        <f t="shared" si="284"/>
        <v>552</v>
      </c>
      <c r="AT204">
        <v>57</v>
      </c>
      <c r="AU204">
        <f t="shared" si="285"/>
        <v>30.21</v>
      </c>
      <c r="AV204">
        <v>7980</v>
      </c>
      <c r="AW204">
        <f t="shared" si="286"/>
        <v>7980</v>
      </c>
      <c r="AX204">
        <v>1620</v>
      </c>
      <c r="AY204">
        <f t="shared" si="287"/>
        <v>2430</v>
      </c>
      <c r="AZ204">
        <v>243</v>
      </c>
      <c r="BA204">
        <f t="shared" si="288"/>
        <v>315.90000000000003</v>
      </c>
    </row>
    <row r="205" spans="1:53" x14ac:dyDescent="0.3">
      <c r="A205" t="s">
        <v>74</v>
      </c>
      <c r="B205" t="s">
        <v>471</v>
      </c>
      <c r="C205" t="s">
        <v>472</v>
      </c>
      <c r="D205" t="s">
        <v>73</v>
      </c>
      <c r="E205" t="e">
        <f t="shared" si="264"/>
        <v>#VALUE!</v>
      </c>
      <c r="F205">
        <v>67</v>
      </c>
      <c r="G205">
        <f t="shared" si="265"/>
        <v>35.510000000000005</v>
      </c>
      <c r="H205">
        <v>2646</v>
      </c>
      <c r="I205">
        <f t="shared" si="266"/>
        <v>2646</v>
      </c>
      <c r="J205" t="s">
        <v>73</v>
      </c>
      <c r="K205" t="e">
        <f t="shared" si="267"/>
        <v>#VALUE!</v>
      </c>
      <c r="L205" t="s">
        <v>73</v>
      </c>
      <c r="M205" t="e">
        <f t="shared" si="268"/>
        <v>#VALUE!</v>
      </c>
      <c r="N205" t="s">
        <v>73</v>
      </c>
      <c r="O205" t="e">
        <f t="shared" si="269"/>
        <v>#VALUE!</v>
      </c>
      <c r="P205">
        <v>89</v>
      </c>
      <c r="Q205">
        <f t="shared" si="270"/>
        <v>47.17</v>
      </c>
      <c r="R205">
        <v>3264</v>
      </c>
      <c r="S205">
        <f t="shared" si="271"/>
        <v>3264</v>
      </c>
      <c r="T205" t="s">
        <v>73</v>
      </c>
      <c r="U205" t="e">
        <f t="shared" si="272"/>
        <v>#VALUE!</v>
      </c>
      <c r="V205" t="s">
        <v>73</v>
      </c>
      <c r="W205" t="e">
        <f t="shared" ref="W205" si="296">V205*1.3</f>
        <v>#VALUE!</v>
      </c>
      <c r="X205" t="s">
        <v>73</v>
      </c>
      <c r="Y205" t="e">
        <f t="shared" si="274"/>
        <v>#VALUE!</v>
      </c>
      <c r="Z205">
        <v>100</v>
      </c>
      <c r="AA205">
        <f t="shared" si="275"/>
        <v>53</v>
      </c>
      <c r="AB205">
        <v>3468</v>
      </c>
      <c r="AC205">
        <f t="shared" si="276"/>
        <v>3468</v>
      </c>
      <c r="AD205" t="s">
        <v>73</v>
      </c>
      <c r="AE205" t="e">
        <f t="shared" si="277"/>
        <v>#VALUE!</v>
      </c>
      <c r="AF205" t="s">
        <v>73</v>
      </c>
      <c r="AG205" t="e">
        <f t="shared" si="278"/>
        <v>#VALUE!</v>
      </c>
      <c r="AH205" t="s">
        <v>73</v>
      </c>
      <c r="AI205" t="e">
        <f t="shared" si="279"/>
        <v>#VALUE!</v>
      </c>
      <c r="AJ205">
        <v>83</v>
      </c>
      <c r="AK205">
        <f t="shared" si="280"/>
        <v>43.99</v>
      </c>
      <c r="AL205">
        <v>3264</v>
      </c>
      <c r="AM205">
        <f t="shared" si="281"/>
        <v>3264</v>
      </c>
      <c r="AN205" t="s">
        <v>73</v>
      </c>
      <c r="AO205" t="e">
        <f t="shared" si="282"/>
        <v>#VALUE!</v>
      </c>
      <c r="AP205">
        <v>10</v>
      </c>
      <c r="AQ205">
        <f t="shared" si="283"/>
        <v>13</v>
      </c>
      <c r="AR205" t="s">
        <v>73</v>
      </c>
      <c r="AS205" t="e">
        <f t="shared" si="284"/>
        <v>#VALUE!</v>
      </c>
      <c r="AT205">
        <v>81</v>
      </c>
      <c r="AU205">
        <f t="shared" si="285"/>
        <v>42.93</v>
      </c>
      <c r="AV205">
        <v>1632</v>
      </c>
      <c r="AW205">
        <f t="shared" si="286"/>
        <v>1632</v>
      </c>
      <c r="AX205" t="s">
        <v>73</v>
      </c>
      <c r="AY205" t="e">
        <f t="shared" si="287"/>
        <v>#VALUE!</v>
      </c>
      <c r="AZ205">
        <v>19</v>
      </c>
      <c r="BA205">
        <f t="shared" si="288"/>
        <v>24.7</v>
      </c>
    </row>
    <row r="206" spans="1:53" x14ac:dyDescent="0.3">
      <c r="A206" t="s">
        <v>74</v>
      </c>
      <c r="B206" t="s">
        <v>473</v>
      </c>
      <c r="C206" t="s">
        <v>474</v>
      </c>
      <c r="D206">
        <v>9750</v>
      </c>
      <c r="E206">
        <f t="shared" si="264"/>
        <v>11700</v>
      </c>
      <c r="F206">
        <v>45</v>
      </c>
      <c r="G206">
        <f t="shared" si="265"/>
        <v>23.85</v>
      </c>
      <c r="H206">
        <v>8500</v>
      </c>
      <c r="I206">
        <f t="shared" si="266"/>
        <v>8500</v>
      </c>
      <c r="J206">
        <v>2550</v>
      </c>
      <c r="K206">
        <f t="shared" si="267"/>
        <v>3825</v>
      </c>
      <c r="L206" t="s">
        <v>73</v>
      </c>
      <c r="M206" t="e">
        <f t="shared" si="268"/>
        <v>#VALUE!</v>
      </c>
      <c r="N206">
        <v>9500</v>
      </c>
      <c r="O206">
        <f t="shared" si="269"/>
        <v>11400</v>
      </c>
      <c r="P206">
        <v>60</v>
      </c>
      <c r="Q206">
        <f t="shared" si="270"/>
        <v>31.8</v>
      </c>
      <c r="R206">
        <v>10200</v>
      </c>
      <c r="S206">
        <f t="shared" si="271"/>
        <v>10200</v>
      </c>
      <c r="T206">
        <v>2975</v>
      </c>
      <c r="U206">
        <f t="shared" si="272"/>
        <v>4462.5</v>
      </c>
      <c r="V206" t="s">
        <v>73</v>
      </c>
      <c r="W206" t="e">
        <f t="shared" ref="W206" si="297">V206*1.3</f>
        <v>#VALUE!</v>
      </c>
      <c r="X206">
        <v>9450</v>
      </c>
      <c r="Y206">
        <f t="shared" si="274"/>
        <v>11340</v>
      </c>
      <c r="Z206">
        <v>45</v>
      </c>
      <c r="AA206">
        <f t="shared" si="275"/>
        <v>23.85</v>
      </c>
      <c r="AB206">
        <v>10200</v>
      </c>
      <c r="AC206">
        <f t="shared" si="276"/>
        <v>10200</v>
      </c>
      <c r="AD206">
        <v>6000</v>
      </c>
      <c r="AE206">
        <f t="shared" si="277"/>
        <v>9000</v>
      </c>
      <c r="AF206" t="s">
        <v>73</v>
      </c>
      <c r="AG206" t="e">
        <f t="shared" si="278"/>
        <v>#VALUE!</v>
      </c>
      <c r="AH206">
        <v>9306</v>
      </c>
      <c r="AI206">
        <f t="shared" si="279"/>
        <v>11167.199999999999</v>
      </c>
      <c r="AJ206">
        <v>55</v>
      </c>
      <c r="AK206">
        <f t="shared" si="280"/>
        <v>29.150000000000002</v>
      </c>
      <c r="AL206">
        <v>10200</v>
      </c>
      <c r="AM206">
        <f t="shared" si="281"/>
        <v>10200</v>
      </c>
      <c r="AN206">
        <v>2862</v>
      </c>
      <c r="AO206">
        <f t="shared" si="282"/>
        <v>4293</v>
      </c>
      <c r="AP206" t="s">
        <v>73</v>
      </c>
      <c r="AQ206" t="e">
        <f t="shared" si="283"/>
        <v>#VALUE!</v>
      </c>
      <c r="AR206">
        <v>9419</v>
      </c>
      <c r="AS206">
        <f t="shared" si="284"/>
        <v>11302.8</v>
      </c>
      <c r="AT206">
        <v>53</v>
      </c>
      <c r="AU206">
        <f t="shared" si="285"/>
        <v>28.09</v>
      </c>
      <c r="AV206">
        <v>10200</v>
      </c>
      <c r="AW206">
        <f t="shared" si="286"/>
        <v>10200</v>
      </c>
      <c r="AX206">
        <v>6000</v>
      </c>
      <c r="AY206">
        <f t="shared" si="287"/>
        <v>9000</v>
      </c>
      <c r="AZ206">
        <v>150</v>
      </c>
      <c r="BA206">
        <f t="shared" si="288"/>
        <v>195</v>
      </c>
    </row>
    <row r="207" spans="1:53" x14ac:dyDescent="0.3">
      <c r="A207" t="s">
        <v>74</v>
      </c>
      <c r="B207" t="s">
        <v>475</v>
      </c>
      <c r="C207" t="s">
        <v>476</v>
      </c>
      <c r="D207">
        <v>11835</v>
      </c>
      <c r="E207">
        <f t="shared" si="264"/>
        <v>14202</v>
      </c>
      <c r="F207">
        <v>171</v>
      </c>
      <c r="G207">
        <f t="shared" si="265"/>
        <v>90.63000000000001</v>
      </c>
      <c r="H207">
        <v>6336</v>
      </c>
      <c r="I207">
        <f t="shared" si="266"/>
        <v>6336</v>
      </c>
      <c r="J207">
        <v>360</v>
      </c>
      <c r="K207">
        <f t="shared" si="267"/>
        <v>540</v>
      </c>
      <c r="L207">
        <v>55</v>
      </c>
      <c r="M207">
        <f t="shared" si="268"/>
        <v>71.5</v>
      </c>
      <c r="N207">
        <v>11835</v>
      </c>
      <c r="O207">
        <f t="shared" si="269"/>
        <v>14202</v>
      </c>
      <c r="P207">
        <v>186</v>
      </c>
      <c r="Q207">
        <f t="shared" si="270"/>
        <v>98.58</v>
      </c>
      <c r="R207">
        <v>8316</v>
      </c>
      <c r="S207">
        <f t="shared" si="271"/>
        <v>8316</v>
      </c>
      <c r="T207">
        <v>390</v>
      </c>
      <c r="U207">
        <f t="shared" si="272"/>
        <v>585</v>
      </c>
      <c r="V207">
        <v>60</v>
      </c>
      <c r="W207">
        <f t="shared" ref="W207" si="298">V207*1.3</f>
        <v>78</v>
      </c>
      <c r="X207">
        <v>11700</v>
      </c>
      <c r="Y207">
        <f t="shared" si="274"/>
        <v>14040</v>
      </c>
      <c r="Z207">
        <v>198</v>
      </c>
      <c r="AA207">
        <f t="shared" si="275"/>
        <v>104.94000000000001</v>
      </c>
      <c r="AB207">
        <v>8910</v>
      </c>
      <c r="AC207">
        <f t="shared" si="276"/>
        <v>8910</v>
      </c>
      <c r="AD207">
        <v>390</v>
      </c>
      <c r="AE207">
        <f t="shared" si="277"/>
        <v>585</v>
      </c>
      <c r="AF207">
        <v>60</v>
      </c>
      <c r="AG207">
        <f t="shared" si="278"/>
        <v>78</v>
      </c>
      <c r="AH207">
        <v>12055</v>
      </c>
      <c r="AI207">
        <f t="shared" si="279"/>
        <v>14466</v>
      </c>
      <c r="AJ207">
        <v>112</v>
      </c>
      <c r="AK207">
        <f t="shared" si="280"/>
        <v>59.36</v>
      </c>
      <c r="AL207">
        <v>7785</v>
      </c>
      <c r="AM207">
        <f t="shared" si="281"/>
        <v>7785</v>
      </c>
      <c r="AN207">
        <v>390</v>
      </c>
      <c r="AO207">
        <f t="shared" si="282"/>
        <v>585</v>
      </c>
      <c r="AP207">
        <v>20</v>
      </c>
      <c r="AQ207">
        <f t="shared" si="283"/>
        <v>26</v>
      </c>
      <c r="AR207">
        <v>9074</v>
      </c>
      <c r="AS207">
        <f t="shared" si="284"/>
        <v>10888.8</v>
      </c>
      <c r="AT207">
        <v>50</v>
      </c>
      <c r="AU207">
        <f t="shared" si="285"/>
        <v>26.5</v>
      </c>
      <c r="AV207">
        <v>4050</v>
      </c>
      <c r="AW207">
        <f t="shared" si="286"/>
        <v>4050</v>
      </c>
      <c r="AX207">
        <v>300</v>
      </c>
      <c r="AY207">
        <f t="shared" si="287"/>
        <v>450</v>
      </c>
      <c r="AZ207">
        <v>163</v>
      </c>
      <c r="BA207">
        <f t="shared" si="288"/>
        <v>211.9</v>
      </c>
    </row>
    <row r="208" spans="1:53" x14ac:dyDescent="0.3">
      <c r="A208" t="s">
        <v>74</v>
      </c>
      <c r="B208" t="s">
        <v>477</v>
      </c>
      <c r="C208" t="s">
        <v>478</v>
      </c>
      <c r="D208">
        <v>2890</v>
      </c>
      <c r="E208">
        <f t="shared" si="264"/>
        <v>3468</v>
      </c>
      <c r="F208">
        <v>43</v>
      </c>
      <c r="G208">
        <f t="shared" si="265"/>
        <v>22.790000000000003</v>
      </c>
      <c r="H208">
        <v>2400</v>
      </c>
      <c r="I208">
        <f t="shared" si="266"/>
        <v>2400</v>
      </c>
      <c r="J208">
        <v>1485</v>
      </c>
      <c r="K208">
        <f t="shared" si="267"/>
        <v>2227.5</v>
      </c>
      <c r="L208" t="s">
        <v>73</v>
      </c>
      <c r="M208" t="e">
        <f t="shared" si="268"/>
        <v>#VALUE!</v>
      </c>
      <c r="N208">
        <v>2890</v>
      </c>
      <c r="O208">
        <f t="shared" si="269"/>
        <v>3468</v>
      </c>
      <c r="P208">
        <v>53</v>
      </c>
      <c r="Q208">
        <f t="shared" si="270"/>
        <v>28.09</v>
      </c>
      <c r="R208">
        <v>2970</v>
      </c>
      <c r="S208">
        <f t="shared" si="271"/>
        <v>2970</v>
      </c>
      <c r="T208">
        <v>1755</v>
      </c>
      <c r="U208">
        <f t="shared" si="272"/>
        <v>2632.5</v>
      </c>
      <c r="V208" t="s">
        <v>73</v>
      </c>
      <c r="W208" t="e">
        <f t="shared" ref="W208" si="299">V208*1.3</f>
        <v>#VALUE!</v>
      </c>
      <c r="X208">
        <v>3060</v>
      </c>
      <c r="Y208">
        <f t="shared" si="274"/>
        <v>3672</v>
      </c>
      <c r="Z208">
        <v>56</v>
      </c>
      <c r="AA208">
        <f t="shared" si="275"/>
        <v>29.68</v>
      </c>
      <c r="AB208">
        <v>3300</v>
      </c>
      <c r="AC208">
        <f t="shared" si="276"/>
        <v>3300</v>
      </c>
      <c r="AD208">
        <v>1872</v>
      </c>
      <c r="AE208">
        <f t="shared" si="277"/>
        <v>2808</v>
      </c>
      <c r="AF208">
        <v>240</v>
      </c>
      <c r="AG208">
        <f t="shared" si="278"/>
        <v>312</v>
      </c>
      <c r="AH208">
        <v>2890</v>
      </c>
      <c r="AI208">
        <f t="shared" si="279"/>
        <v>3468</v>
      </c>
      <c r="AJ208">
        <v>21</v>
      </c>
      <c r="AK208">
        <f t="shared" si="280"/>
        <v>11.13</v>
      </c>
      <c r="AL208">
        <v>3150</v>
      </c>
      <c r="AM208">
        <f t="shared" si="281"/>
        <v>3150</v>
      </c>
      <c r="AN208">
        <v>1755</v>
      </c>
      <c r="AO208">
        <f t="shared" si="282"/>
        <v>2632.5</v>
      </c>
      <c r="AP208">
        <v>6</v>
      </c>
      <c r="AQ208">
        <f t="shared" si="283"/>
        <v>7.8000000000000007</v>
      </c>
      <c r="AR208">
        <v>2100</v>
      </c>
      <c r="AS208">
        <f t="shared" si="284"/>
        <v>2520</v>
      </c>
      <c r="AT208">
        <v>43</v>
      </c>
      <c r="AU208">
        <f t="shared" si="285"/>
        <v>22.790000000000003</v>
      </c>
      <c r="AV208">
        <v>1800</v>
      </c>
      <c r="AW208">
        <f t="shared" si="286"/>
        <v>1800</v>
      </c>
      <c r="AX208">
        <v>1485</v>
      </c>
      <c r="AY208">
        <f t="shared" si="287"/>
        <v>2227.5</v>
      </c>
      <c r="AZ208">
        <v>135</v>
      </c>
      <c r="BA208">
        <f t="shared" si="288"/>
        <v>175.5</v>
      </c>
    </row>
    <row r="209" spans="1:53" x14ac:dyDescent="0.3">
      <c r="A209" t="s">
        <v>74</v>
      </c>
      <c r="B209" t="s">
        <v>479</v>
      </c>
      <c r="C209" t="s">
        <v>480</v>
      </c>
      <c r="D209">
        <v>720</v>
      </c>
      <c r="E209">
        <f t="shared" si="264"/>
        <v>864</v>
      </c>
      <c r="F209">
        <v>36</v>
      </c>
      <c r="G209">
        <f t="shared" si="265"/>
        <v>19.080000000000002</v>
      </c>
      <c r="H209">
        <v>3600</v>
      </c>
      <c r="I209">
        <f t="shared" si="266"/>
        <v>3600</v>
      </c>
      <c r="J209">
        <v>750</v>
      </c>
      <c r="K209">
        <f t="shared" si="267"/>
        <v>1125</v>
      </c>
      <c r="L209" t="s">
        <v>73</v>
      </c>
      <c r="M209" t="e">
        <f t="shared" si="268"/>
        <v>#VALUE!</v>
      </c>
      <c r="N209">
        <v>720</v>
      </c>
      <c r="O209">
        <f t="shared" si="269"/>
        <v>864</v>
      </c>
      <c r="P209">
        <v>36</v>
      </c>
      <c r="Q209">
        <f t="shared" si="270"/>
        <v>19.080000000000002</v>
      </c>
      <c r="R209">
        <v>4080</v>
      </c>
      <c r="S209">
        <f t="shared" si="271"/>
        <v>4080</v>
      </c>
      <c r="T209">
        <v>800</v>
      </c>
      <c r="U209">
        <f t="shared" si="272"/>
        <v>1200</v>
      </c>
      <c r="V209" t="s">
        <v>73</v>
      </c>
      <c r="W209" t="e">
        <f t="shared" ref="W209" si="300">V209*1.3</f>
        <v>#VALUE!</v>
      </c>
      <c r="X209">
        <v>720</v>
      </c>
      <c r="Y209">
        <f t="shared" si="274"/>
        <v>864</v>
      </c>
      <c r="Z209">
        <v>108</v>
      </c>
      <c r="AA209">
        <f t="shared" si="275"/>
        <v>57.24</v>
      </c>
      <c r="AB209">
        <v>4320</v>
      </c>
      <c r="AC209">
        <f t="shared" si="276"/>
        <v>4320</v>
      </c>
      <c r="AD209">
        <v>1280</v>
      </c>
      <c r="AE209">
        <f t="shared" si="277"/>
        <v>1920</v>
      </c>
      <c r="AF209">
        <v>180</v>
      </c>
      <c r="AG209">
        <f t="shared" si="278"/>
        <v>234</v>
      </c>
      <c r="AH209">
        <v>720</v>
      </c>
      <c r="AI209">
        <f t="shared" si="279"/>
        <v>864</v>
      </c>
      <c r="AJ209">
        <v>36</v>
      </c>
      <c r="AK209">
        <f t="shared" si="280"/>
        <v>19.080000000000002</v>
      </c>
      <c r="AL209">
        <v>4000</v>
      </c>
      <c r="AM209">
        <f t="shared" si="281"/>
        <v>4000</v>
      </c>
      <c r="AN209">
        <v>817</v>
      </c>
      <c r="AO209">
        <f t="shared" si="282"/>
        <v>1225.5</v>
      </c>
      <c r="AP209" t="s">
        <v>73</v>
      </c>
      <c r="AQ209" t="e">
        <f t="shared" si="283"/>
        <v>#VALUE!</v>
      </c>
      <c r="AR209">
        <v>720</v>
      </c>
      <c r="AS209">
        <f t="shared" si="284"/>
        <v>864</v>
      </c>
      <c r="AT209">
        <v>36</v>
      </c>
      <c r="AU209">
        <f t="shared" si="285"/>
        <v>19.080000000000002</v>
      </c>
      <c r="AV209">
        <v>4133</v>
      </c>
      <c r="AW209">
        <f t="shared" si="286"/>
        <v>4133</v>
      </c>
      <c r="AX209">
        <v>1120</v>
      </c>
      <c r="AY209">
        <f t="shared" si="287"/>
        <v>1680</v>
      </c>
      <c r="AZ209" t="s">
        <v>73</v>
      </c>
      <c r="BA209" t="e">
        <f t="shared" si="288"/>
        <v>#VALUE!</v>
      </c>
    </row>
    <row r="210" spans="1:53" x14ac:dyDescent="0.3">
      <c r="A210" t="s">
        <v>74</v>
      </c>
      <c r="B210" t="s">
        <v>481</v>
      </c>
      <c r="C210" t="s">
        <v>482</v>
      </c>
      <c r="D210">
        <v>18000</v>
      </c>
      <c r="E210">
        <f t="shared" si="264"/>
        <v>21600</v>
      </c>
      <c r="F210">
        <v>228</v>
      </c>
      <c r="G210">
        <f t="shared" si="265"/>
        <v>120.84</v>
      </c>
      <c r="H210">
        <v>12650</v>
      </c>
      <c r="I210">
        <f t="shared" si="266"/>
        <v>12650</v>
      </c>
      <c r="J210">
        <v>2400</v>
      </c>
      <c r="K210">
        <f t="shared" si="267"/>
        <v>3600</v>
      </c>
      <c r="L210" t="s">
        <v>73</v>
      </c>
      <c r="M210" t="e">
        <f t="shared" si="268"/>
        <v>#VALUE!</v>
      </c>
      <c r="N210">
        <v>18000</v>
      </c>
      <c r="O210">
        <f t="shared" si="269"/>
        <v>21600</v>
      </c>
      <c r="P210">
        <v>228</v>
      </c>
      <c r="Q210">
        <f t="shared" si="270"/>
        <v>120.84</v>
      </c>
      <c r="R210">
        <v>14336</v>
      </c>
      <c r="S210">
        <f t="shared" si="271"/>
        <v>14336</v>
      </c>
      <c r="T210">
        <v>3040</v>
      </c>
      <c r="U210">
        <f t="shared" si="272"/>
        <v>4560</v>
      </c>
      <c r="V210" t="s">
        <v>73</v>
      </c>
      <c r="W210" t="e">
        <f t="shared" ref="W210" si="301">V210*1.3</f>
        <v>#VALUE!</v>
      </c>
      <c r="X210">
        <v>19000</v>
      </c>
      <c r="Y210">
        <f t="shared" si="274"/>
        <v>22800</v>
      </c>
      <c r="Z210">
        <v>228</v>
      </c>
      <c r="AA210">
        <f t="shared" si="275"/>
        <v>120.84</v>
      </c>
      <c r="AB210">
        <v>15840</v>
      </c>
      <c r="AC210">
        <f t="shared" si="276"/>
        <v>15840</v>
      </c>
      <c r="AD210">
        <v>2700</v>
      </c>
      <c r="AE210">
        <f t="shared" si="277"/>
        <v>4050</v>
      </c>
      <c r="AF210" t="s">
        <v>73</v>
      </c>
      <c r="AG210" t="e">
        <f t="shared" si="278"/>
        <v>#VALUE!</v>
      </c>
      <c r="AH210">
        <v>18000</v>
      </c>
      <c r="AI210">
        <f t="shared" si="279"/>
        <v>21600</v>
      </c>
      <c r="AJ210">
        <v>228</v>
      </c>
      <c r="AK210">
        <f t="shared" si="280"/>
        <v>120.84</v>
      </c>
      <c r="AL210">
        <v>14805</v>
      </c>
      <c r="AM210">
        <f t="shared" si="281"/>
        <v>14805</v>
      </c>
      <c r="AN210">
        <v>2854</v>
      </c>
      <c r="AO210">
        <f t="shared" si="282"/>
        <v>4281</v>
      </c>
      <c r="AP210" t="s">
        <v>73</v>
      </c>
      <c r="AQ210" t="e">
        <f t="shared" si="283"/>
        <v>#VALUE!</v>
      </c>
      <c r="AR210">
        <v>18000</v>
      </c>
      <c r="AS210">
        <f t="shared" si="284"/>
        <v>21600</v>
      </c>
      <c r="AT210">
        <v>228</v>
      </c>
      <c r="AU210">
        <f t="shared" si="285"/>
        <v>120.84</v>
      </c>
      <c r="AV210">
        <v>14773</v>
      </c>
      <c r="AW210">
        <f t="shared" si="286"/>
        <v>14773</v>
      </c>
      <c r="AX210">
        <v>2760</v>
      </c>
      <c r="AY210">
        <f t="shared" si="287"/>
        <v>4140</v>
      </c>
      <c r="AZ210">
        <v>450</v>
      </c>
      <c r="BA210">
        <f t="shared" si="288"/>
        <v>585</v>
      </c>
    </row>
    <row r="211" spans="1:53" x14ac:dyDescent="0.3">
      <c r="A211" t="s">
        <v>74</v>
      </c>
      <c r="B211" t="s">
        <v>483</v>
      </c>
      <c r="C211" t="s">
        <v>484</v>
      </c>
      <c r="D211">
        <v>551</v>
      </c>
      <c r="E211">
        <f t="shared" si="264"/>
        <v>661.19999999999993</v>
      </c>
      <c r="F211">
        <v>74</v>
      </c>
      <c r="G211">
        <f t="shared" si="265"/>
        <v>39.22</v>
      </c>
      <c r="H211">
        <v>2160</v>
      </c>
      <c r="I211">
        <f t="shared" si="266"/>
        <v>2160</v>
      </c>
      <c r="J211">
        <v>1368</v>
      </c>
      <c r="K211">
        <f t="shared" si="267"/>
        <v>2052</v>
      </c>
      <c r="L211" t="s">
        <v>73</v>
      </c>
      <c r="M211" t="e">
        <f t="shared" si="268"/>
        <v>#VALUE!</v>
      </c>
      <c r="N211">
        <v>551</v>
      </c>
      <c r="O211">
        <f t="shared" si="269"/>
        <v>661.19999999999993</v>
      </c>
      <c r="P211">
        <v>87</v>
      </c>
      <c r="Q211">
        <f t="shared" si="270"/>
        <v>46.11</v>
      </c>
      <c r="R211">
        <v>3000</v>
      </c>
      <c r="S211">
        <f t="shared" si="271"/>
        <v>3000</v>
      </c>
      <c r="T211">
        <v>1353</v>
      </c>
      <c r="U211">
        <f t="shared" si="272"/>
        <v>2029.5</v>
      </c>
      <c r="V211">
        <v>120</v>
      </c>
      <c r="W211">
        <f t="shared" ref="W211" si="302">V211*1.3</f>
        <v>156</v>
      </c>
      <c r="X211">
        <v>551</v>
      </c>
      <c r="Y211">
        <f t="shared" si="274"/>
        <v>661.19999999999993</v>
      </c>
      <c r="Z211">
        <v>81</v>
      </c>
      <c r="AA211">
        <f t="shared" si="275"/>
        <v>42.93</v>
      </c>
      <c r="AB211">
        <v>2850</v>
      </c>
      <c r="AC211">
        <f t="shared" si="276"/>
        <v>2850</v>
      </c>
      <c r="AD211">
        <v>1800</v>
      </c>
      <c r="AE211">
        <f t="shared" si="277"/>
        <v>2700</v>
      </c>
      <c r="AF211">
        <v>120</v>
      </c>
      <c r="AG211">
        <f t="shared" si="278"/>
        <v>156</v>
      </c>
      <c r="AH211">
        <v>551</v>
      </c>
      <c r="AI211">
        <f t="shared" si="279"/>
        <v>661.19999999999993</v>
      </c>
      <c r="AJ211">
        <v>19</v>
      </c>
      <c r="AK211">
        <f t="shared" si="280"/>
        <v>10.07</v>
      </c>
      <c r="AL211">
        <v>2800</v>
      </c>
      <c r="AM211">
        <f t="shared" si="281"/>
        <v>2800</v>
      </c>
      <c r="AN211">
        <v>2160</v>
      </c>
      <c r="AO211">
        <f t="shared" si="282"/>
        <v>3240</v>
      </c>
      <c r="AP211">
        <v>12</v>
      </c>
      <c r="AQ211">
        <f t="shared" si="283"/>
        <v>15.600000000000001</v>
      </c>
      <c r="AR211">
        <v>250</v>
      </c>
      <c r="AS211">
        <f t="shared" si="284"/>
        <v>300</v>
      </c>
      <c r="AT211">
        <v>17</v>
      </c>
      <c r="AU211">
        <f t="shared" si="285"/>
        <v>9.01</v>
      </c>
      <c r="AV211">
        <v>1350</v>
      </c>
      <c r="AW211">
        <f t="shared" si="286"/>
        <v>1350</v>
      </c>
      <c r="AX211">
        <v>1200</v>
      </c>
      <c r="AY211">
        <f t="shared" si="287"/>
        <v>1800</v>
      </c>
      <c r="AZ211">
        <v>120</v>
      </c>
      <c r="BA211">
        <f t="shared" si="288"/>
        <v>156</v>
      </c>
    </row>
    <row r="212" spans="1:53" x14ac:dyDescent="0.3">
      <c r="A212" t="s">
        <v>74</v>
      </c>
      <c r="B212" t="s">
        <v>485</v>
      </c>
      <c r="C212" t="s">
        <v>486</v>
      </c>
      <c r="D212">
        <v>160</v>
      </c>
      <c r="E212">
        <f t="shared" si="264"/>
        <v>192</v>
      </c>
      <c r="F212">
        <v>105</v>
      </c>
      <c r="G212">
        <f t="shared" si="265"/>
        <v>55.650000000000006</v>
      </c>
      <c r="H212">
        <v>6936</v>
      </c>
      <c r="I212">
        <f t="shared" si="266"/>
        <v>6936</v>
      </c>
      <c r="J212">
        <v>1800</v>
      </c>
      <c r="K212">
        <f t="shared" si="267"/>
        <v>2700</v>
      </c>
      <c r="L212" t="s">
        <v>73</v>
      </c>
      <c r="M212" t="e">
        <f t="shared" si="268"/>
        <v>#VALUE!</v>
      </c>
      <c r="N212">
        <v>160</v>
      </c>
      <c r="O212">
        <f t="shared" si="269"/>
        <v>192</v>
      </c>
      <c r="P212">
        <v>114</v>
      </c>
      <c r="Q212">
        <f t="shared" si="270"/>
        <v>60.42</v>
      </c>
      <c r="R212">
        <v>6336</v>
      </c>
      <c r="S212">
        <f t="shared" si="271"/>
        <v>6336</v>
      </c>
      <c r="T212">
        <v>2376</v>
      </c>
      <c r="U212">
        <f t="shared" si="272"/>
        <v>3564</v>
      </c>
      <c r="V212" t="s">
        <v>73</v>
      </c>
      <c r="W212" t="e">
        <f t="shared" ref="W212" si="303">V212*1.3</f>
        <v>#VALUE!</v>
      </c>
      <c r="X212">
        <v>160</v>
      </c>
      <c r="Y212">
        <f t="shared" si="274"/>
        <v>192</v>
      </c>
      <c r="Z212">
        <v>108</v>
      </c>
      <c r="AA212">
        <f t="shared" si="275"/>
        <v>57.24</v>
      </c>
      <c r="AB212">
        <v>7560</v>
      </c>
      <c r="AC212">
        <f t="shared" si="276"/>
        <v>7560</v>
      </c>
      <c r="AD212">
        <v>2340</v>
      </c>
      <c r="AE212">
        <f t="shared" si="277"/>
        <v>3510</v>
      </c>
      <c r="AF212" t="s">
        <v>73</v>
      </c>
      <c r="AG212" t="e">
        <f t="shared" si="278"/>
        <v>#VALUE!</v>
      </c>
      <c r="AH212">
        <v>160</v>
      </c>
      <c r="AI212">
        <f t="shared" si="279"/>
        <v>192</v>
      </c>
      <c r="AJ212">
        <v>63</v>
      </c>
      <c r="AK212">
        <f t="shared" si="280"/>
        <v>33.39</v>
      </c>
      <c r="AL212">
        <v>6432</v>
      </c>
      <c r="AM212">
        <f t="shared" si="281"/>
        <v>6432</v>
      </c>
      <c r="AN212">
        <v>2340</v>
      </c>
      <c r="AO212">
        <f t="shared" si="282"/>
        <v>3510</v>
      </c>
      <c r="AP212" t="s">
        <v>73</v>
      </c>
      <c r="AQ212" t="e">
        <f t="shared" si="283"/>
        <v>#VALUE!</v>
      </c>
      <c r="AR212">
        <v>160</v>
      </c>
      <c r="AS212">
        <f t="shared" si="284"/>
        <v>192</v>
      </c>
      <c r="AT212">
        <v>54</v>
      </c>
      <c r="AU212">
        <f t="shared" si="285"/>
        <v>28.62</v>
      </c>
      <c r="AV212">
        <v>3630</v>
      </c>
      <c r="AW212">
        <f t="shared" si="286"/>
        <v>3630</v>
      </c>
      <c r="AX212">
        <v>1755</v>
      </c>
      <c r="AY212">
        <f t="shared" si="287"/>
        <v>2632.5</v>
      </c>
      <c r="AZ212" t="s">
        <v>73</v>
      </c>
      <c r="BA212" t="e">
        <f t="shared" si="288"/>
        <v>#VALUE!</v>
      </c>
    </row>
    <row r="213" spans="1:53" x14ac:dyDescent="0.3">
      <c r="A213" t="s">
        <v>74</v>
      </c>
      <c r="B213" t="s">
        <v>487</v>
      </c>
      <c r="C213" t="s">
        <v>488</v>
      </c>
      <c r="D213">
        <v>64</v>
      </c>
      <c r="E213">
        <f t="shared" si="264"/>
        <v>76.8</v>
      </c>
      <c r="F213">
        <v>17</v>
      </c>
      <c r="G213">
        <f t="shared" si="265"/>
        <v>9.01</v>
      </c>
      <c r="H213">
        <v>3150</v>
      </c>
      <c r="I213">
        <f t="shared" si="266"/>
        <v>3150</v>
      </c>
      <c r="J213">
        <v>567</v>
      </c>
      <c r="K213">
        <f t="shared" si="267"/>
        <v>850.5</v>
      </c>
      <c r="L213" t="s">
        <v>73</v>
      </c>
      <c r="M213" t="e">
        <f t="shared" si="268"/>
        <v>#VALUE!</v>
      </c>
      <c r="N213">
        <v>64</v>
      </c>
      <c r="O213">
        <f t="shared" si="269"/>
        <v>76.8</v>
      </c>
      <c r="P213">
        <v>16</v>
      </c>
      <c r="Q213">
        <f t="shared" si="270"/>
        <v>8.48</v>
      </c>
      <c r="R213">
        <v>4050</v>
      </c>
      <c r="S213">
        <f t="shared" si="271"/>
        <v>4050</v>
      </c>
      <c r="T213">
        <v>585</v>
      </c>
      <c r="U213">
        <f t="shared" si="272"/>
        <v>877.5</v>
      </c>
      <c r="V213">
        <v>348</v>
      </c>
      <c r="W213">
        <f t="shared" ref="W213" si="304">V213*1.3</f>
        <v>452.40000000000003</v>
      </c>
      <c r="X213">
        <v>64</v>
      </c>
      <c r="Y213">
        <f t="shared" si="274"/>
        <v>76.8</v>
      </c>
      <c r="Z213">
        <v>42</v>
      </c>
      <c r="AA213">
        <f t="shared" si="275"/>
        <v>22.26</v>
      </c>
      <c r="AB213">
        <v>4200</v>
      </c>
      <c r="AC213">
        <f t="shared" si="276"/>
        <v>4200</v>
      </c>
      <c r="AD213">
        <v>624</v>
      </c>
      <c r="AE213">
        <f t="shared" si="277"/>
        <v>936</v>
      </c>
      <c r="AF213">
        <v>348</v>
      </c>
      <c r="AG213">
        <f t="shared" si="278"/>
        <v>452.40000000000003</v>
      </c>
      <c r="AH213">
        <v>64</v>
      </c>
      <c r="AI213">
        <f t="shared" si="279"/>
        <v>76.8</v>
      </c>
      <c r="AJ213">
        <v>14</v>
      </c>
      <c r="AK213">
        <f t="shared" si="280"/>
        <v>7.42</v>
      </c>
      <c r="AL213">
        <v>3920</v>
      </c>
      <c r="AM213">
        <f t="shared" si="281"/>
        <v>3920</v>
      </c>
      <c r="AN213">
        <v>585</v>
      </c>
      <c r="AO213">
        <f t="shared" si="282"/>
        <v>877.5</v>
      </c>
      <c r="AP213">
        <v>50</v>
      </c>
      <c r="AQ213">
        <f t="shared" si="283"/>
        <v>65</v>
      </c>
      <c r="AR213">
        <v>52</v>
      </c>
      <c r="AS213">
        <f t="shared" si="284"/>
        <v>62.4</v>
      </c>
      <c r="AT213">
        <v>4</v>
      </c>
      <c r="AU213">
        <f t="shared" si="285"/>
        <v>2.12</v>
      </c>
      <c r="AV213">
        <v>2520</v>
      </c>
      <c r="AW213">
        <f t="shared" si="286"/>
        <v>2520</v>
      </c>
      <c r="AX213">
        <v>600</v>
      </c>
      <c r="AY213">
        <f t="shared" si="287"/>
        <v>900</v>
      </c>
      <c r="AZ213">
        <v>210</v>
      </c>
      <c r="BA213">
        <f t="shared" si="288"/>
        <v>273</v>
      </c>
    </row>
    <row r="214" spans="1:53" x14ac:dyDescent="0.3">
      <c r="A214" t="s">
        <v>70</v>
      </c>
      <c r="B214" t="s">
        <v>489</v>
      </c>
      <c r="C214" t="s">
        <v>490</v>
      </c>
      <c r="D214">
        <v>54195</v>
      </c>
      <c r="E214">
        <f t="shared" si="264"/>
        <v>65034</v>
      </c>
      <c r="F214">
        <v>175</v>
      </c>
      <c r="G214">
        <f t="shared" si="265"/>
        <v>92.75</v>
      </c>
      <c r="H214">
        <v>8978</v>
      </c>
      <c r="I214">
        <f t="shared" si="266"/>
        <v>8978</v>
      </c>
      <c r="J214">
        <v>508</v>
      </c>
      <c r="K214">
        <f t="shared" si="267"/>
        <v>762</v>
      </c>
      <c r="L214">
        <v>70</v>
      </c>
      <c r="M214">
        <f t="shared" si="268"/>
        <v>91</v>
      </c>
      <c r="N214">
        <v>54542</v>
      </c>
      <c r="O214">
        <f t="shared" si="269"/>
        <v>65450.399999999994</v>
      </c>
      <c r="P214">
        <v>172</v>
      </c>
      <c r="Q214">
        <f t="shared" si="270"/>
        <v>91.160000000000011</v>
      </c>
      <c r="R214">
        <v>8811</v>
      </c>
      <c r="S214">
        <f t="shared" si="271"/>
        <v>8811</v>
      </c>
      <c r="T214">
        <v>422</v>
      </c>
      <c r="U214">
        <f t="shared" si="272"/>
        <v>633</v>
      </c>
      <c r="V214">
        <v>70</v>
      </c>
      <c r="W214">
        <f t="shared" ref="W214" si="305">V214*1.3</f>
        <v>91</v>
      </c>
      <c r="X214">
        <v>57396</v>
      </c>
      <c r="Y214">
        <f t="shared" si="274"/>
        <v>68875.199999999997</v>
      </c>
      <c r="Z214">
        <v>169</v>
      </c>
      <c r="AA214">
        <f t="shared" si="275"/>
        <v>89.570000000000007</v>
      </c>
      <c r="AB214">
        <v>8049</v>
      </c>
      <c r="AC214">
        <f t="shared" si="276"/>
        <v>8049</v>
      </c>
      <c r="AD214">
        <v>423</v>
      </c>
      <c r="AE214">
        <f t="shared" si="277"/>
        <v>634.5</v>
      </c>
      <c r="AF214">
        <v>70</v>
      </c>
      <c r="AG214">
        <f t="shared" si="278"/>
        <v>91</v>
      </c>
      <c r="AH214">
        <v>53385</v>
      </c>
      <c r="AI214">
        <f t="shared" si="279"/>
        <v>64062</v>
      </c>
      <c r="AJ214">
        <v>187</v>
      </c>
      <c r="AK214">
        <f t="shared" si="280"/>
        <v>99.11</v>
      </c>
      <c r="AL214">
        <v>7553</v>
      </c>
      <c r="AM214">
        <f t="shared" si="281"/>
        <v>7553</v>
      </c>
      <c r="AN214">
        <v>1230</v>
      </c>
      <c r="AO214">
        <f t="shared" si="282"/>
        <v>1845</v>
      </c>
      <c r="AP214">
        <v>70</v>
      </c>
      <c r="AQ214">
        <f t="shared" si="283"/>
        <v>91</v>
      </c>
      <c r="AR214">
        <v>57163</v>
      </c>
      <c r="AS214">
        <f t="shared" si="284"/>
        <v>68595.599999999991</v>
      </c>
      <c r="AT214">
        <v>148</v>
      </c>
      <c r="AU214">
        <f t="shared" si="285"/>
        <v>78.44</v>
      </c>
      <c r="AV214">
        <v>7863</v>
      </c>
      <c r="AW214">
        <f t="shared" si="286"/>
        <v>7863</v>
      </c>
      <c r="AX214">
        <v>1230</v>
      </c>
      <c r="AY214">
        <f t="shared" si="287"/>
        <v>1845</v>
      </c>
      <c r="AZ214">
        <v>70</v>
      </c>
      <c r="BA214">
        <f t="shared" si="288"/>
        <v>91</v>
      </c>
    </row>
    <row r="215" spans="1:53" x14ac:dyDescent="0.3">
      <c r="A215" t="s">
        <v>74</v>
      </c>
      <c r="B215" t="s">
        <v>491</v>
      </c>
      <c r="C215" t="s">
        <v>492</v>
      </c>
      <c r="D215">
        <v>315</v>
      </c>
      <c r="E215">
        <f t="shared" si="264"/>
        <v>378</v>
      </c>
      <c r="F215">
        <v>36</v>
      </c>
      <c r="G215">
        <f t="shared" si="265"/>
        <v>19.080000000000002</v>
      </c>
      <c r="H215">
        <v>2183</v>
      </c>
      <c r="I215">
        <f t="shared" si="266"/>
        <v>2183</v>
      </c>
      <c r="J215" t="s">
        <v>73</v>
      </c>
      <c r="K215" t="e">
        <f t="shared" si="267"/>
        <v>#VALUE!</v>
      </c>
      <c r="L215" t="s">
        <v>73</v>
      </c>
      <c r="M215" t="e">
        <f t="shared" si="268"/>
        <v>#VALUE!</v>
      </c>
      <c r="N215">
        <v>315</v>
      </c>
      <c r="O215">
        <f t="shared" si="269"/>
        <v>378</v>
      </c>
      <c r="P215">
        <v>36</v>
      </c>
      <c r="Q215">
        <f t="shared" si="270"/>
        <v>19.080000000000002</v>
      </c>
      <c r="R215">
        <v>2183</v>
      </c>
      <c r="S215">
        <f t="shared" si="271"/>
        <v>2183</v>
      </c>
      <c r="T215" t="s">
        <v>73</v>
      </c>
      <c r="U215" t="e">
        <f t="shared" si="272"/>
        <v>#VALUE!</v>
      </c>
      <c r="V215" t="s">
        <v>73</v>
      </c>
      <c r="W215" t="e">
        <f t="shared" ref="W215" si="306">V215*1.3</f>
        <v>#VALUE!</v>
      </c>
      <c r="X215">
        <v>315</v>
      </c>
      <c r="Y215">
        <f t="shared" si="274"/>
        <v>378</v>
      </c>
      <c r="Z215">
        <v>36</v>
      </c>
      <c r="AA215">
        <f t="shared" si="275"/>
        <v>19.080000000000002</v>
      </c>
      <c r="AB215">
        <v>1812</v>
      </c>
      <c r="AC215">
        <f t="shared" si="276"/>
        <v>1812</v>
      </c>
      <c r="AD215" t="s">
        <v>73</v>
      </c>
      <c r="AE215" t="e">
        <f t="shared" si="277"/>
        <v>#VALUE!</v>
      </c>
      <c r="AF215" t="s">
        <v>73</v>
      </c>
      <c r="AG215" t="e">
        <f t="shared" si="278"/>
        <v>#VALUE!</v>
      </c>
      <c r="AH215">
        <v>315</v>
      </c>
      <c r="AI215">
        <f t="shared" si="279"/>
        <v>378</v>
      </c>
      <c r="AJ215">
        <v>36</v>
      </c>
      <c r="AK215">
        <f t="shared" si="280"/>
        <v>19.080000000000002</v>
      </c>
      <c r="AL215">
        <v>1304</v>
      </c>
      <c r="AM215">
        <f t="shared" si="281"/>
        <v>1304</v>
      </c>
      <c r="AN215" t="s">
        <v>73</v>
      </c>
      <c r="AO215" t="e">
        <f t="shared" si="282"/>
        <v>#VALUE!</v>
      </c>
      <c r="AP215" t="s">
        <v>73</v>
      </c>
      <c r="AQ215" t="e">
        <f t="shared" si="283"/>
        <v>#VALUE!</v>
      </c>
      <c r="AR215">
        <v>280</v>
      </c>
      <c r="AS215">
        <f t="shared" si="284"/>
        <v>336</v>
      </c>
      <c r="AT215">
        <v>36</v>
      </c>
      <c r="AU215">
        <f t="shared" si="285"/>
        <v>19.080000000000002</v>
      </c>
      <c r="AV215">
        <v>2017</v>
      </c>
      <c r="AW215">
        <f t="shared" si="286"/>
        <v>2017</v>
      </c>
      <c r="AX215" t="s">
        <v>73</v>
      </c>
      <c r="AY215" t="e">
        <f t="shared" si="287"/>
        <v>#VALUE!</v>
      </c>
      <c r="AZ215" t="s">
        <v>73</v>
      </c>
      <c r="BA215" t="e">
        <f t="shared" si="288"/>
        <v>#VALUE!</v>
      </c>
    </row>
    <row r="216" spans="1:53" x14ac:dyDescent="0.3">
      <c r="A216" t="s">
        <v>74</v>
      </c>
      <c r="B216" t="s">
        <v>493</v>
      </c>
      <c r="C216" t="s">
        <v>494</v>
      </c>
      <c r="D216">
        <v>4028</v>
      </c>
      <c r="E216">
        <f t="shared" si="264"/>
        <v>4833.5999999999995</v>
      </c>
      <c r="F216">
        <v>2</v>
      </c>
      <c r="G216">
        <f t="shared" si="265"/>
        <v>1.06</v>
      </c>
      <c r="H216">
        <v>120</v>
      </c>
      <c r="I216">
        <f t="shared" si="266"/>
        <v>120</v>
      </c>
      <c r="J216" t="s">
        <v>73</v>
      </c>
      <c r="K216" t="e">
        <f t="shared" si="267"/>
        <v>#VALUE!</v>
      </c>
      <c r="L216" t="s">
        <v>73</v>
      </c>
      <c r="M216" t="e">
        <f t="shared" si="268"/>
        <v>#VALUE!</v>
      </c>
      <c r="N216">
        <v>4028</v>
      </c>
      <c r="O216">
        <f t="shared" si="269"/>
        <v>4833.5999999999995</v>
      </c>
      <c r="P216">
        <v>2</v>
      </c>
      <c r="Q216">
        <f t="shared" si="270"/>
        <v>1.06</v>
      </c>
      <c r="R216">
        <v>120</v>
      </c>
      <c r="S216">
        <f t="shared" si="271"/>
        <v>120</v>
      </c>
      <c r="T216" t="s">
        <v>73</v>
      </c>
      <c r="U216" t="e">
        <f t="shared" si="272"/>
        <v>#VALUE!</v>
      </c>
      <c r="V216" t="s">
        <v>73</v>
      </c>
      <c r="W216" t="e">
        <f t="shared" ref="W216" si="307">V216*1.3</f>
        <v>#VALUE!</v>
      </c>
      <c r="X216">
        <v>4170</v>
      </c>
      <c r="Y216">
        <f t="shared" si="274"/>
        <v>5004</v>
      </c>
      <c r="Z216">
        <v>2</v>
      </c>
      <c r="AA216">
        <f t="shared" si="275"/>
        <v>1.06</v>
      </c>
      <c r="AB216">
        <v>120</v>
      </c>
      <c r="AC216">
        <f t="shared" si="276"/>
        <v>120</v>
      </c>
      <c r="AD216" t="s">
        <v>73</v>
      </c>
      <c r="AE216" t="e">
        <f t="shared" si="277"/>
        <v>#VALUE!</v>
      </c>
      <c r="AF216" t="s">
        <v>73</v>
      </c>
      <c r="AG216" t="e">
        <f t="shared" si="278"/>
        <v>#VALUE!</v>
      </c>
      <c r="AH216">
        <v>4103</v>
      </c>
      <c r="AI216">
        <f t="shared" si="279"/>
        <v>4923.5999999999995</v>
      </c>
      <c r="AJ216">
        <v>2</v>
      </c>
      <c r="AK216">
        <f t="shared" si="280"/>
        <v>1.06</v>
      </c>
      <c r="AL216">
        <v>120</v>
      </c>
      <c r="AM216">
        <f t="shared" si="281"/>
        <v>120</v>
      </c>
      <c r="AN216" t="s">
        <v>73</v>
      </c>
      <c r="AO216" t="e">
        <f t="shared" si="282"/>
        <v>#VALUE!</v>
      </c>
      <c r="AP216" t="s">
        <v>73</v>
      </c>
      <c r="AQ216" t="e">
        <f t="shared" si="283"/>
        <v>#VALUE!</v>
      </c>
      <c r="AR216">
        <v>4103</v>
      </c>
      <c r="AS216">
        <f t="shared" si="284"/>
        <v>4923.5999999999995</v>
      </c>
      <c r="AT216">
        <v>2</v>
      </c>
      <c r="AU216">
        <f t="shared" si="285"/>
        <v>1.06</v>
      </c>
      <c r="AV216">
        <v>120</v>
      </c>
      <c r="AW216">
        <f t="shared" si="286"/>
        <v>120</v>
      </c>
      <c r="AX216" t="s">
        <v>73</v>
      </c>
      <c r="AY216" t="e">
        <f t="shared" si="287"/>
        <v>#VALUE!</v>
      </c>
      <c r="AZ216" t="s">
        <v>73</v>
      </c>
      <c r="BA216" t="e">
        <f t="shared" si="288"/>
        <v>#VALUE!</v>
      </c>
    </row>
    <row r="217" spans="1:53" x14ac:dyDescent="0.3">
      <c r="A217" t="s">
        <v>74</v>
      </c>
      <c r="B217" t="s">
        <v>495</v>
      </c>
      <c r="C217" t="s">
        <v>496</v>
      </c>
      <c r="D217">
        <v>2394</v>
      </c>
      <c r="E217">
        <f t="shared" si="264"/>
        <v>2872.7999999999997</v>
      </c>
      <c r="F217">
        <v>12</v>
      </c>
      <c r="G217">
        <f t="shared" si="265"/>
        <v>6.36</v>
      </c>
      <c r="H217">
        <v>1580</v>
      </c>
      <c r="I217">
        <f t="shared" si="266"/>
        <v>1580</v>
      </c>
      <c r="J217" t="s">
        <v>73</v>
      </c>
      <c r="K217" t="e">
        <f t="shared" si="267"/>
        <v>#VALUE!</v>
      </c>
      <c r="L217" t="s">
        <v>73</v>
      </c>
      <c r="M217" t="e">
        <f t="shared" si="268"/>
        <v>#VALUE!</v>
      </c>
      <c r="N217">
        <v>2460</v>
      </c>
      <c r="O217">
        <f t="shared" si="269"/>
        <v>2952</v>
      </c>
      <c r="P217">
        <v>12</v>
      </c>
      <c r="Q217">
        <f t="shared" si="270"/>
        <v>6.36</v>
      </c>
      <c r="R217">
        <v>1778</v>
      </c>
      <c r="S217">
        <f t="shared" si="271"/>
        <v>1778</v>
      </c>
      <c r="T217" t="s">
        <v>73</v>
      </c>
      <c r="U217" t="e">
        <f t="shared" si="272"/>
        <v>#VALUE!</v>
      </c>
      <c r="V217" t="s">
        <v>73</v>
      </c>
      <c r="W217" t="e">
        <f t="shared" ref="W217" si="308">V217*1.3</f>
        <v>#VALUE!</v>
      </c>
      <c r="X217">
        <v>2438</v>
      </c>
      <c r="Y217">
        <f t="shared" si="274"/>
        <v>2925.6</v>
      </c>
      <c r="Z217">
        <v>7</v>
      </c>
      <c r="AA217">
        <f t="shared" si="275"/>
        <v>3.71</v>
      </c>
      <c r="AB217">
        <v>1580</v>
      </c>
      <c r="AC217">
        <f t="shared" si="276"/>
        <v>1580</v>
      </c>
      <c r="AD217" t="s">
        <v>73</v>
      </c>
      <c r="AE217" t="e">
        <f t="shared" si="277"/>
        <v>#VALUE!</v>
      </c>
      <c r="AF217" t="s">
        <v>73</v>
      </c>
      <c r="AG217" t="e">
        <f t="shared" si="278"/>
        <v>#VALUE!</v>
      </c>
      <c r="AH217">
        <v>2447</v>
      </c>
      <c r="AI217">
        <f t="shared" si="279"/>
        <v>2936.4</v>
      </c>
      <c r="AJ217">
        <v>7</v>
      </c>
      <c r="AK217">
        <f t="shared" si="280"/>
        <v>3.71</v>
      </c>
      <c r="AL217">
        <v>1580</v>
      </c>
      <c r="AM217">
        <f t="shared" si="281"/>
        <v>1580</v>
      </c>
      <c r="AN217" t="s">
        <v>73</v>
      </c>
      <c r="AO217" t="e">
        <f t="shared" si="282"/>
        <v>#VALUE!</v>
      </c>
      <c r="AP217" t="s">
        <v>73</v>
      </c>
      <c r="AQ217" t="e">
        <f t="shared" si="283"/>
        <v>#VALUE!</v>
      </c>
      <c r="AR217">
        <v>2447</v>
      </c>
      <c r="AS217">
        <f t="shared" si="284"/>
        <v>2936.4</v>
      </c>
      <c r="AT217">
        <v>9</v>
      </c>
      <c r="AU217">
        <f t="shared" si="285"/>
        <v>4.7700000000000005</v>
      </c>
      <c r="AV217">
        <v>1580</v>
      </c>
      <c r="AW217">
        <f t="shared" si="286"/>
        <v>1580</v>
      </c>
      <c r="AX217" t="s">
        <v>73</v>
      </c>
      <c r="AY217" t="e">
        <f t="shared" si="287"/>
        <v>#VALUE!</v>
      </c>
      <c r="AZ217" t="s">
        <v>73</v>
      </c>
      <c r="BA217" t="e">
        <f t="shared" si="288"/>
        <v>#VALUE!</v>
      </c>
    </row>
    <row r="218" spans="1:53" x14ac:dyDescent="0.3">
      <c r="A218" t="s">
        <v>74</v>
      </c>
      <c r="B218" t="s">
        <v>497</v>
      </c>
      <c r="C218" t="s">
        <v>498</v>
      </c>
      <c r="D218">
        <v>70</v>
      </c>
      <c r="E218">
        <f t="shared" si="264"/>
        <v>84</v>
      </c>
      <c r="F218">
        <v>6</v>
      </c>
      <c r="G218">
        <f t="shared" si="265"/>
        <v>3.18</v>
      </c>
      <c r="H218">
        <v>530</v>
      </c>
      <c r="I218">
        <f t="shared" si="266"/>
        <v>530</v>
      </c>
      <c r="J218" t="s">
        <v>73</v>
      </c>
      <c r="K218" t="e">
        <f t="shared" si="267"/>
        <v>#VALUE!</v>
      </c>
      <c r="L218" t="s">
        <v>73</v>
      </c>
      <c r="M218" t="e">
        <f t="shared" si="268"/>
        <v>#VALUE!</v>
      </c>
      <c r="N218">
        <v>70</v>
      </c>
      <c r="O218">
        <f t="shared" si="269"/>
        <v>84</v>
      </c>
      <c r="P218">
        <v>6</v>
      </c>
      <c r="Q218">
        <f t="shared" si="270"/>
        <v>3.18</v>
      </c>
      <c r="R218">
        <v>530</v>
      </c>
      <c r="S218">
        <f t="shared" si="271"/>
        <v>530</v>
      </c>
      <c r="T218" t="s">
        <v>73</v>
      </c>
      <c r="U218" t="e">
        <f t="shared" si="272"/>
        <v>#VALUE!</v>
      </c>
      <c r="V218" t="s">
        <v>73</v>
      </c>
      <c r="W218" t="e">
        <f t="shared" ref="W218" si="309">V218*1.3</f>
        <v>#VALUE!</v>
      </c>
      <c r="X218">
        <v>70</v>
      </c>
      <c r="Y218">
        <f t="shared" si="274"/>
        <v>84</v>
      </c>
      <c r="Z218">
        <v>6</v>
      </c>
      <c r="AA218">
        <f t="shared" si="275"/>
        <v>3.18</v>
      </c>
      <c r="AB218">
        <v>459</v>
      </c>
      <c r="AC218">
        <f t="shared" si="276"/>
        <v>459</v>
      </c>
      <c r="AD218" t="s">
        <v>73</v>
      </c>
      <c r="AE218" t="e">
        <f t="shared" si="277"/>
        <v>#VALUE!</v>
      </c>
      <c r="AF218" t="s">
        <v>73</v>
      </c>
      <c r="AG218" t="e">
        <f t="shared" si="278"/>
        <v>#VALUE!</v>
      </c>
      <c r="AH218">
        <v>70</v>
      </c>
      <c r="AI218">
        <f t="shared" si="279"/>
        <v>84</v>
      </c>
      <c r="AJ218">
        <v>6</v>
      </c>
      <c r="AK218">
        <f t="shared" si="280"/>
        <v>3.18</v>
      </c>
      <c r="AL218">
        <v>406</v>
      </c>
      <c r="AM218">
        <f t="shared" si="281"/>
        <v>406</v>
      </c>
      <c r="AN218" t="s">
        <v>73</v>
      </c>
      <c r="AO218" t="e">
        <f t="shared" si="282"/>
        <v>#VALUE!</v>
      </c>
      <c r="AP218" t="s">
        <v>73</v>
      </c>
      <c r="AQ218" t="e">
        <f t="shared" si="283"/>
        <v>#VALUE!</v>
      </c>
      <c r="AR218">
        <v>70</v>
      </c>
      <c r="AS218">
        <f t="shared" si="284"/>
        <v>84</v>
      </c>
      <c r="AT218">
        <v>6</v>
      </c>
      <c r="AU218">
        <f t="shared" si="285"/>
        <v>3.18</v>
      </c>
      <c r="AV218">
        <v>498</v>
      </c>
      <c r="AW218">
        <f t="shared" si="286"/>
        <v>498</v>
      </c>
      <c r="AX218" t="s">
        <v>73</v>
      </c>
      <c r="AY218" t="e">
        <f t="shared" si="287"/>
        <v>#VALUE!</v>
      </c>
      <c r="AZ218" t="s">
        <v>73</v>
      </c>
      <c r="BA218" t="e">
        <f t="shared" si="288"/>
        <v>#VALUE!</v>
      </c>
    </row>
    <row r="219" spans="1:53" x14ac:dyDescent="0.3">
      <c r="A219" t="s">
        <v>74</v>
      </c>
      <c r="B219" t="s">
        <v>499</v>
      </c>
      <c r="C219" t="s">
        <v>500</v>
      </c>
      <c r="D219" t="s">
        <v>73</v>
      </c>
      <c r="E219" t="e">
        <f t="shared" si="264"/>
        <v>#VALUE!</v>
      </c>
      <c r="F219">
        <v>67</v>
      </c>
      <c r="G219">
        <f t="shared" si="265"/>
        <v>35.510000000000005</v>
      </c>
      <c r="H219">
        <v>633</v>
      </c>
      <c r="I219">
        <f t="shared" si="266"/>
        <v>633</v>
      </c>
      <c r="J219" t="s">
        <v>73</v>
      </c>
      <c r="K219" t="e">
        <f t="shared" si="267"/>
        <v>#VALUE!</v>
      </c>
      <c r="L219" t="s">
        <v>73</v>
      </c>
      <c r="M219" t="e">
        <f t="shared" si="268"/>
        <v>#VALUE!</v>
      </c>
      <c r="N219" t="s">
        <v>73</v>
      </c>
      <c r="O219" t="e">
        <f t="shared" si="269"/>
        <v>#VALUE!</v>
      </c>
      <c r="P219">
        <v>64</v>
      </c>
      <c r="Q219">
        <f t="shared" si="270"/>
        <v>33.92</v>
      </c>
      <c r="R219">
        <v>720</v>
      </c>
      <c r="S219">
        <f t="shared" si="271"/>
        <v>720</v>
      </c>
      <c r="T219" t="s">
        <v>73</v>
      </c>
      <c r="U219" t="e">
        <f t="shared" si="272"/>
        <v>#VALUE!</v>
      </c>
      <c r="V219" t="s">
        <v>73</v>
      </c>
      <c r="W219" t="e">
        <f t="shared" ref="W219" si="310">V219*1.3</f>
        <v>#VALUE!</v>
      </c>
      <c r="X219" t="s">
        <v>73</v>
      </c>
      <c r="Y219" t="e">
        <f t="shared" si="274"/>
        <v>#VALUE!</v>
      </c>
      <c r="Z219">
        <v>47</v>
      </c>
      <c r="AA219">
        <f t="shared" si="275"/>
        <v>24.91</v>
      </c>
      <c r="AB219">
        <v>810</v>
      </c>
      <c r="AC219">
        <f t="shared" si="276"/>
        <v>810</v>
      </c>
      <c r="AD219" t="s">
        <v>73</v>
      </c>
      <c r="AE219" t="e">
        <f t="shared" si="277"/>
        <v>#VALUE!</v>
      </c>
      <c r="AF219" t="s">
        <v>73</v>
      </c>
      <c r="AG219" t="e">
        <f t="shared" si="278"/>
        <v>#VALUE!</v>
      </c>
      <c r="AH219" t="s">
        <v>73</v>
      </c>
      <c r="AI219" t="e">
        <f t="shared" si="279"/>
        <v>#VALUE!</v>
      </c>
      <c r="AJ219">
        <v>45</v>
      </c>
      <c r="AK219">
        <f t="shared" si="280"/>
        <v>23.85</v>
      </c>
      <c r="AL219">
        <v>810</v>
      </c>
      <c r="AM219">
        <f t="shared" si="281"/>
        <v>810</v>
      </c>
      <c r="AN219" t="s">
        <v>73</v>
      </c>
      <c r="AO219" t="e">
        <f t="shared" si="282"/>
        <v>#VALUE!</v>
      </c>
      <c r="AP219" t="s">
        <v>73</v>
      </c>
      <c r="AQ219" t="e">
        <f t="shared" si="283"/>
        <v>#VALUE!</v>
      </c>
      <c r="AR219" t="s">
        <v>73</v>
      </c>
      <c r="AS219" t="e">
        <f t="shared" si="284"/>
        <v>#VALUE!</v>
      </c>
      <c r="AT219">
        <v>24</v>
      </c>
      <c r="AU219">
        <f t="shared" si="285"/>
        <v>12.72</v>
      </c>
      <c r="AV219">
        <v>675</v>
      </c>
      <c r="AW219">
        <f t="shared" si="286"/>
        <v>675</v>
      </c>
      <c r="AX219" t="s">
        <v>73</v>
      </c>
      <c r="AY219" t="e">
        <f t="shared" si="287"/>
        <v>#VALUE!</v>
      </c>
      <c r="AZ219" t="s">
        <v>73</v>
      </c>
      <c r="BA219" t="e">
        <f t="shared" si="288"/>
        <v>#VALUE!</v>
      </c>
    </row>
    <row r="220" spans="1:53" x14ac:dyDescent="0.3">
      <c r="A220" t="s">
        <v>74</v>
      </c>
      <c r="B220" t="s">
        <v>501</v>
      </c>
      <c r="C220" t="s">
        <v>502</v>
      </c>
      <c r="D220">
        <v>605</v>
      </c>
      <c r="E220">
        <f t="shared" si="264"/>
        <v>726</v>
      </c>
      <c r="F220">
        <v>7</v>
      </c>
      <c r="G220">
        <f t="shared" si="265"/>
        <v>3.71</v>
      </c>
      <c r="H220" t="s">
        <v>73</v>
      </c>
      <c r="I220" t="str">
        <f t="shared" si="266"/>
        <v>-</v>
      </c>
      <c r="J220" t="s">
        <v>73</v>
      </c>
      <c r="K220" t="e">
        <f t="shared" si="267"/>
        <v>#VALUE!</v>
      </c>
      <c r="L220" t="s">
        <v>73</v>
      </c>
      <c r="M220" t="e">
        <f t="shared" si="268"/>
        <v>#VALUE!</v>
      </c>
      <c r="N220">
        <v>605</v>
      </c>
      <c r="O220">
        <f t="shared" si="269"/>
        <v>726</v>
      </c>
      <c r="P220">
        <v>7</v>
      </c>
      <c r="Q220">
        <f t="shared" si="270"/>
        <v>3.71</v>
      </c>
      <c r="R220" t="s">
        <v>73</v>
      </c>
      <c r="S220" t="str">
        <f t="shared" si="271"/>
        <v>-</v>
      </c>
      <c r="T220" t="s">
        <v>73</v>
      </c>
      <c r="U220" t="e">
        <f t="shared" si="272"/>
        <v>#VALUE!</v>
      </c>
      <c r="V220" t="s">
        <v>73</v>
      </c>
      <c r="W220" t="e">
        <f t="shared" ref="W220" si="311">V220*1.3</f>
        <v>#VALUE!</v>
      </c>
      <c r="X220">
        <v>500</v>
      </c>
      <c r="Y220">
        <f t="shared" si="274"/>
        <v>600</v>
      </c>
      <c r="Z220">
        <v>8</v>
      </c>
      <c r="AA220">
        <f t="shared" si="275"/>
        <v>4.24</v>
      </c>
      <c r="AB220" t="s">
        <v>73</v>
      </c>
      <c r="AC220" t="str">
        <f t="shared" si="276"/>
        <v>-</v>
      </c>
      <c r="AD220" t="s">
        <v>73</v>
      </c>
      <c r="AE220" t="e">
        <f t="shared" si="277"/>
        <v>#VALUE!</v>
      </c>
      <c r="AF220" t="s">
        <v>73</v>
      </c>
      <c r="AG220" t="e">
        <f t="shared" si="278"/>
        <v>#VALUE!</v>
      </c>
      <c r="AH220">
        <v>100</v>
      </c>
      <c r="AI220">
        <f t="shared" si="279"/>
        <v>120</v>
      </c>
      <c r="AJ220">
        <v>28</v>
      </c>
      <c r="AK220">
        <f t="shared" si="280"/>
        <v>14.84</v>
      </c>
      <c r="AL220" t="s">
        <v>73</v>
      </c>
      <c r="AM220" t="str">
        <f t="shared" si="281"/>
        <v>-</v>
      </c>
      <c r="AN220" t="s">
        <v>73</v>
      </c>
      <c r="AO220" t="e">
        <f t="shared" si="282"/>
        <v>#VALUE!</v>
      </c>
      <c r="AP220" t="s">
        <v>73</v>
      </c>
      <c r="AQ220" t="e">
        <f t="shared" si="283"/>
        <v>#VALUE!</v>
      </c>
      <c r="AR220">
        <v>100</v>
      </c>
      <c r="AS220">
        <f t="shared" si="284"/>
        <v>120</v>
      </c>
      <c r="AT220">
        <v>24</v>
      </c>
      <c r="AU220">
        <f t="shared" si="285"/>
        <v>12.72</v>
      </c>
      <c r="AV220" t="s">
        <v>73</v>
      </c>
      <c r="AW220" t="str">
        <f t="shared" si="286"/>
        <v>-</v>
      </c>
      <c r="AX220" t="s">
        <v>73</v>
      </c>
      <c r="AY220" t="e">
        <f t="shared" si="287"/>
        <v>#VALUE!</v>
      </c>
      <c r="AZ220" t="s">
        <v>73</v>
      </c>
      <c r="BA220" t="e">
        <f t="shared" si="288"/>
        <v>#VALUE!</v>
      </c>
    </row>
    <row r="221" spans="1:53" x14ac:dyDescent="0.3">
      <c r="A221" t="s">
        <v>74</v>
      </c>
      <c r="B221" t="s">
        <v>503</v>
      </c>
      <c r="C221" t="s">
        <v>504</v>
      </c>
      <c r="D221">
        <v>6330</v>
      </c>
      <c r="E221">
        <f t="shared" si="264"/>
        <v>7596</v>
      </c>
      <c r="F221" t="s">
        <v>73</v>
      </c>
      <c r="G221" t="e">
        <f t="shared" si="265"/>
        <v>#VALUE!</v>
      </c>
      <c r="H221">
        <v>730</v>
      </c>
      <c r="I221">
        <f t="shared" si="266"/>
        <v>730</v>
      </c>
      <c r="J221">
        <v>334</v>
      </c>
      <c r="K221">
        <f t="shared" si="267"/>
        <v>501</v>
      </c>
      <c r="L221">
        <v>70</v>
      </c>
      <c r="M221">
        <f t="shared" si="268"/>
        <v>91</v>
      </c>
      <c r="N221">
        <v>6611</v>
      </c>
      <c r="O221">
        <f t="shared" si="269"/>
        <v>7933.2</v>
      </c>
      <c r="P221" t="s">
        <v>73</v>
      </c>
      <c r="Q221" t="e">
        <f t="shared" si="270"/>
        <v>#VALUE!</v>
      </c>
      <c r="R221">
        <v>584</v>
      </c>
      <c r="S221">
        <f t="shared" si="271"/>
        <v>584</v>
      </c>
      <c r="T221">
        <v>334</v>
      </c>
      <c r="U221">
        <f t="shared" si="272"/>
        <v>501</v>
      </c>
      <c r="V221">
        <v>70</v>
      </c>
      <c r="W221">
        <f t="shared" ref="W221" si="312">V221*1.3</f>
        <v>91</v>
      </c>
      <c r="X221">
        <v>7596</v>
      </c>
      <c r="Y221">
        <f t="shared" si="274"/>
        <v>9115.1999999999989</v>
      </c>
      <c r="Z221" t="s">
        <v>73</v>
      </c>
      <c r="AA221" t="e">
        <f t="shared" si="275"/>
        <v>#VALUE!</v>
      </c>
      <c r="AB221">
        <v>730</v>
      </c>
      <c r="AC221">
        <f t="shared" si="276"/>
        <v>730</v>
      </c>
      <c r="AD221">
        <v>334</v>
      </c>
      <c r="AE221">
        <f t="shared" si="277"/>
        <v>501</v>
      </c>
      <c r="AF221">
        <v>70</v>
      </c>
      <c r="AG221">
        <f t="shared" si="278"/>
        <v>91</v>
      </c>
      <c r="AH221">
        <v>6846</v>
      </c>
      <c r="AI221">
        <f t="shared" si="279"/>
        <v>8215.1999999999989</v>
      </c>
      <c r="AJ221" t="s">
        <v>73</v>
      </c>
      <c r="AK221" t="e">
        <f t="shared" si="280"/>
        <v>#VALUE!</v>
      </c>
      <c r="AL221">
        <v>681</v>
      </c>
      <c r="AM221">
        <f t="shared" si="281"/>
        <v>681</v>
      </c>
      <c r="AN221">
        <v>1139</v>
      </c>
      <c r="AO221">
        <f t="shared" si="282"/>
        <v>1708.5</v>
      </c>
      <c r="AP221">
        <v>70</v>
      </c>
      <c r="AQ221">
        <f t="shared" si="283"/>
        <v>91</v>
      </c>
      <c r="AR221">
        <v>7750</v>
      </c>
      <c r="AS221">
        <f t="shared" si="284"/>
        <v>9300</v>
      </c>
      <c r="AT221" t="s">
        <v>73</v>
      </c>
      <c r="AU221" t="e">
        <f t="shared" si="285"/>
        <v>#VALUE!</v>
      </c>
      <c r="AV221">
        <v>681</v>
      </c>
      <c r="AW221">
        <f t="shared" si="286"/>
        <v>681</v>
      </c>
      <c r="AX221">
        <v>1139</v>
      </c>
      <c r="AY221">
        <f t="shared" si="287"/>
        <v>1708.5</v>
      </c>
      <c r="AZ221">
        <v>70</v>
      </c>
      <c r="BA221">
        <f t="shared" si="288"/>
        <v>91</v>
      </c>
    </row>
    <row r="222" spans="1:53" x14ac:dyDescent="0.3">
      <c r="A222" t="s">
        <v>74</v>
      </c>
      <c r="B222" t="s">
        <v>505</v>
      </c>
      <c r="C222" t="s">
        <v>506</v>
      </c>
      <c r="D222">
        <v>20700</v>
      </c>
      <c r="E222">
        <f t="shared" si="264"/>
        <v>24840</v>
      </c>
      <c r="F222">
        <v>3</v>
      </c>
      <c r="G222">
        <f t="shared" si="265"/>
        <v>1.59</v>
      </c>
      <c r="H222">
        <v>36</v>
      </c>
      <c r="I222">
        <f t="shared" si="266"/>
        <v>36</v>
      </c>
      <c r="J222" t="s">
        <v>73</v>
      </c>
      <c r="K222" t="e">
        <f t="shared" si="267"/>
        <v>#VALUE!</v>
      </c>
      <c r="L222" t="s">
        <v>73</v>
      </c>
      <c r="M222" t="e">
        <f t="shared" si="268"/>
        <v>#VALUE!</v>
      </c>
      <c r="N222">
        <v>20700</v>
      </c>
      <c r="O222">
        <f t="shared" si="269"/>
        <v>24840</v>
      </c>
      <c r="P222">
        <v>3</v>
      </c>
      <c r="Q222">
        <f t="shared" si="270"/>
        <v>1.59</v>
      </c>
      <c r="R222">
        <v>36</v>
      </c>
      <c r="S222">
        <f t="shared" si="271"/>
        <v>36</v>
      </c>
      <c r="T222" t="s">
        <v>73</v>
      </c>
      <c r="U222" t="e">
        <f t="shared" si="272"/>
        <v>#VALUE!</v>
      </c>
      <c r="V222" t="s">
        <v>73</v>
      </c>
      <c r="W222" t="e">
        <f t="shared" ref="W222" si="313">V222*1.3</f>
        <v>#VALUE!</v>
      </c>
      <c r="X222">
        <v>23450</v>
      </c>
      <c r="Y222">
        <f t="shared" si="274"/>
        <v>28140</v>
      </c>
      <c r="Z222">
        <v>3</v>
      </c>
      <c r="AA222">
        <f t="shared" si="275"/>
        <v>1.59</v>
      </c>
      <c r="AB222">
        <v>36</v>
      </c>
      <c r="AC222">
        <f t="shared" si="276"/>
        <v>36</v>
      </c>
      <c r="AD222" t="s">
        <v>73</v>
      </c>
      <c r="AE222" t="e">
        <f t="shared" si="277"/>
        <v>#VALUE!</v>
      </c>
      <c r="AF222" t="s">
        <v>73</v>
      </c>
      <c r="AG222" t="e">
        <f t="shared" si="278"/>
        <v>#VALUE!</v>
      </c>
      <c r="AH222">
        <v>21617</v>
      </c>
      <c r="AI222">
        <f t="shared" si="279"/>
        <v>25940.399999999998</v>
      </c>
      <c r="AJ222">
        <v>3</v>
      </c>
      <c r="AK222">
        <f t="shared" si="280"/>
        <v>1.59</v>
      </c>
      <c r="AL222">
        <v>36</v>
      </c>
      <c r="AM222">
        <f t="shared" si="281"/>
        <v>36</v>
      </c>
      <c r="AN222" t="s">
        <v>73</v>
      </c>
      <c r="AO222" t="e">
        <f t="shared" si="282"/>
        <v>#VALUE!</v>
      </c>
      <c r="AP222" t="s">
        <v>73</v>
      </c>
      <c r="AQ222" t="e">
        <f t="shared" si="283"/>
        <v>#VALUE!</v>
      </c>
      <c r="AR222">
        <v>23651</v>
      </c>
      <c r="AS222">
        <f t="shared" si="284"/>
        <v>28381.200000000001</v>
      </c>
      <c r="AT222">
        <v>3</v>
      </c>
      <c r="AU222">
        <f t="shared" si="285"/>
        <v>1.59</v>
      </c>
      <c r="AV222">
        <v>36</v>
      </c>
      <c r="AW222">
        <f t="shared" si="286"/>
        <v>36</v>
      </c>
      <c r="AX222" t="s">
        <v>73</v>
      </c>
      <c r="AY222" t="e">
        <f t="shared" si="287"/>
        <v>#VALUE!</v>
      </c>
      <c r="AZ222" t="s">
        <v>73</v>
      </c>
      <c r="BA222" t="e">
        <f t="shared" si="288"/>
        <v>#VALUE!</v>
      </c>
    </row>
    <row r="223" spans="1:53" x14ac:dyDescent="0.3">
      <c r="A223" t="s">
        <v>74</v>
      </c>
      <c r="B223" t="s">
        <v>507</v>
      </c>
      <c r="C223" t="s">
        <v>508</v>
      </c>
      <c r="D223">
        <v>300</v>
      </c>
      <c r="E223">
        <f t="shared" si="264"/>
        <v>360</v>
      </c>
      <c r="F223">
        <v>22</v>
      </c>
      <c r="G223">
        <f t="shared" si="265"/>
        <v>11.66</v>
      </c>
      <c r="H223">
        <v>630</v>
      </c>
      <c r="I223">
        <f t="shared" si="266"/>
        <v>630</v>
      </c>
      <c r="J223" t="s">
        <v>73</v>
      </c>
      <c r="K223" t="e">
        <f t="shared" si="267"/>
        <v>#VALUE!</v>
      </c>
      <c r="L223" t="s">
        <v>73</v>
      </c>
      <c r="M223" t="e">
        <f t="shared" si="268"/>
        <v>#VALUE!</v>
      </c>
      <c r="N223">
        <v>300</v>
      </c>
      <c r="O223">
        <f t="shared" si="269"/>
        <v>360</v>
      </c>
      <c r="P223">
        <v>22</v>
      </c>
      <c r="Q223">
        <f t="shared" si="270"/>
        <v>11.66</v>
      </c>
      <c r="R223">
        <v>630</v>
      </c>
      <c r="S223">
        <f t="shared" si="271"/>
        <v>630</v>
      </c>
      <c r="T223" t="s">
        <v>73</v>
      </c>
      <c r="U223" t="e">
        <f t="shared" si="272"/>
        <v>#VALUE!</v>
      </c>
      <c r="V223" t="s">
        <v>73</v>
      </c>
      <c r="W223" t="e">
        <f t="shared" ref="W223" si="314">V223*1.3</f>
        <v>#VALUE!</v>
      </c>
      <c r="X223">
        <v>400</v>
      </c>
      <c r="Y223">
        <f t="shared" si="274"/>
        <v>480</v>
      </c>
      <c r="Z223">
        <v>41</v>
      </c>
      <c r="AA223">
        <f t="shared" si="275"/>
        <v>21.73</v>
      </c>
      <c r="AB223">
        <v>560</v>
      </c>
      <c r="AC223">
        <f t="shared" si="276"/>
        <v>560</v>
      </c>
      <c r="AD223" t="s">
        <v>73</v>
      </c>
      <c r="AE223" t="e">
        <f t="shared" si="277"/>
        <v>#VALUE!</v>
      </c>
      <c r="AF223" t="s">
        <v>73</v>
      </c>
      <c r="AG223" t="e">
        <f t="shared" si="278"/>
        <v>#VALUE!</v>
      </c>
      <c r="AH223">
        <v>400</v>
      </c>
      <c r="AI223">
        <f t="shared" si="279"/>
        <v>480</v>
      </c>
      <c r="AJ223">
        <v>41</v>
      </c>
      <c r="AK223">
        <f t="shared" si="280"/>
        <v>21.73</v>
      </c>
      <c r="AL223">
        <v>560</v>
      </c>
      <c r="AM223">
        <f t="shared" si="281"/>
        <v>560</v>
      </c>
      <c r="AN223" t="s">
        <v>73</v>
      </c>
      <c r="AO223" t="e">
        <f t="shared" si="282"/>
        <v>#VALUE!</v>
      </c>
      <c r="AP223" t="s">
        <v>73</v>
      </c>
      <c r="AQ223" t="e">
        <f t="shared" si="283"/>
        <v>#VALUE!</v>
      </c>
      <c r="AR223">
        <v>400</v>
      </c>
      <c r="AS223">
        <f t="shared" si="284"/>
        <v>480</v>
      </c>
      <c r="AT223">
        <v>25</v>
      </c>
      <c r="AU223">
        <f t="shared" si="285"/>
        <v>13.25</v>
      </c>
      <c r="AV223">
        <v>70</v>
      </c>
      <c r="AW223">
        <f t="shared" si="286"/>
        <v>70</v>
      </c>
      <c r="AX223" t="s">
        <v>73</v>
      </c>
      <c r="AY223" t="e">
        <f t="shared" si="287"/>
        <v>#VALUE!</v>
      </c>
      <c r="AZ223" t="s">
        <v>73</v>
      </c>
      <c r="BA223" t="e">
        <f t="shared" si="288"/>
        <v>#VALUE!</v>
      </c>
    </row>
    <row r="224" spans="1:53" x14ac:dyDescent="0.3">
      <c r="A224" t="s">
        <v>74</v>
      </c>
      <c r="B224" t="s">
        <v>509</v>
      </c>
      <c r="C224" t="s">
        <v>510</v>
      </c>
      <c r="D224">
        <v>1683</v>
      </c>
      <c r="E224">
        <f t="shared" si="264"/>
        <v>2019.6</v>
      </c>
      <c r="F224">
        <v>11</v>
      </c>
      <c r="G224">
        <f t="shared" si="265"/>
        <v>5.83</v>
      </c>
      <c r="H224">
        <v>541</v>
      </c>
      <c r="I224">
        <f t="shared" si="266"/>
        <v>541</v>
      </c>
      <c r="J224" t="s">
        <v>73</v>
      </c>
      <c r="K224" t="e">
        <f t="shared" si="267"/>
        <v>#VALUE!</v>
      </c>
      <c r="L224" t="s">
        <v>73</v>
      </c>
      <c r="M224" t="e">
        <f t="shared" si="268"/>
        <v>#VALUE!</v>
      </c>
      <c r="N224">
        <v>1683</v>
      </c>
      <c r="O224">
        <f t="shared" si="269"/>
        <v>2019.6</v>
      </c>
      <c r="P224">
        <v>11</v>
      </c>
      <c r="Q224">
        <f t="shared" si="270"/>
        <v>5.83</v>
      </c>
      <c r="R224">
        <v>541</v>
      </c>
      <c r="S224">
        <f t="shared" si="271"/>
        <v>541</v>
      </c>
      <c r="T224" t="s">
        <v>73</v>
      </c>
      <c r="U224" t="e">
        <f t="shared" si="272"/>
        <v>#VALUE!</v>
      </c>
      <c r="V224" t="s">
        <v>73</v>
      </c>
      <c r="W224" t="e">
        <f t="shared" ref="W224" si="315">V224*1.3</f>
        <v>#VALUE!</v>
      </c>
      <c r="X224">
        <v>1698</v>
      </c>
      <c r="Y224">
        <f t="shared" si="274"/>
        <v>2037.6</v>
      </c>
      <c r="Z224">
        <v>10</v>
      </c>
      <c r="AA224">
        <f t="shared" si="275"/>
        <v>5.3000000000000007</v>
      </c>
      <c r="AB224">
        <v>269</v>
      </c>
      <c r="AC224">
        <f t="shared" si="276"/>
        <v>269</v>
      </c>
      <c r="AD224" t="s">
        <v>73</v>
      </c>
      <c r="AE224" t="e">
        <f t="shared" si="277"/>
        <v>#VALUE!</v>
      </c>
      <c r="AF224" t="s">
        <v>73</v>
      </c>
      <c r="AG224" t="e">
        <f t="shared" si="278"/>
        <v>#VALUE!</v>
      </c>
      <c r="AH224">
        <v>1693</v>
      </c>
      <c r="AI224">
        <f t="shared" si="279"/>
        <v>2031.6</v>
      </c>
      <c r="AJ224">
        <v>10</v>
      </c>
      <c r="AK224">
        <f t="shared" si="280"/>
        <v>5.3000000000000007</v>
      </c>
      <c r="AL224">
        <v>280</v>
      </c>
      <c r="AM224">
        <f t="shared" si="281"/>
        <v>280</v>
      </c>
      <c r="AN224" t="s">
        <v>73</v>
      </c>
      <c r="AO224" t="e">
        <f t="shared" si="282"/>
        <v>#VALUE!</v>
      </c>
      <c r="AP224" t="s">
        <v>73</v>
      </c>
      <c r="AQ224" t="e">
        <f t="shared" si="283"/>
        <v>#VALUE!</v>
      </c>
      <c r="AR224">
        <v>1693</v>
      </c>
      <c r="AS224">
        <f t="shared" si="284"/>
        <v>2031.6</v>
      </c>
      <c r="AT224">
        <v>10</v>
      </c>
      <c r="AU224">
        <f t="shared" si="285"/>
        <v>5.3000000000000007</v>
      </c>
      <c r="AV224">
        <v>280</v>
      </c>
      <c r="AW224">
        <f t="shared" si="286"/>
        <v>280</v>
      </c>
      <c r="AX224" t="s">
        <v>73</v>
      </c>
      <c r="AY224" t="e">
        <f t="shared" si="287"/>
        <v>#VALUE!</v>
      </c>
      <c r="AZ224" t="s">
        <v>73</v>
      </c>
      <c r="BA224" t="e">
        <f t="shared" si="288"/>
        <v>#VALUE!</v>
      </c>
    </row>
    <row r="225" spans="1:53" x14ac:dyDescent="0.3">
      <c r="A225" t="s">
        <v>74</v>
      </c>
      <c r="B225" t="s">
        <v>511</v>
      </c>
      <c r="C225" t="s">
        <v>512</v>
      </c>
      <c r="D225">
        <v>2920</v>
      </c>
      <c r="E225">
        <f t="shared" si="264"/>
        <v>3504</v>
      </c>
      <c r="F225" t="s">
        <v>73</v>
      </c>
      <c r="G225" t="e">
        <f t="shared" si="265"/>
        <v>#VALUE!</v>
      </c>
      <c r="H225" t="s">
        <v>73</v>
      </c>
      <c r="I225" t="str">
        <f t="shared" si="266"/>
        <v>-</v>
      </c>
      <c r="J225" t="s">
        <v>73</v>
      </c>
      <c r="K225" t="e">
        <f t="shared" si="267"/>
        <v>#VALUE!</v>
      </c>
      <c r="L225" t="s">
        <v>73</v>
      </c>
      <c r="M225" t="e">
        <f t="shared" si="268"/>
        <v>#VALUE!</v>
      </c>
      <c r="N225">
        <v>2920</v>
      </c>
      <c r="O225">
        <f t="shared" si="269"/>
        <v>3504</v>
      </c>
      <c r="P225" t="s">
        <v>73</v>
      </c>
      <c r="Q225" t="e">
        <f t="shared" si="270"/>
        <v>#VALUE!</v>
      </c>
      <c r="R225" t="s">
        <v>73</v>
      </c>
      <c r="S225" t="str">
        <f t="shared" si="271"/>
        <v>-</v>
      </c>
      <c r="T225" t="s">
        <v>73</v>
      </c>
      <c r="U225" t="e">
        <f t="shared" si="272"/>
        <v>#VALUE!</v>
      </c>
      <c r="V225" t="s">
        <v>73</v>
      </c>
      <c r="W225" t="e">
        <f t="shared" ref="W225" si="316">V225*1.3</f>
        <v>#VALUE!</v>
      </c>
      <c r="X225">
        <v>1825</v>
      </c>
      <c r="Y225">
        <f t="shared" si="274"/>
        <v>2190</v>
      </c>
      <c r="Z225" t="s">
        <v>73</v>
      </c>
      <c r="AA225" t="e">
        <f t="shared" si="275"/>
        <v>#VALUE!</v>
      </c>
      <c r="AB225" t="s">
        <v>73</v>
      </c>
      <c r="AC225" t="str">
        <f t="shared" si="276"/>
        <v>-</v>
      </c>
      <c r="AD225" t="s">
        <v>73</v>
      </c>
      <c r="AE225" t="e">
        <f t="shared" si="277"/>
        <v>#VALUE!</v>
      </c>
      <c r="AF225" t="s">
        <v>73</v>
      </c>
      <c r="AG225" t="e">
        <f t="shared" si="278"/>
        <v>#VALUE!</v>
      </c>
      <c r="AH225">
        <v>1825</v>
      </c>
      <c r="AI225">
        <f t="shared" si="279"/>
        <v>2190</v>
      </c>
      <c r="AJ225" t="s">
        <v>73</v>
      </c>
      <c r="AK225" t="e">
        <f t="shared" si="280"/>
        <v>#VALUE!</v>
      </c>
      <c r="AL225" t="s">
        <v>73</v>
      </c>
      <c r="AM225" t="str">
        <f t="shared" si="281"/>
        <v>-</v>
      </c>
      <c r="AN225" t="s">
        <v>73</v>
      </c>
      <c r="AO225" t="e">
        <f t="shared" si="282"/>
        <v>#VALUE!</v>
      </c>
      <c r="AP225" t="s">
        <v>73</v>
      </c>
      <c r="AQ225" t="e">
        <f t="shared" si="283"/>
        <v>#VALUE!</v>
      </c>
      <c r="AR225">
        <v>2700</v>
      </c>
      <c r="AS225">
        <f t="shared" si="284"/>
        <v>3240</v>
      </c>
      <c r="AT225" t="s">
        <v>73</v>
      </c>
      <c r="AU225" t="e">
        <f t="shared" si="285"/>
        <v>#VALUE!</v>
      </c>
      <c r="AV225" t="s">
        <v>73</v>
      </c>
      <c r="AW225" t="str">
        <f t="shared" si="286"/>
        <v>-</v>
      </c>
      <c r="AX225" t="s">
        <v>73</v>
      </c>
      <c r="AY225" t="e">
        <f t="shared" si="287"/>
        <v>#VALUE!</v>
      </c>
      <c r="AZ225" t="s">
        <v>73</v>
      </c>
      <c r="BA225" t="e">
        <f t="shared" si="288"/>
        <v>#VALUE!</v>
      </c>
    </row>
    <row r="226" spans="1:53" x14ac:dyDescent="0.3">
      <c r="A226" t="s">
        <v>74</v>
      </c>
      <c r="B226" t="s">
        <v>513</v>
      </c>
      <c r="C226" t="s">
        <v>514</v>
      </c>
      <c r="D226" t="s">
        <v>73</v>
      </c>
      <c r="E226" t="e">
        <f t="shared" si="264"/>
        <v>#VALUE!</v>
      </c>
      <c r="F226">
        <v>2</v>
      </c>
      <c r="G226">
        <f t="shared" si="265"/>
        <v>1.06</v>
      </c>
      <c r="H226">
        <v>441</v>
      </c>
      <c r="I226">
        <f t="shared" si="266"/>
        <v>441</v>
      </c>
      <c r="J226" t="s">
        <v>73</v>
      </c>
      <c r="K226" t="e">
        <f t="shared" si="267"/>
        <v>#VALUE!</v>
      </c>
      <c r="L226" t="s">
        <v>73</v>
      </c>
      <c r="M226" t="e">
        <f t="shared" si="268"/>
        <v>#VALUE!</v>
      </c>
      <c r="N226" t="s">
        <v>73</v>
      </c>
      <c r="O226" t="e">
        <f t="shared" si="269"/>
        <v>#VALUE!</v>
      </c>
      <c r="P226">
        <v>2</v>
      </c>
      <c r="Q226">
        <f t="shared" si="270"/>
        <v>1.06</v>
      </c>
      <c r="R226">
        <v>441</v>
      </c>
      <c r="S226">
        <f t="shared" si="271"/>
        <v>441</v>
      </c>
      <c r="T226" t="s">
        <v>73</v>
      </c>
      <c r="U226" t="e">
        <f t="shared" si="272"/>
        <v>#VALUE!</v>
      </c>
      <c r="V226" t="s">
        <v>73</v>
      </c>
      <c r="W226" t="e">
        <f t="shared" ref="W226" si="317">V226*1.3</f>
        <v>#VALUE!</v>
      </c>
      <c r="X226" t="s">
        <v>73</v>
      </c>
      <c r="Y226" t="e">
        <f t="shared" si="274"/>
        <v>#VALUE!</v>
      </c>
      <c r="Z226">
        <v>2</v>
      </c>
      <c r="AA226">
        <f t="shared" si="275"/>
        <v>1.06</v>
      </c>
      <c r="AB226">
        <v>411</v>
      </c>
      <c r="AC226">
        <f t="shared" si="276"/>
        <v>411</v>
      </c>
      <c r="AD226" t="s">
        <v>73</v>
      </c>
      <c r="AE226" t="e">
        <f t="shared" si="277"/>
        <v>#VALUE!</v>
      </c>
      <c r="AF226" t="s">
        <v>73</v>
      </c>
      <c r="AG226" t="e">
        <f t="shared" si="278"/>
        <v>#VALUE!</v>
      </c>
      <c r="AH226" t="s">
        <v>73</v>
      </c>
      <c r="AI226" t="e">
        <f t="shared" si="279"/>
        <v>#VALUE!</v>
      </c>
      <c r="AJ226">
        <v>2</v>
      </c>
      <c r="AK226">
        <f t="shared" si="280"/>
        <v>1.06</v>
      </c>
      <c r="AL226">
        <v>438</v>
      </c>
      <c r="AM226">
        <f t="shared" si="281"/>
        <v>438</v>
      </c>
      <c r="AN226" t="s">
        <v>73</v>
      </c>
      <c r="AO226" t="e">
        <f t="shared" si="282"/>
        <v>#VALUE!</v>
      </c>
      <c r="AP226" t="s">
        <v>73</v>
      </c>
      <c r="AQ226" t="e">
        <f t="shared" si="283"/>
        <v>#VALUE!</v>
      </c>
      <c r="AR226" t="s">
        <v>73</v>
      </c>
      <c r="AS226" t="e">
        <f t="shared" si="284"/>
        <v>#VALUE!</v>
      </c>
      <c r="AT226">
        <v>2</v>
      </c>
      <c r="AU226">
        <f t="shared" si="285"/>
        <v>1.06</v>
      </c>
      <c r="AV226">
        <v>438</v>
      </c>
      <c r="AW226">
        <f t="shared" si="286"/>
        <v>438</v>
      </c>
      <c r="AX226" t="s">
        <v>73</v>
      </c>
      <c r="AY226" t="e">
        <f t="shared" si="287"/>
        <v>#VALUE!</v>
      </c>
      <c r="AZ226" t="s">
        <v>73</v>
      </c>
      <c r="BA226" t="e">
        <f t="shared" si="288"/>
        <v>#VALUE!</v>
      </c>
    </row>
    <row r="227" spans="1:53" x14ac:dyDescent="0.3">
      <c r="A227" t="s">
        <v>74</v>
      </c>
      <c r="B227" t="s">
        <v>515</v>
      </c>
      <c r="C227" t="s">
        <v>516</v>
      </c>
      <c r="D227">
        <v>6525</v>
      </c>
      <c r="E227">
        <f t="shared" si="264"/>
        <v>7830</v>
      </c>
      <c r="F227">
        <v>5</v>
      </c>
      <c r="G227">
        <f t="shared" si="265"/>
        <v>2.6500000000000004</v>
      </c>
      <c r="H227">
        <v>916</v>
      </c>
      <c r="I227">
        <f t="shared" si="266"/>
        <v>916</v>
      </c>
      <c r="J227">
        <v>174</v>
      </c>
      <c r="K227">
        <f t="shared" si="267"/>
        <v>261</v>
      </c>
      <c r="L227" t="s">
        <v>73</v>
      </c>
      <c r="M227" t="e">
        <f t="shared" si="268"/>
        <v>#VALUE!</v>
      </c>
      <c r="N227">
        <v>6525</v>
      </c>
      <c r="O227">
        <f t="shared" si="269"/>
        <v>7830</v>
      </c>
      <c r="P227">
        <v>5</v>
      </c>
      <c r="Q227">
        <f t="shared" si="270"/>
        <v>2.6500000000000004</v>
      </c>
      <c r="R227">
        <v>610</v>
      </c>
      <c r="S227">
        <f t="shared" si="271"/>
        <v>610</v>
      </c>
      <c r="T227">
        <v>88</v>
      </c>
      <c r="U227">
        <f t="shared" si="272"/>
        <v>132</v>
      </c>
      <c r="V227" t="s">
        <v>73</v>
      </c>
      <c r="W227" t="e">
        <f t="shared" ref="W227" si="318">V227*1.3</f>
        <v>#VALUE!</v>
      </c>
      <c r="X227">
        <v>6525</v>
      </c>
      <c r="Y227">
        <f t="shared" si="274"/>
        <v>7830</v>
      </c>
      <c r="Z227">
        <v>5</v>
      </c>
      <c r="AA227">
        <f t="shared" si="275"/>
        <v>2.6500000000000004</v>
      </c>
      <c r="AB227">
        <v>630</v>
      </c>
      <c r="AC227">
        <f t="shared" si="276"/>
        <v>630</v>
      </c>
      <c r="AD227">
        <v>89</v>
      </c>
      <c r="AE227">
        <f t="shared" si="277"/>
        <v>133.5</v>
      </c>
      <c r="AF227" t="s">
        <v>73</v>
      </c>
      <c r="AG227" t="e">
        <f t="shared" si="278"/>
        <v>#VALUE!</v>
      </c>
      <c r="AH227">
        <v>6525</v>
      </c>
      <c r="AI227">
        <f t="shared" si="279"/>
        <v>7830</v>
      </c>
      <c r="AJ227">
        <v>5</v>
      </c>
      <c r="AK227">
        <f t="shared" si="280"/>
        <v>2.6500000000000004</v>
      </c>
      <c r="AL227">
        <v>732</v>
      </c>
      <c r="AM227">
        <f t="shared" si="281"/>
        <v>732</v>
      </c>
      <c r="AN227">
        <v>91</v>
      </c>
      <c r="AO227">
        <f t="shared" si="282"/>
        <v>136.5</v>
      </c>
      <c r="AP227" t="s">
        <v>73</v>
      </c>
      <c r="AQ227" t="e">
        <f t="shared" si="283"/>
        <v>#VALUE!</v>
      </c>
      <c r="AR227">
        <v>6525</v>
      </c>
      <c r="AS227">
        <f t="shared" si="284"/>
        <v>7830</v>
      </c>
      <c r="AT227">
        <v>5</v>
      </c>
      <c r="AU227">
        <f t="shared" si="285"/>
        <v>2.6500000000000004</v>
      </c>
      <c r="AV227">
        <v>862</v>
      </c>
      <c r="AW227">
        <f t="shared" si="286"/>
        <v>862</v>
      </c>
      <c r="AX227">
        <v>91</v>
      </c>
      <c r="AY227">
        <f t="shared" si="287"/>
        <v>136.5</v>
      </c>
      <c r="AZ227" t="s">
        <v>73</v>
      </c>
      <c r="BA227" t="e">
        <f t="shared" si="288"/>
        <v>#VALUE!</v>
      </c>
    </row>
    <row r="228" spans="1:53" x14ac:dyDescent="0.3">
      <c r="A228" t="s">
        <v>74</v>
      </c>
      <c r="B228" t="s">
        <v>517</v>
      </c>
      <c r="C228" t="s">
        <v>518</v>
      </c>
      <c r="D228">
        <v>4575</v>
      </c>
      <c r="E228">
        <f t="shared" si="264"/>
        <v>5490</v>
      </c>
      <c r="F228">
        <v>2</v>
      </c>
      <c r="G228">
        <f t="shared" si="265"/>
        <v>1.06</v>
      </c>
      <c r="H228">
        <v>190</v>
      </c>
      <c r="I228">
        <f t="shared" si="266"/>
        <v>190</v>
      </c>
      <c r="J228" t="s">
        <v>73</v>
      </c>
      <c r="K228" t="e">
        <f t="shared" si="267"/>
        <v>#VALUE!</v>
      </c>
      <c r="L228" t="s">
        <v>73</v>
      </c>
      <c r="M228" t="e">
        <f t="shared" si="268"/>
        <v>#VALUE!</v>
      </c>
      <c r="N228">
        <v>4575</v>
      </c>
      <c r="O228">
        <f t="shared" si="269"/>
        <v>5490</v>
      </c>
      <c r="P228">
        <v>2</v>
      </c>
      <c r="Q228">
        <f t="shared" si="270"/>
        <v>1.06</v>
      </c>
      <c r="R228">
        <v>190</v>
      </c>
      <c r="S228">
        <f t="shared" si="271"/>
        <v>190</v>
      </c>
      <c r="T228" t="s">
        <v>73</v>
      </c>
      <c r="U228" t="e">
        <f t="shared" si="272"/>
        <v>#VALUE!</v>
      </c>
      <c r="V228" t="s">
        <v>73</v>
      </c>
      <c r="W228" t="e">
        <f t="shared" ref="W228" si="319">V228*1.3</f>
        <v>#VALUE!</v>
      </c>
      <c r="X228">
        <v>4575</v>
      </c>
      <c r="Y228">
        <f t="shared" si="274"/>
        <v>5490</v>
      </c>
      <c r="Z228">
        <v>2</v>
      </c>
      <c r="AA228">
        <f t="shared" si="275"/>
        <v>1.06</v>
      </c>
      <c r="AB228">
        <v>184</v>
      </c>
      <c r="AC228">
        <f t="shared" si="276"/>
        <v>184</v>
      </c>
      <c r="AD228" t="s">
        <v>73</v>
      </c>
      <c r="AE228" t="e">
        <f t="shared" si="277"/>
        <v>#VALUE!</v>
      </c>
      <c r="AF228" t="s">
        <v>73</v>
      </c>
      <c r="AG228" t="e">
        <f t="shared" si="278"/>
        <v>#VALUE!</v>
      </c>
      <c r="AH228">
        <v>3666</v>
      </c>
      <c r="AI228">
        <f t="shared" si="279"/>
        <v>4399.2</v>
      </c>
      <c r="AJ228">
        <v>2</v>
      </c>
      <c r="AK228">
        <f t="shared" si="280"/>
        <v>1.06</v>
      </c>
      <c r="AL228">
        <v>158</v>
      </c>
      <c r="AM228">
        <f t="shared" si="281"/>
        <v>158</v>
      </c>
      <c r="AN228" t="s">
        <v>73</v>
      </c>
      <c r="AO228" t="e">
        <f t="shared" si="282"/>
        <v>#VALUE!</v>
      </c>
      <c r="AP228" t="s">
        <v>73</v>
      </c>
      <c r="AQ228" t="e">
        <f t="shared" si="283"/>
        <v>#VALUE!</v>
      </c>
      <c r="AR228">
        <v>3666</v>
      </c>
      <c r="AS228">
        <f t="shared" si="284"/>
        <v>4399.2</v>
      </c>
      <c r="AT228">
        <v>2</v>
      </c>
      <c r="AU228">
        <f t="shared" si="285"/>
        <v>1.06</v>
      </c>
      <c r="AV228">
        <v>158</v>
      </c>
      <c r="AW228">
        <f t="shared" si="286"/>
        <v>158</v>
      </c>
      <c r="AX228" t="s">
        <v>73</v>
      </c>
      <c r="AY228" t="e">
        <f t="shared" si="287"/>
        <v>#VALUE!</v>
      </c>
      <c r="AZ228" t="s">
        <v>73</v>
      </c>
      <c r="BA228" t="e">
        <f t="shared" si="288"/>
        <v>#VALUE!</v>
      </c>
    </row>
    <row r="229" spans="1:53" x14ac:dyDescent="0.3">
      <c r="A229" t="s">
        <v>74</v>
      </c>
      <c r="B229" t="s">
        <v>519</v>
      </c>
      <c r="C229" t="s">
        <v>520</v>
      </c>
      <c r="D229">
        <v>3750</v>
      </c>
      <c r="E229">
        <f t="shared" si="264"/>
        <v>4500</v>
      </c>
      <c r="F229" t="s">
        <v>73</v>
      </c>
      <c r="G229" t="e">
        <f t="shared" si="265"/>
        <v>#VALUE!</v>
      </c>
      <c r="H229">
        <v>448</v>
      </c>
      <c r="I229">
        <f t="shared" si="266"/>
        <v>448</v>
      </c>
      <c r="J229" t="s">
        <v>73</v>
      </c>
      <c r="K229" t="e">
        <f t="shared" si="267"/>
        <v>#VALUE!</v>
      </c>
      <c r="L229" t="s">
        <v>73</v>
      </c>
      <c r="M229" t="e">
        <f t="shared" si="268"/>
        <v>#VALUE!</v>
      </c>
      <c r="N229">
        <v>3750</v>
      </c>
      <c r="O229">
        <f t="shared" si="269"/>
        <v>4500</v>
      </c>
      <c r="P229" t="s">
        <v>73</v>
      </c>
      <c r="Q229" t="e">
        <f t="shared" si="270"/>
        <v>#VALUE!</v>
      </c>
      <c r="R229">
        <v>448</v>
      </c>
      <c r="S229">
        <f t="shared" si="271"/>
        <v>448</v>
      </c>
      <c r="T229" t="s">
        <v>73</v>
      </c>
      <c r="U229" t="e">
        <f t="shared" si="272"/>
        <v>#VALUE!</v>
      </c>
      <c r="V229" t="s">
        <v>73</v>
      </c>
      <c r="W229" t="e">
        <f t="shared" ref="W229" si="320">V229*1.3</f>
        <v>#VALUE!</v>
      </c>
      <c r="X229">
        <v>3834</v>
      </c>
      <c r="Y229">
        <f t="shared" si="274"/>
        <v>4600.8</v>
      </c>
      <c r="Z229" t="s">
        <v>73</v>
      </c>
      <c r="AA229" t="e">
        <f t="shared" si="275"/>
        <v>#VALUE!</v>
      </c>
      <c r="AB229">
        <v>448</v>
      </c>
      <c r="AC229">
        <f t="shared" si="276"/>
        <v>448</v>
      </c>
      <c r="AD229" t="s">
        <v>73</v>
      </c>
      <c r="AE229" t="e">
        <f t="shared" si="277"/>
        <v>#VALUE!</v>
      </c>
      <c r="AF229" t="s">
        <v>73</v>
      </c>
      <c r="AG229" t="e">
        <f t="shared" si="278"/>
        <v>#VALUE!</v>
      </c>
      <c r="AH229">
        <v>3778</v>
      </c>
      <c r="AI229">
        <f t="shared" si="279"/>
        <v>4533.5999999999995</v>
      </c>
      <c r="AJ229" t="s">
        <v>73</v>
      </c>
      <c r="AK229" t="e">
        <f t="shared" si="280"/>
        <v>#VALUE!</v>
      </c>
      <c r="AL229">
        <v>448</v>
      </c>
      <c r="AM229">
        <f t="shared" si="281"/>
        <v>448</v>
      </c>
      <c r="AN229" t="s">
        <v>73</v>
      </c>
      <c r="AO229" t="e">
        <f t="shared" si="282"/>
        <v>#VALUE!</v>
      </c>
      <c r="AP229" t="s">
        <v>73</v>
      </c>
      <c r="AQ229" t="e">
        <f t="shared" si="283"/>
        <v>#VALUE!</v>
      </c>
      <c r="AR229">
        <v>3778</v>
      </c>
      <c r="AS229">
        <f t="shared" si="284"/>
        <v>4533.5999999999995</v>
      </c>
      <c r="AT229" t="s">
        <v>73</v>
      </c>
      <c r="AU229" t="e">
        <f t="shared" si="285"/>
        <v>#VALUE!</v>
      </c>
      <c r="AV229">
        <v>448</v>
      </c>
      <c r="AW229">
        <f t="shared" si="286"/>
        <v>448</v>
      </c>
      <c r="AX229" t="s">
        <v>73</v>
      </c>
      <c r="AY229" t="e">
        <f t="shared" si="287"/>
        <v>#VALUE!</v>
      </c>
      <c r="AZ229" t="s">
        <v>73</v>
      </c>
      <c r="BA229" t="e">
        <f t="shared" si="288"/>
        <v>#VALUE!</v>
      </c>
    </row>
    <row r="230" spans="1:53" x14ac:dyDescent="0.3">
      <c r="A230" t="s">
        <v>70</v>
      </c>
      <c r="B230" t="s">
        <v>521</v>
      </c>
      <c r="C230" t="s">
        <v>522</v>
      </c>
      <c r="D230">
        <v>74721</v>
      </c>
      <c r="E230">
        <f t="shared" si="264"/>
        <v>89665.2</v>
      </c>
      <c r="F230">
        <v>11</v>
      </c>
      <c r="G230">
        <f t="shared" si="265"/>
        <v>5.83</v>
      </c>
      <c r="H230">
        <v>58</v>
      </c>
      <c r="I230">
        <f t="shared" si="266"/>
        <v>58</v>
      </c>
      <c r="J230" t="s">
        <v>73</v>
      </c>
      <c r="K230" t="e">
        <f t="shared" si="267"/>
        <v>#VALUE!</v>
      </c>
      <c r="L230" t="s">
        <v>73</v>
      </c>
      <c r="M230" t="e">
        <f t="shared" si="268"/>
        <v>#VALUE!</v>
      </c>
      <c r="N230">
        <v>73773</v>
      </c>
      <c r="O230">
        <f t="shared" si="269"/>
        <v>88527.599999999991</v>
      </c>
      <c r="P230">
        <v>11</v>
      </c>
      <c r="Q230">
        <f t="shared" si="270"/>
        <v>5.83</v>
      </c>
      <c r="R230">
        <v>58</v>
      </c>
      <c r="S230">
        <f t="shared" si="271"/>
        <v>58</v>
      </c>
      <c r="T230" t="s">
        <v>73</v>
      </c>
      <c r="U230" t="e">
        <f t="shared" si="272"/>
        <v>#VALUE!</v>
      </c>
      <c r="V230" t="s">
        <v>73</v>
      </c>
      <c r="W230" t="e">
        <f t="shared" ref="W230" si="321">V230*1.3</f>
        <v>#VALUE!</v>
      </c>
      <c r="X230">
        <v>75098</v>
      </c>
      <c r="Y230">
        <f t="shared" si="274"/>
        <v>90117.599999999991</v>
      </c>
      <c r="Z230">
        <v>12</v>
      </c>
      <c r="AA230">
        <f t="shared" si="275"/>
        <v>6.36</v>
      </c>
      <c r="AB230">
        <v>340</v>
      </c>
      <c r="AC230">
        <f t="shared" si="276"/>
        <v>340</v>
      </c>
      <c r="AD230" t="s">
        <v>73</v>
      </c>
      <c r="AE230" t="e">
        <f t="shared" si="277"/>
        <v>#VALUE!</v>
      </c>
      <c r="AF230" t="s">
        <v>73</v>
      </c>
      <c r="AG230" t="e">
        <f t="shared" si="278"/>
        <v>#VALUE!</v>
      </c>
      <c r="AH230">
        <v>79945</v>
      </c>
      <c r="AI230">
        <f t="shared" si="279"/>
        <v>95934</v>
      </c>
      <c r="AJ230">
        <v>17</v>
      </c>
      <c r="AK230">
        <f t="shared" si="280"/>
        <v>9.01</v>
      </c>
      <c r="AL230">
        <v>580</v>
      </c>
      <c r="AM230">
        <f t="shared" si="281"/>
        <v>580</v>
      </c>
      <c r="AN230" t="s">
        <v>73</v>
      </c>
      <c r="AO230" t="e">
        <f t="shared" si="282"/>
        <v>#VALUE!</v>
      </c>
      <c r="AP230" t="s">
        <v>73</v>
      </c>
      <c r="AQ230" t="e">
        <f t="shared" si="283"/>
        <v>#VALUE!</v>
      </c>
      <c r="AR230">
        <v>74577</v>
      </c>
      <c r="AS230">
        <f t="shared" si="284"/>
        <v>89492.4</v>
      </c>
      <c r="AT230">
        <v>17</v>
      </c>
      <c r="AU230">
        <f t="shared" si="285"/>
        <v>9.01</v>
      </c>
      <c r="AV230">
        <v>220</v>
      </c>
      <c r="AW230">
        <f t="shared" si="286"/>
        <v>220</v>
      </c>
      <c r="AX230" t="s">
        <v>73</v>
      </c>
      <c r="AY230" t="e">
        <f t="shared" si="287"/>
        <v>#VALUE!</v>
      </c>
      <c r="AZ230" t="s">
        <v>73</v>
      </c>
      <c r="BA230" t="e">
        <f t="shared" si="288"/>
        <v>#VALUE!</v>
      </c>
    </row>
    <row r="231" spans="1:53" x14ac:dyDescent="0.3">
      <c r="A231" t="s">
        <v>74</v>
      </c>
      <c r="B231" t="s">
        <v>523</v>
      </c>
      <c r="C231" t="s">
        <v>524</v>
      </c>
      <c r="D231" t="s">
        <v>525</v>
      </c>
      <c r="E231" t="e">
        <f t="shared" si="264"/>
        <v>#VALUE!</v>
      </c>
      <c r="F231" t="s">
        <v>525</v>
      </c>
      <c r="G231" t="e">
        <f t="shared" si="265"/>
        <v>#VALUE!</v>
      </c>
      <c r="H231" t="s">
        <v>525</v>
      </c>
      <c r="I231" t="str">
        <f t="shared" si="266"/>
        <v>...</v>
      </c>
      <c r="J231" t="s">
        <v>525</v>
      </c>
      <c r="K231" t="e">
        <f t="shared" si="267"/>
        <v>#VALUE!</v>
      </c>
      <c r="L231" t="s">
        <v>525</v>
      </c>
      <c r="M231" t="e">
        <f t="shared" si="268"/>
        <v>#VALUE!</v>
      </c>
      <c r="N231" t="s">
        <v>525</v>
      </c>
      <c r="O231" t="e">
        <f t="shared" si="269"/>
        <v>#VALUE!</v>
      </c>
      <c r="P231" t="s">
        <v>525</v>
      </c>
      <c r="Q231" t="e">
        <f t="shared" si="270"/>
        <v>#VALUE!</v>
      </c>
      <c r="R231" t="s">
        <v>525</v>
      </c>
      <c r="S231" t="str">
        <f t="shared" si="271"/>
        <v>...</v>
      </c>
      <c r="T231" t="s">
        <v>525</v>
      </c>
      <c r="U231" t="e">
        <f t="shared" si="272"/>
        <v>#VALUE!</v>
      </c>
      <c r="V231" t="s">
        <v>525</v>
      </c>
      <c r="W231" t="e">
        <f t="shared" ref="W231" si="322">V231*1.3</f>
        <v>#VALUE!</v>
      </c>
      <c r="X231" t="s">
        <v>525</v>
      </c>
      <c r="Y231" t="e">
        <f t="shared" si="274"/>
        <v>#VALUE!</v>
      </c>
      <c r="Z231" t="s">
        <v>525</v>
      </c>
      <c r="AA231" t="e">
        <f t="shared" si="275"/>
        <v>#VALUE!</v>
      </c>
      <c r="AB231" t="s">
        <v>525</v>
      </c>
      <c r="AC231" t="str">
        <f t="shared" si="276"/>
        <v>...</v>
      </c>
      <c r="AD231" t="s">
        <v>525</v>
      </c>
      <c r="AE231" t="e">
        <f t="shared" si="277"/>
        <v>#VALUE!</v>
      </c>
      <c r="AF231" t="s">
        <v>525</v>
      </c>
      <c r="AG231" t="e">
        <f t="shared" si="278"/>
        <v>#VALUE!</v>
      </c>
      <c r="AH231" t="s">
        <v>525</v>
      </c>
      <c r="AI231" t="e">
        <f t="shared" si="279"/>
        <v>#VALUE!</v>
      </c>
      <c r="AJ231" t="s">
        <v>525</v>
      </c>
      <c r="AK231" t="e">
        <f t="shared" si="280"/>
        <v>#VALUE!</v>
      </c>
      <c r="AL231" t="s">
        <v>525</v>
      </c>
      <c r="AM231" t="str">
        <f t="shared" si="281"/>
        <v>...</v>
      </c>
      <c r="AN231" t="s">
        <v>525</v>
      </c>
      <c r="AO231" t="e">
        <f t="shared" si="282"/>
        <v>#VALUE!</v>
      </c>
      <c r="AP231" t="s">
        <v>525</v>
      </c>
      <c r="AQ231" t="e">
        <f t="shared" si="283"/>
        <v>#VALUE!</v>
      </c>
      <c r="AR231" t="s">
        <v>525</v>
      </c>
      <c r="AS231" t="e">
        <f t="shared" si="284"/>
        <v>#VALUE!</v>
      </c>
      <c r="AT231" t="s">
        <v>525</v>
      </c>
      <c r="AU231" t="e">
        <f t="shared" si="285"/>
        <v>#VALUE!</v>
      </c>
      <c r="AV231" t="s">
        <v>525</v>
      </c>
      <c r="AW231" t="str">
        <f t="shared" si="286"/>
        <v>...</v>
      </c>
      <c r="AX231" t="s">
        <v>525</v>
      </c>
      <c r="AY231" t="e">
        <f t="shared" si="287"/>
        <v>#VALUE!</v>
      </c>
      <c r="AZ231" t="s">
        <v>525</v>
      </c>
      <c r="BA231" t="e">
        <f t="shared" si="288"/>
        <v>#VALUE!</v>
      </c>
    </row>
    <row r="232" spans="1:53" x14ac:dyDescent="0.3">
      <c r="A232" t="s">
        <v>74</v>
      </c>
      <c r="B232" t="s">
        <v>526</v>
      </c>
      <c r="C232" t="s">
        <v>527</v>
      </c>
      <c r="D232">
        <v>2903</v>
      </c>
      <c r="E232">
        <f t="shared" si="264"/>
        <v>3483.6</v>
      </c>
      <c r="F232" t="s">
        <v>73</v>
      </c>
      <c r="G232" t="e">
        <f t="shared" si="265"/>
        <v>#VALUE!</v>
      </c>
      <c r="H232" t="s">
        <v>73</v>
      </c>
      <c r="I232" t="str">
        <f t="shared" si="266"/>
        <v>-</v>
      </c>
      <c r="J232" t="s">
        <v>73</v>
      </c>
      <c r="K232" t="e">
        <f t="shared" si="267"/>
        <v>#VALUE!</v>
      </c>
      <c r="L232" t="s">
        <v>73</v>
      </c>
      <c r="M232" t="e">
        <f t="shared" si="268"/>
        <v>#VALUE!</v>
      </c>
      <c r="N232">
        <v>2993</v>
      </c>
      <c r="O232">
        <f t="shared" si="269"/>
        <v>3591.6</v>
      </c>
      <c r="P232" t="s">
        <v>73</v>
      </c>
      <c r="Q232" t="e">
        <f t="shared" si="270"/>
        <v>#VALUE!</v>
      </c>
      <c r="R232" t="s">
        <v>73</v>
      </c>
      <c r="S232" t="str">
        <f t="shared" si="271"/>
        <v>-</v>
      </c>
      <c r="T232" t="s">
        <v>73</v>
      </c>
      <c r="U232" t="e">
        <f t="shared" si="272"/>
        <v>#VALUE!</v>
      </c>
      <c r="V232" t="s">
        <v>73</v>
      </c>
      <c r="W232" t="e">
        <f t="shared" ref="W232" si="323">V232*1.3</f>
        <v>#VALUE!</v>
      </c>
      <c r="X232">
        <v>1750</v>
      </c>
      <c r="Y232">
        <f t="shared" si="274"/>
        <v>2100</v>
      </c>
      <c r="Z232" t="s">
        <v>73</v>
      </c>
      <c r="AA232" t="e">
        <f t="shared" si="275"/>
        <v>#VALUE!</v>
      </c>
      <c r="AB232" t="s">
        <v>73</v>
      </c>
      <c r="AC232" t="str">
        <f t="shared" si="276"/>
        <v>-</v>
      </c>
      <c r="AD232" t="s">
        <v>73</v>
      </c>
      <c r="AE232" t="e">
        <f t="shared" si="277"/>
        <v>#VALUE!</v>
      </c>
      <c r="AF232" t="s">
        <v>73</v>
      </c>
      <c r="AG232" t="e">
        <f t="shared" si="278"/>
        <v>#VALUE!</v>
      </c>
      <c r="AH232">
        <v>1797</v>
      </c>
      <c r="AI232">
        <f t="shared" si="279"/>
        <v>2156.4</v>
      </c>
      <c r="AJ232" t="s">
        <v>73</v>
      </c>
      <c r="AK232" t="e">
        <f t="shared" si="280"/>
        <v>#VALUE!</v>
      </c>
      <c r="AL232" t="s">
        <v>73</v>
      </c>
      <c r="AM232" t="str">
        <f t="shared" si="281"/>
        <v>-</v>
      </c>
      <c r="AN232" t="s">
        <v>73</v>
      </c>
      <c r="AO232" t="e">
        <f t="shared" si="282"/>
        <v>#VALUE!</v>
      </c>
      <c r="AP232" t="s">
        <v>73</v>
      </c>
      <c r="AQ232" t="e">
        <f t="shared" si="283"/>
        <v>#VALUE!</v>
      </c>
      <c r="AR232">
        <v>1540</v>
      </c>
      <c r="AS232">
        <f t="shared" si="284"/>
        <v>1848</v>
      </c>
      <c r="AT232" t="s">
        <v>73</v>
      </c>
      <c r="AU232" t="e">
        <f t="shared" si="285"/>
        <v>#VALUE!</v>
      </c>
      <c r="AV232" t="s">
        <v>73</v>
      </c>
      <c r="AW232" t="str">
        <f t="shared" si="286"/>
        <v>-</v>
      </c>
      <c r="AX232" t="s">
        <v>73</v>
      </c>
      <c r="AY232" t="e">
        <f t="shared" si="287"/>
        <v>#VALUE!</v>
      </c>
      <c r="AZ232" t="s">
        <v>73</v>
      </c>
      <c r="BA232" t="e">
        <f t="shared" si="288"/>
        <v>#VALUE!</v>
      </c>
    </row>
    <row r="233" spans="1:53" x14ac:dyDescent="0.3">
      <c r="A233" t="s">
        <v>74</v>
      </c>
      <c r="B233" t="s">
        <v>528</v>
      </c>
      <c r="C233" t="s">
        <v>529</v>
      </c>
      <c r="D233">
        <v>3563</v>
      </c>
      <c r="E233">
        <f t="shared" si="264"/>
        <v>4275.5999999999995</v>
      </c>
      <c r="F233" t="s">
        <v>73</v>
      </c>
      <c r="G233" t="e">
        <f t="shared" si="265"/>
        <v>#VALUE!</v>
      </c>
      <c r="H233" t="s">
        <v>73</v>
      </c>
      <c r="I233" t="str">
        <f t="shared" si="266"/>
        <v>-</v>
      </c>
      <c r="J233" t="s">
        <v>73</v>
      </c>
      <c r="K233" t="e">
        <f t="shared" si="267"/>
        <v>#VALUE!</v>
      </c>
      <c r="L233" t="s">
        <v>73</v>
      </c>
      <c r="M233" t="e">
        <f t="shared" si="268"/>
        <v>#VALUE!</v>
      </c>
      <c r="N233">
        <v>3994</v>
      </c>
      <c r="O233">
        <f t="shared" si="269"/>
        <v>4792.8</v>
      </c>
      <c r="P233" t="s">
        <v>73</v>
      </c>
      <c r="Q233" t="e">
        <f t="shared" si="270"/>
        <v>#VALUE!</v>
      </c>
      <c r="R233" t="s">
        <v>73</v>
      </c>
      <c r="S233" t="str">
        <f t="shared" si="271"/>
        <v>-</v>
      </c>
      <c r="T233" t="s">
        <v>73</v>
      </c>
      <c r="U233" t="e">
        <f t="shared" si="272"/>
        <v>#VALUE!</v>
      </c>
      <c r="V233" t="s">
        <v>73</v>
      </c>
      <c r="W233" t="e">
        <f t="shared" ref="W233" si="324">V233*1.3</f>
        <v>#VALUE!</v>
      </c>
      <c r="X233">
        <v>2352</v>
      </c>
      <c r="Y233">
        <f t="shared" si="274"/>
        <v>2822.4</v>
      </c>
      <c r="Z233" t="s">
        <v>73</v>
      </c>
      <c r="AA233" t="e">
        <f t="shared" si="275"/>
        <v>#VALUE!</v>
      </c>
      <c r="AB233" t="s">
        <v>73</v>
      </c>
      <c r="AC233" t="str">
        <f t="shared" si="276"/>
        <v>-</v>
      </c>
      <c r="AD233" t="s">
        <v>73</v>
      </c>
      <c r="AE233" t="e">
        <f t="shared" si="277"/>
        <v>#VALUE!</v>
      </c>
      <c r="AF233" t="s">
        <v>73</v>
      </c>
      <c r="AG233" t="e">
        <f t="shared" si="278"/>
        <v>#VALUE!</v>
      </c>
      <c r="AH233">
        <v>2695</v>
      </c>
      <c r="AI233">
        <f t="shared" si="279"/>
        <v>3234</v>
      </c>
      <c r="AJ233" t="s">
        <v>73</v>
      </c>
      <c r="AK233" t="e">
        <f t="shared" si="280"/>
        <v>#VALUE!</v>
      </c>
      <c r="AL233" t="s">
        <v>73</v>
      </c>
      <c r="AM233" t="str">
        <f t="shared" si="281"/>
        <v>-</v>
      </c>
      <c r="AN233" t="s">
        <v>73</v>
      </c>
      <c r="AO233" t="e">
        <f t="shared" si="282"/>
        <v>#VALUE!</v>
      </c>
      <c r="AP233" t="s">
        <v>73</v>
      </c>
      <c r="AQ233" t="e">
        <f t="shared" si="283"/>
        <v>#VALUE!</v>
      </c>
      <c r="AR233">
        <v>2695</v>
      </c>
      <c r="AS233">
        <f t="shared" si="284"/>
        <v>3234</v>
      </c>
      <c r="AT233" t="s">
        <v>73</v>
      </c>
      <c r="AU233" t="e">
        <f t="shared" si="285"/>
        <v>#VALUE!</v>
      </c>
      <c r="AV233" t="s">
        <v>73</v>
      </c>
      <c r="AW233" t="str">
        <f t="shared" si="286"/>
        <v>-</v>
      </c>
      <c r="AX233" t="s">
        <v>73</v>
      </c>
      <c r="AY233" t="e">
        <f t="shared" si="287"/>
        <v>#VALUE!</v>
      </c>
      <c r="AZ233" t="s">
        <v>73</v>
      </c>
      <c r="BA233" t="e">
        <f t="shared" si="288"/>
        <v>#VALUE!</v>
      </c>
    </row>
    <row r="234" spans="1:53" x14ac:dyDescent="0.3">
      <c r="A234" t="s">
        <v>74</v>
      </c>
      <c r="B234" t="s">
        <v>530</v>
      </c>
      <c r="C234" t="s">
        <v>531</v>
      </c>
      <c r="D234" t="s">
        <v>525</v>
      </c>
      <c r="E234" t="e">
        <f t="shared" si="264"/>
        <v>#VALUE!</v>
      </c>
      <c r="F234" t="s">
        <v>525</v>
      </c>
      <c r="G234" t="e">
        <f t="shared" si="265"/>
        <v>#VALUE!</v>
      </c>
      <c r="H234" t="s">
        <v>525</v>
      </c>
      <c r="I234" t="str">
        <f t="shared" si="266"/>
        <v>...</v>
      </c>
      <c r="J234" t="s">
        <v>525</v>
      </c>
      <c r="K234" t="e">
        <f t="shared" si="267"/>
        <v>#VALUE!</v>
      </c>
      <c r="L234" t="s">
        <v>525</v>
      </c>
      <c r="M234" t="e">
        <f t="shared" si="268"/>
        <v>#VALUE!</v>
      </c>
      <c r="N234" t="s">
        <v>525</v>
      </c>
      <c r="O234" t="e">
        <f t="shared" si="269"/>
        <v>#VALUE!</v>
      </c>
      <c r="P234" t="s">
        <v>525</v>
      </c>
      <c r="Q234" t="e">
        <f t="shared" si="270"/>
        <v>#VALUE!</v>
      </c>
      <c r="R234" t="s">
        <v>525</v>
      </c>
      <c r="S234" t="str">
        <f t="shared" si="271"/>
        <v>...</v>
      </c>
      <c r="T234" t="s">
        <v>525</v>
      </c>
      <c r="U234" t="e">
        <f t="shared" si="272"/>
        <v>#VALUE!</v>
      </c>
      <c r="V234" t="s">
        <v>525</v>
      </c>
      <c r="W234" t="e">
        <f t="shared" ref="W234" si="325">V234*1.3</f>
        <v>#VALUE!</v>
      </c>
      <c r="X234" t="s">
        <v>525</v>
      </c>
      <c r="Y234" t="e">
        <f t="shared" si="274"/>
        <v>#VALUE!</v>
      </c>
      <c r="Z234" t="s">
        <v>525</v>
      </c>
      <c r="AA234" t="e">
        <f t="shared" si="275"/>
        <v>#VALUE!</v>
      </c>
      <c r="AB234" t="s">
        <v>525</v>
      </c>
      <c r="AC234" t="str">
        <f t="shared" si="276"/>
        <v>...</v>
      </c>
      <c r="AD234" t="s">
        <v>525</v>
      </c>
      <c r="AE234" t="e">
        <f t="shared" si="277"/>
        <v>#VALUE!</v>
      </c>
      <c r="AF234" t="s">
        <v>525</v>
      </c>
      <c r="AG234" t="e">
        <f t="shared" si="278"/>
        <v>#VALUE!</v>
      </c>
      <c r="AH234" t="s">
        <v>525</v>
      </c>
      <c r="AI234" t="e">
        <f t="shared" si="279"/>
        <v>#VALUE!</v>
      </c>
      <c r="AJ234" t="s">
        <v>525</v>
      </c>
      <c r="AK234" t="e">
        <f t="shared" si="280"/>
        <v>#VALUE!</v>
      </c>
      <c r="AL234" t="s">
        <v>525</v>
      </c>
      <c r="AM234" t="str">
        <f t="shared" si="281"/>
        <v>...</v>
      </c>
      <c r="AN234" t="s">
        <v>525</v>
      </c>
      <c r="AO234" t="e">
        <f t="shared" si="282"/>
        <v>#VALUE!</v>
      </c>
      <c r="AP234" t="s">
        <v>525</v>
      </c>
      <c r="AQ234" t="e">
        <f t="shared" si="283"/>
        <v>#VALUE!</v>
      </c>
      <c r="AR234" t="s">
        <v>525</v>
      </c>
      <c r="AS234" t="e">
        <f t="shared" si="284"/>
        <v>#VALUE!</v>
      </c>
      <c r="AT234" t="s">
        <v>525</v>
      </c>
      <c r="AU234" t="e">
        <f t="shared" si="285"/>
        <v>#VALUE!</v>
      </c>
      <c r="AV234" t="s">
        <v>525</v>
      </c>
      <c r="AW234" t="str">
        <f t="shared" si="286"/>
        <v>...</v>
      </c>
      <c r="AX234" t="s">
        <v>525</v>
      </c>
      <c r="AY234" t="e">
        <f t="shared" si="287"/>
        <v>#VALUE!</v>
      </c>
      <c r="AZ234" t="s">
        <v>525</v>
      </c>
      <c r="BA234" t="e">
        <f t="shared" si="288"/>
        <v>#VALUE!</v>
      </c>
    </row>
    <row r="235" spans="1:53" x14ac:dyDescent="0.3">
      <c r="A235" t="s">
        <v>74</v>
      </c>
      <c r="B235" t="s">
        <v>532</v>
      </c>
      <c r="C235" t="s">
        <v>533</v>
      </c>
      <c r="D235">
        <v>8500</v>
      </c>
      <c r="E235">
        <f t="shared" si="264"/>
        <v>10200</v>
      </c>
      <c r="F235">
        <v>5</v>
      </c>
      <c r="G235">
        <f t="shared" si="265"/>
        <v>2.6500000000000004</v>
      </c>
      <c r="H235">
        <v>40</v>
      </c>
      <c r="I235">
        <f t="shared" si="266"/>
        <v>40</v>
      </c>
      <c r="J235" t="s">
        <v>73</v>
      </c>
      <c r="K235" t="e">
        <f t="shared" si="267"/>
        <v>#VALUE!</v>
      </c>
      <c r="L235" t="s">
        <v>73</v>
      </c>
      <c r="M235" t="e">
        <f t="shared" si="268"/>
        <v>#VALUE!</v>
      </c>
      <c r="N235">
        <v>8217</v>
      </c>
      <c r="O235">
        <f t="shared" si="269"/>
        <v>9860.4</v>
      </c>
      <c r="P235">
        <v>5</v>
      </c>
      <c r="Q235">
        <f t="shared" si="270"/>
        <v>2.6500000000000004</v>
      </c>
      <c r="R235">
        <v>40</v>
      </c>
      <c r="S235">
        <f t="shared" si="271"/>
        <v>40</v>
      </c>
      <c r="T235" t="s">
        <v>73</v>
      </c>
      <c r="U235" t="e">
        <f t="shared" si="272"/>
        <v>#VALUE!</v>
      </c>
      <c r="V235" t="s">
        <v>73</v>
      </c>
      <c r="W235" t="e">
        <f t="shared" ref="W235" si="326">V235*1.3</f>
        <v>#VALUE!</v>
      </c>
      <c r="X235">
        <v>8264</v>
      </c>
      <c r="Y235">
        <f t="shared" si="274"/>
        <v>9916.7999999999993</v>
      </c>
      <c r="Z235">
        <v>5</v>
      </c>
      <c r="AA235">
        <f t="shared" si="275"/>
        <v>2.6500000000000004</v>
      </c>
      <c r="AB235">
        <v>40</v>
      </c>
      <c r="AC235">
        <f t="shared" si="276"/>
        <v>40</v>
      </c>
      <c r="AD235" t="s">
        <v>73</v>
      </c>
      <c r="AE235" t="e">
        <f t="shared" si="277"/>
        <v>#VALUE!</v>
      </c>
      <c r="AF235" t="s">
        <v>73</v>
      </c>
      <c r="AG235" t="e">
        <f t="shared" si="278"/>
        <v>#VALUE!</v>
      </c>
      <c r="AH235">
        <v>8327</v>
      </c>
      <c r="AI235">
        <f t="shared" si="279"/>
        <v>9992.4</v>
      </c>
      <c r="AJ235">
        <v>5</v>
      </c>
      <c r="AK235">
        <f t="shared" si="280"/>
        <v>2.6500000000000004</v>
      </c>
      <c r="AL235">
        <v>40</v>
      </c>
      <c r="AM235">
        <f t="shared" si="281"/>
        <v>40</v>
      </c>
      <c r="AN235" t="s">
        <v>73</v>
      </c>
      <c r="AO235" t="e">
        <f t="shared" si="282"/>
        <v>#VALUE!</v>
      </c>
      <c r="AP235" t="s">
        <v>73</v>
      </c>
      <c r="AQ235" t="e">
        <f t="shared" si="283"/>
        <v>#VALUE!</v>
      </c>
      <c r="AR235">
        <v>8370</v>
      </c>
      <c r="AS235">
        <f t="shared" si="284"/>
        <v>10044</v>
      </c>
      <c r="AT235">
        <v>5</v>
      </c>
      <c r="AU235">
        <f t="shared" si="285"/>
        <v>2.6500000000000004</v>
      </c>
      <c r="AV235">
        <v>40</v>
      </c>
      <c r="AW235">
        <f t="shared" si="286"/>
        <v>40</v>
      </c>
      <c r="AX235" t="s">
        <v>73</v>
      </c>
      <c r="AY235" t="e">
        <f t="shared" si="287"/>
        <v>#VALUE!</v>
      </c>
      <c r="AZ235" t="s">
        <v>73</v>
      </c>
      <c r="BA235" t="e">
        <f t="shared" si="288"/>
        <v>#VALUE!</v>
      </c>
    </row>
    <row r="236" spans="1:53" x14ac:dyDescent="0.3">
      <c r="A236" t="s">
        <v>74</v>
      </c>
      <c r="B236" t="s">
        <v>534</v>
      </c>
      <c r="C236" t="s">
        <v>535</v>
      </c>
      <c r="D236">
        <v>23600</v>
      </c>
      <c r="E236">
        <f t="shared" si="264"/>
        <v>28320</v>
      </c>
      <c r="F236" t="s">
        <v>73</v>
      </c>
      <c r="G236" t="e">
        <f t="shared" si="265"/>
        <v>#VALUE!</v>
      </c>
      <c r="H236">
        <v>18</v>
      </c>
      <c r="I236">
        <f t="shared" si="266"/>
        <v>18</v>
      </c>
      <c r="J236" t="s">
        <v>73</v>
      </c>
      <c r="K236" t="e">
        <f t="shared" si="267"/>
        <v>#VALUE!</v>
      </c>
      <c r="L236" t="s">
        <v>73</v>
      </c>
      <c r="M236" t="e">
        <f t="shared" si="268"/>
        <v>#VALUE!</v>
      </c>
      <c r="N236">
        <v>22812</v>
      </c>
      <c r="O236">
        <f t="shared" si="269"/>
        <v>27374.399999999998</v>
      </c>
      <c r="P236" t="s">
        <v>73</v>
      </c>
      <c r="Q236" t="e">
        <f t="shared" si="270"/>
        <v>#VALUE!</v>
      </c>
      <c r="R236">
        <v>18</v>
      </c>
      <c r="S236">
        <f t="shared" si="271"/>
        <v>18</v>
      </c>
      <c r="T236" t="s">
        <v>73</v>
      </c>
      <c r="U236" t="e">
        <f t="shared" si="272"/>
        <v>#VALUE!</v>
      </c>
      <c r="V236" t="s">
        <v>73</v>
      </c>
      <c r="W236" t="e">
        <f t="shared" ref="W236" si="327">V236*1.3</f>
        <v>#VALUE!</v>
      </c>
      <c r="X236">
        <v>23337</v>
      </c>
      <c r="Y236">
        <f t="shared" si="274"/>
        <v>28004.399999999998</v>
      </c>
      <c r="Z236" t="s">
        <v>73</v>
      </c>
      <c r="AA236" t="e">
        <f t="shared" si="275"/>
        <v>#VALUE!</v>
      </c>
      <c r="AB236">
        <v>300</v>
      </c>
      <c r="AC236">
        <f t="shared" si="276"/>
        <v>300</v>
      </c>
      <c r="AD236" t="s">
        <v>73</v>
      </c>
      <c r="AE236" t="e">
        <f t="shared" si="277"/>
        <v>#VALUE!</v>
      </c>
      <c r="AF236" t="s">
        <v>73</v>
      </c>
      <c r="AG236" t="e">
        <f t="shared" si="278"/>
        <v>#VALUE!</v>
      </c>
      <c r="AH236">
        <v>23482</v>
      </c>
      <c r="AI236">
        <f t="shared" si="279"/>
        <v>28178.399999999998</v>
      </c>
      <c r="AJ236" t="s">
        <v>73</v>
      </c>
      <c r="AK236" t="e">
        <f t="shared" si="280"/>
        <v>#VALUE!</v>
      </c>
      <c r="AL236">
        <v>540</v>
      </c>
      <c r="AM236">
        <f t="shared" si="281"/>
        <v>540</v>
      </c>
      <c r="AN236" t="s">
        <v>73</v>
      </c>
      <c r="AO236" t="e">
        <f t="shared" si="282"/>
        <v>#VALUE!</v>
      </c>
      <c r="AP236" t="s">
        <v>73</v>
      </c>
      <c r="AQ236" t="e">
        <f t="shared" si="283"/>
        <v>#VALUE!</v>
      </c>
      <c r="AR236">
        <v>21700</v>
      </c>
      <c r="AS236">
        <f t="shared" si="284"/>
        <v>26040</v>
      </c>
      <c r="AT236" t="s">
        <v>73</v>
      </c>
      <c r="AU236" t="e">
        <f t="shared" si="285"/>
        <v>#VALUE!</v>
      </c>
      <c r="AV236">
        <v>180</v>
      </c>
      <c r="AW236">
        <f t="shared" si="286"/>
        <v>180</v>
      </c>
      <c r="AX236" t="s">
        <v>73</v>
      </c>
      <c r="AY236" t="e">
        <f t="shared" si="287"/>
        <v>#VALUE!</v>
      </c>
      <c r="AZ236" t="s">
        <v>73</v>
      </c>
      <c r="BA236" t="e">
        <f t="shared" si="288"/>
        <v>#VALUE!</v>
      </c>
    </row>
    <row r="237" spans="1:53" x14ac:dyDescent="0.3">
      <c r="A237" t="s">
        <v>74</v>
      </c>
      <c r="B237" t="s">
        <v>536</v>
      </c>
      <c r="C237" t="s">
        <v>537</v>
      </c>
      <c r="D237">
        <v>13300</v>
      </c>
      <c r="E237">
        <f t="shared" si="264"/>
        <v>15960</v>
      </c>
      <c r="F237">
        <v>6</v>
      </c>
      <c r="G237">
        <f t="shared" si="265"/>
        <v>3.18</v>
      </c>
      <c r="H237" t="s">
        <v>73</v>
      </c>
      <c r="I237" t="str">
        <f t="shared" si="266"/>
        <v>-</v>
      </c>
      <c r="J237" t="s">
        <v>73</v>
      </c>
      <c r="K237" t="e">
        <f t="shared" si="267"/>
        <v>#VALUE!</v>
      </c>
      <c r="L237" t="s">
        <v>73</v>
      </c>
      <c r="M237" t="e">
        <f t="shared" si="268"/>
        <v>#VALUE!</v>
      </c>
      <c r="N237">
        <v>12983</v>
      </c>
      <c r="O237">
        <f t="shared" si="269"/>
        <v>15579.599999999999</v>
      </c>
      <c r="P237">
        <v>6</v>
      </c>
      <c r="Q237">
        <f t="shared" si="270"/>
        <v>3.18</v>
      </c>
      <c r="R237" t="s">
        <v>73</v>
      </c>
      <c r="S237" t="str">
        <f t="shared" si="271"/>
        <v>-</v>
      </c>
      <c r="T237" t="s">
        <v>73</v>
      </c>
      <c r="U237" t="e">
        <f t="shared" si="272"/>
        <v>#VALUE!</v>
      </c>
      <c r="V237" t="s">
        <v>73</v>
      </c>
      <c r="W237" t="e">
        <f t="shared" ref="W237" si="328">V237*1.3</f>
        <v>#VALUE!</v>
      </c>
      <c r="X237">
        <v>15200</v>
      </c>
      <c r="Y237">
        <f t="shared" si="274"/>
        <v>18240</v>
      </c>
      <c r="Z237">
        <v>7</v>
      </c>
      <c r="AA237">
        <f t="shared" si="275"/>
        <v>3.71</v>
      </c>
      <c r="AB237" t="s">
        <v>73</v>
      </c>
      <c r="AC237" t="str">
        <f t="shared" si="276"/>
        <v>-</v>
      </c>
      <c r="AD237" t="s">
        <v>73</v>
      </c>
      <c r="AE237" t="e">
        <f t="shared" si="277"/>
        <v>#VALUE!</v>
      </c>
      <c r="AF237" t="s">
        <v>73</v>
      </c>
      <c r="AG237" t="e">
        <f t="shared" si="278"/>
        <v>#VALUE!</v>
      </c>
      <c r="AH237">
        <v>16000</v>
      </c>
      <c r="AI237">
        <f t="shared" si="279"/>
        <v>19200</v>
      </c>
      <c r="AJ237">
        <v>12</v>
      </c>
      <c r="AK237">
        <f t="shared" si="280"/>
        <v>6.36</v>
      </c>
      <c r="AL237" t="s">
        <v>73</v>
      </c>
      <c r="AM237" t="str">
        <f t="shared" si="281"/>
        <v>-</v>
      </c>
      <c r="AN237" t="s">
        <v>73</v>
      </c>
      <c r="AO237" t="e">
        <f t="shared" si="282"/>
        <v>#VALUE!</v>
      </c>
      <c r="AP237" t="s">
        <v>73</v>
      </c>
      <c r="AQ237" t="e">
        <f t="shared" si="283"/>
        <v>#VALUE!</v>
      </c>
      <c r="AR237">
        <v>16200</v>
      </c>
      <c r="AS237">
        <f t="shared" si="284"/>
        <v>19440</v>
      </c>
      <c r="AT237">
        <v>12</v>
      </c>
      <c r="AU237">
        <f t="shared" si="285"/>
        <v>6.36</v>
      </c>
      <c r="AV237" t="s">
        <v>73</v>
      </c>
      <c r="AW237" t="str">
        <f t="shared" si="286"/>
        <v>-</v>
      </c>
      <c r="AX237" t="s">
        <v>73</v>
      </c>
      <c r="AY237" t="e">
        <f t="shared" si="287"/>
        <v>#VALUE!</v>
      </c>
      <c r="AZ237" t="s">
        <v>73</v>
      </c>
      <c r="BA237" t="e">
        <f t="shared" si="288"/>
        <v>#VALUE!</v>
      </c>
    </row>
    <row r="238" spans="1:53" x14ac:dyDescent="0.3">
      <c r="A238" t="s">
        <v>74</v>
      </c>
      <c r="B238" t="s">
        <v>538</v>
      </c>
      <c r="C238" t="s">
        <v>539</v>
      </c>
      <c r="D238">
        <v>2100</v>
      </c>
      <c r="E238">
        <f t="shared" si="264"/>
        <v>2520</v>
      </c>
      <c r="F238" t="s">
        <v>73</v>
      </c>
      <c r="G238" t="e">
        <f t="shared" si="265"/>
        <v>#VALUE!</v>
      </c>
      <c r="H238" t="s">
        <v>73</v>
      </c>
      <c r="I238" t="str">
        <f t="shared" si="266"/>
        <v>-</v>
      </c>
      <c r="J238" t="s">
        <v>73</v>
      </c>
      <c r="K238" t="e">
        <f t="shared" si="267"/>
        <v>#VALUE!</v>
      </c>
      <c r="L238" t="s">
        <v>73</v>
      </c>
      <c r="M238" t="e">
        <f t="shared" si="268"/>
        <v>#VALUE!</v>
      </c>
      <c r="N238">
        <v>2540</v>
      </c>
      <c r="O238">
        <f t="shared" si="269"/>
        <v>3048</v>
      </c>
      <c r="P238" t="s">
        <v>73</v>
      </c>
      <c r="Q238" t="e">
        <f t="shared" si="270"/>
        <v>#VALUE!</v>
      </c>
      <c r="R238" t="s">
        <v>73</v>
      </c>
      <c r="S238" t="str">
        <f t="shared" si="271"/>
        <v>-</v>
      </c>
      <c r="T238" t="s">
        <v>73</v>
      </c>
      <c r="U238" t="e">
        <f t="shared" si="272"/>
        <v>#VALUE!</v>
      </c>
      <c r="V238" t="s">
        <v>73</v>
      </c>
      <c r="W238" t="e">
        <f t="shared" ref="W238" si="329">V238*1.3</f>
        <v>#VALUE!</v>
      </c>
      <c r="X238">
        <v>2147</v>
      </c>
      <c r="Y238">
        <f t="shared" si="274"/>
        <v>2576.4</v>
      </c>
      <c r="Z238" t="s">
        <v>73</v>
      </c>
      <c r="AA238" t="e">
        <f t="shared" si="275"/>
        <v>#VALUE!</v>
      </c>
      <c r="AB238" t="s">
        <v>73</v>
      </c>
      <c r="AC238" t="str">
        <f t="shared" si="276"/>
        <v>-</v>
      </c>
      <c r="AD238" t="s">
        <v>73</v>
      </c>
      <c r="AE238" t="e">
        <f t="shared" si="277"/>
        <v>#VALUE!</v>
      </c>
      <c r="AF238" t="s">
        <v>73</v>
      </c>
      <c r="AG238" t="e">
        <f t="shared" si="278"/>
        <v>#VALUE!</v>
      </c>
      <c r="AH238">
        <v>2008</v>
      </c>
      <c r="AI238">
        <f t="shared" si="279"/>
        <v>2409.6</v>
      </c>
      <c r="AJ238" t="s">
        <v>73</v>
      </c>
      <c r="AK238" t="e">
        <f t="shared" si="280"/>
        <v>#VALUE!</v>
      </c>
      <c r="AL238" t="s">
        <v>73</v>
      </c>
      <c r="AM238" t="str">
        <f t="shared" si="281"/>
        <v>-</v>
      </c>
      <c r="AN238" t="s">
        <v>73</v>
      </c>
      <c r="AO238" t="e">
        <f t="shared" si="282"/>
        <v>#VALUE!</v>
      </c>
      <c r="AP238" t="s">
        <v>73</v>
      </c>
      <c r="AQ238" t="e">
        <f t="shared" si="283"/>
        <v>#VALUE!</v>
      </c>
      <c r="AR238" t="s">
        <v>73</v>
      </c>
      <c r="AS238" t="e">
        <f t="shared" si="284"/>
        <v>#VALUE!</v>
      </c>
      <c r="AT238" t="s">
        <v>73</v>
      </c>
      <c r="AU238" t="e">
        <f t="shared" si="285"/>
        <v>#VALUE!</v>
      </c>
      <c r="AV238" t="s">
        <v>73</v>
      </c>
      <c r="AW238" t="str">
        <f t="shared" si="286"/>
        <v>-</v>
      </c>
      <c r="AX238" t="s">
        <v>73</v>
      </c>
      <c r="AY238" t="e">
        <f t="shared" si="287"/>
        <v>#VALUE!</v>
      </c>
      <c r="AZ238" t="s">
        <v>73</v>
      </c>
      <c r="BA238" t="e">
        <f t="shared" si="288"/>
        <v>#VALUE!</v>
      </c>
    </row>
    <row r="239" spans="1:53" x14ac:dyDescent="0.3">
      <c r="A239" t="s">
        <v>74</v>
      </c>
      <c r="B239" t="s">
        <v>540</v>
      </c>
      <c r="C239" t="s">
        <v>541</v>
      </c>
      <c r="D239">
        <v>5670</v>
      </c>
      <c r="E239">
        <f t="shared" si="264"/>
        <v>6804</v>
      </c>
      <c r="F239" t="s">
        <v>73</v>
      </c>
      <c r="G239" t="e">
        <f t="shared" si="265"/>
        <v>#VALUE!</v>
      </c>
      <c r="H239" t="s">
        <v>73</v>
      </c>
      <c r="I239" t="str">
        <f t="shared" si="266"/>
        <v>-</v>
      </c>
      <c r="J239" t="s">
        <v>73</v>
      </c>
      <c r="K239" t="e">
        <f t="shared" si="267"/>
        <v>#VALUE!</v>
      </c>
      <c r="L239" t="s">
        <v>73</v>
      </c>
      <c r="M239" t="e">
        <f t="shared" si="268"/>
        <v>#VALUE!</v>
      </c>
      <c r="N239">
        <v>5670</v>
      </c>
      <c r="O239">
        <f t="shared" si="269"/>
        <v>6804</v>
      </c>
      <c r="P239" t="s">
        <v>73</v>
      </c>
      <c r="Q239" t="e">
        <f t="shared" si="270"/>
        <v>#VALUE!</v>
      </c>
      <c r="R239" t="s">
        <v>73</v>
      </c>
      <c r="S239" t="str">
        <f t="shared" si="271"/>
        <v>-</v>
      </c>
      <c r="T239" t="s">
        <v>73</v>
      </c>
      <c r="U239" t="e">
        <f t="shared" si="272"/>
        <v>#VALUE!</v>
      </c>
      <c r="V239" t="s">
        <v>73</v>
      </c>
      <c r="W239" t="e">
        <f t="shared" ref="W239" si="330">V239*1.3</f>
        <v>#VALUE!</v>
      </c>
      <c r="X239">
        <v>5670</v>
      </c>
      <c r="Y239">
        <f t="shared" si="274"/>
        <v>6804</v>
      </c>
      <c r="Z239" t="s">
        <v>73</v>
      </c>
      <c r="AA239" t="e">
        <f t="shared" si="275"/>
        <v>#VALUE!</v>
      </c>
      <c r="AB239" t="s">
        <v>73</v>
      </c>
      <c r="AC239" t="str">
        <f t="shared" si="276"/>
        <v>-</v>
      </c>
      <c r="AD239" t="s">
        <v>73</v>
      </c>
      <c r="AE239" t="e">
        <f t="shared" si="277"/>
        <v>#VALUE!</v>
      </c>
      <c r="AF239" t="s">
        <v>73</v>
      </c>
      <c r="AG239" t="e">
        <f t="shared" si="278"/>
        <v>#VALUE!</v>
      </c>
      <c r="AH239">
        <v>7296</v>
      </c>
      <c r="AI239">
        <f t="shared" si="279"/>
        <v>8755.1999999999989</v>
      </c>
      <c r="AJ239" t="s">
        <v>73</v>
      </c>
      <c r="AK239" t="e">
        <f t="shared" si="280"/>
        <v>#VALUE!</v>
      </c>
      <c r="AL239" t="s">
        <v>73</v>
      </c>
      <c r="AM239" t="str">
        <f t="shared" si="281"/>
        <v>-</v>
      </c>
      <c r="AN239" t="s">
        <v>73</v>
      </c>
      <c r="AO239" t="e">
        <f t="shared" si="282"/>
        <v>#VALUE!</v>
      </c>
      <c r="AP239" t="s">
        <v>73</v>
      </c>
      <c r="AQ239" t="e">
        <f t="shared" si="283"/>
        <v>#VALUE!</v>
      </c>
      <c r="AR239">
        <v>7296</v>
      </c>
      <c r="AS239">
        <f t="shared" si="284"/>
        <v>8755.1999999999989</v>
      </c>
      <c r="AT239" t="s">
        <v>73</v>
      </c>
      <c r="AU239" t="e">
        <f t="shared" si="285"/>
        <v>#VALUE!</v>
      </c>
      <c r="AV239" t="s">
        <v>73</v>
      </c>
      <c r="AW239" t="str">
        <f t="shared" si="286"/>
        <v>-</v>
      </c>
      <c r="AX239" t="s">
        <v>73</v>
      </c>
      <c r="AY239" t="e">
        <f t="shared" si="287"/>
        <v>#VALUE!</v>
      </c>
      <c r="AZ239" t="s">
        <v>73</v>
      </c>
      <c r="BA239" t="e">
        <f t="shared" si="288"/>
        <v>#VALUE!</v>
      </c>
    </row>
    <row r="240" spans="1:53" x14ac:dyDescent="0.3">
      <c r="A240" t="s">
        <v>74</v>
      </c>
      <c r="B240" t="s">
        <v>542</v>
      </c>
      <c r="C240" t="s">
        <v>543</v>
      </c>
      <c r="D240" t="s">
        <v>73</v>
      </c>
      <c r="E240" t="e">
        <f t="shared" si="264"/>
        <v>#VALUE!</v>
      </c>
      <c r="F240" t="s">
        <v>73</v>
      </c>
      <c r="G240" t="e">
        <f t="shared" si="265"/>
        <v>#VALUE!</v>
      </c>
      <c r="H240" t="s">
        <v>73</v>
      </c>
      <c r="I240" t="str">
        <f t="shared" si="266"/>
        <v>-</v>
      </c>
      <c r="J240" t="s">
        <v>73</v>
      </c>
      <c r="K240" t="e">
        <f t="shared" si="267"/>
        <v>#VALUE!</v>
      </c>
      <c r="L240" t="s">
        <v>73</v>
      </c>
      <c r="M240" t="e">
        <f t="shared" si="268"/>
        <v>#VALUE!</v>
      </c>
      <c r="N240" t="s">
        <v>73</v>
      </c>
      <c r="O240" t="e">
        <f t="shared" si="269"/>
        <v>#VALUE!</v>
      </c>
      <c r="P240" t="s">
        <v>73</v>
      </c>
      <c r="Q240" t="e">
        <f t="shared" si="270"/>
        <v>#VALUE!</v>
      </c>
      <c r="R240" t="s">
        <v>73</v>
      </c>
      <c r="S240" t="str">
        <f t="shared" si="271"/>
        <v>-</v>
      </c>
      <c r="T240" t="s">
        <v>73</v>
      </c>
      <c r="U240" t="e">
        <f t="shared" si="272"/>
        <v>#VALUE!</v>
      </c>
      <c r="V240" t="s">
        <v>73</v>
      </c>
      <c r="W240" t="e">
        <f t="shared" ref="W240" si="331">V240*1.3</f>
        <v>#VALUE!</v>
      </c>
      <c r="X240" t="s">
        <v>73</v>
      </c>
      <c r="Y240" t="e">
        <f t="shared" si="274"/>
        <v>#VALUE!</v>
      </c>
      <c r="Z240" t="s">
        <v>73</v>
      </c>
      <c r="AA240" t="e">
        <f t="shared" si="275"/>
        <v>#VALUE!</v>
      </c>
      <c r="AB240" t="s">
        <v>73</v>
      </c>
      <c r="AC240" t="str">
        <f t="shared" si="276"/>
        <v>-</v>
      </c>
      <c r="AD240" t="s">
        <v>73</v>
      </c>
      <c r="AE240" t="e">
        <f t="shared" si="277"/>
        <v>#VALUE!</v>
      </c>
      <c r="AF240" t="s">
        <v>73</v>
      </c>
      <c r="AG240" t="e">
        <f t="shared" si="278"/>
        <v>#VALUE!</v>
      </c>
      <c r="AH240" t="s">
        <v>73</v>
      </c>
      <c r="AI240" t="e">
        <f t="shared" si="279"/>
        <v>#VALUE!</v>
      </c>
      <c r="AJ240" t="s">
        <v>73</v>
      </c>
      <c r="AK240" t="e">
        <f t="shared" si="280"/>
        <v>#VALUE!</v>
      </c>
      <c r="AL240" t="s">
        <v>73</v>
      </c>
      <c r="AM240" t="str">
        <f t="shared" si="281"/>
        <v>-</v>
      </c>
      <c r="AN240" t="s">
        <v>73</v>
      </c>
      <c r="AO240" t="e">
        <f t="shared" si="282"/>
        <v>#VALUE!</v>
      </c>
      <c r="AP240" t="s">
        <v>73</v>
      </c>
      <c r="AQ240" t="e">
        <f t="shared" si="283"/>
        <v>#VALUE!</v>
      </c>
      <c r="AR240" t="s">
        <v>73</v>
      </c>
      <c r="AS240" t="e">
        <f t="shared" si="284"/>
        <v>#VALUE!</v>
      </c>
      <c r="AT240" t="s">
        <v>73</v>
      </c>
      <c r="AU240" t="e">
        <f t="shared" si="285"/>
        <v>#VALUE!</v>
      </c>
      <c r="AV240" t="s">
        <v>73</v>
      </c>
      <c r="AW240" t="str">
        <f t="shared" si="286"/>
        <v>-</v>
      </c>
      <c r="AX240" t="s">
        <v>73</v>
      </c>
      <c r="AY240" t="e">
        <f t="shared" si="287"/>
        <v>#VALUE!</v>
      </c>
      <c r="AZ240" t="s">
        <v>73</v>
      </c>
      <c r="BA240" t="e">
        <f t="shared" si="288"/>
        <v>#VALUE!</v>
      </c>
    </row>
    <row r="241" spans="1:53" x14ac:dyDescent="0.3">
      <c r="A241" t="s">
        <v>74</v>
      </c>
      <c r="B241" t="s">
        <v>544</v>
      </c>
      <c r="C241" t="s">
        <v>545</v>
      </c>
      <c r="D241">
        <v>250</v>
      </c>
      <c r="E241">
        <f t="shared" si="264"/>
        <v>300</v>
      </c>
      <c r="F241" t="s">
        <v>73</v>
      </c>
      <c r="G241" t="e">
        <f t="shared" si="265"/>
        <v>#VALUE!</v>
      </c>
      <c r="H241" t="s">
        <v>73</v>
      </c>
      <c r="I241" t="str">
        <f t="shared" si="266"/>
        <v>-</v>
      </c>
      <c r="J241" t="s">
        <v>73</v>
      </c>
      <c r="K241" t="e">
        <f t="shared" si="267"/>
        <v>#VALUE!</v>
      </c>
      <c r="L241" t="s">
        <v>73</v>
      </c>
      <c r="M241" t="e">
        <f t="shared" si="268"/>
        <v>#VALUE!</v>
      </c>
      <c r="N241">
        <v>333</v>
      </c>
      <c r="O241">
        <f t="shared" si="269"/>
        <v>399.59999999999997</v>
      </c>
      <c r="P241" t="s">
        <v>73</v>
      </c>
      <c r="Q241" t="e">
        <f t="shared" si="270"/>
        <v>#VALUE!</v>
      </c>
      <c r="R241" t="s">
        <v>73</v>
      </c>
      <c r="S241" t="str">
        <f t="shared" si="271"/>
        <v>-</v>
      </c>
      <c r="T241" t="s">
        <v>73</v>
      </c>
      <c r="U241" t="e">
        <f t="shared" si="272"/>
        <v>#VALUE!</v>
      </c>
      <c r="V241" t="s">
        <v>73</v>
      </c>
      <c r="W241" t="e">
        <f t="shared" ref="W241" si="332">V241*1.3</f>
        <v>#VALUE!</v>
      </c>
      <c r="X241">
        <v>2147</v>
      </c>
      <c r="Y241">
        <f t="shared" si="274"/>
        <v>2576.4</v>
      </c>
      <c r="Z241" t="s">
        <v>73</v>
      </c>
      <c r="AA241" t="e">
        <f t="shared" si="275"/>
        <v>#VALUE!</v>
      </c>
      <c r="AB241" t="s">
        <v>73</v>
      </c>
      <c r="AC241" t="str">
        <f t="shared" si="276"/>
        <v>-</v>
      </c>
      <c r="AD241" t="s">
        <v>73</v>
      </c>
      <c r="AE241" t="e">
        <f t="shared" si="277"/>
        <v>#VALUE!</v>
      </c>
      <c r="AF241" t="s">
        <v>73</v>
      </c>
      <c r="AG241" t="e">
        <f t="shared" si="278"/>
        <v>#VALUE!</v>
      </c>
      <c r="AH241">
        <v>1564</v>
      </c>
      <c r="AI241">
        <f t="shared" si="279"/>
        <v>1876.8</v>
      </c>
      <c r="AJ241" t="s">
        <v>73</v>
      </c>
      <c r="AK241" t="e">
        <f t="shared" si="280"/>
        <v>#VALUE!</v>
      </c>
      <c r="AL241" t="s">
        <v>73</v>
      </c>
      <c r="AM241" t="str">
        <f t="shared" si="281"/>
        <v>-</v>
      </c>
      <c r="AN241" t="s">
        <v>73</v>
      </c>
      <c r="AO241" t="e">
        <f t="shared" si="282"/>
        <v>#VALUE!</v>
      </c>
      <c r="AP241" t="s">
        <v>73</v>
      </c>
      <c r="AQ241" t="e">
        <f t="shared" si="283"/>
        <v>#VALUE!</v>
      </c>
      <c r="AR241" t="s">
        <v>73</v>
      </c>
      <c r="AS241" t="e">
        <f t="shared" si="284"/>
        <v>#VALUE!</v>
      </c>
      <c r="AT241" t="s">
        <v>73</v>
      </c>
      <c r="AU241" t="e">
        <f t="shared" si="285"/>
        <v>#VALUE!</v>
      </c>
      <c r="AV241" t="s">
        <v>73</v>
      </c>
      <c r="AW241" t="str">
        <f t="shared" si="286"/>
        <v>-</v>
      </c>
      <c r="AX241" t="s">
        <v>73</v>
      </c>
      <c r="AY241" t="e">
        <f t="shared" si="287"/>
        <v>#VALUE!</v>
      </c>
      <c r="AZ241" t="s">
        <v>73</v>
      </c>
      <c r="BA241" t="e">
        <f t="shared" si="288"/>
        <v>#VALUE!</v>
      </c>
    </row>
    <row r="242" spans="1:53" x14ac:dyDescent="0.3">
      <c r="A242" t="s">
        <v>74</v>
      </c>
      <c r="B242" t="s">
        <v>546</v>
      </c>
      <c r="C242" t="s">
        <v>547</v>
      </c>
      <c r="D242">
        <v>14835</v>
      </c>
      <c r="E242">
        <f t="shared" si="264"/>
        <v>17802</v>
      </c>
      <c r="F242" t="s">
        <v>73</v>
      </c>
      <c r="G242" t="e">
        <f t="shared" si="265"/>
        <v>#VALUE!</v>
      </c>
      <c r="H242" t="s">
        <v>73</v>
      </c>
      <c r="I242" t="str">
        <f t="shared" si="266"/>
        <v>-</v>
      </c>
      <c r="J242" t="s">
        <v>73</v>
      </c>
      <c r="K242" t="e">
        <f t="shared" si="267"/>
        <v>#VALUE!</v>
      </c>
      <c r="L242" t="s">
        <v>73</v>
      </c>
      <c r="M242" t="e">
        <f t="shared" si="268"/>
        <v>#VALUE!</v>
      </c>
      <c r="N242">
        <v>14231</v>
      </c>
      <c r="O242">
        <f t="shared" si="269"/>
        <v>17077.2</v>
      </c>
      <c r="P242" t="s">
        <v>73</v>
      </c>
      <c r="Q242" t="e">
        <f t="shared" si="270"/>
        <v>#VALUE!</v>
      </c>
      <c r="R242" t="s">
        <v>73</v>
      </c>
      <c r="S242" t="str">
        <f t="shared" si="271"/>
        <v>-</v>
      </c>
      <c r="T242" t="s">
        <v>73</v>
      </c>
      <c r="U242" t="e">
        <f t="shared" si="272"/>
        <v>#VALUE!</v>
      </c>
      <c r="V242" t="s">
        <v>73</v>
      </c>
      <c r="W242" t="e">
        <f t="shared" ref="W242" si="333">V242*1.3</f>
        <v>#VALUE!</v>
      </c>
      <c r="X242">
        <v>14231</v>
      </c>
      <c r="Y242">
        <f t="shared" si="274"/>
        <v>17077.2</v>
      </c>
      <c r="Z242" t="s">
        <v>73</v>
      </c>
      <c r="AA242" t="e">
        <f t="shared" si="275"/>
        <v>#VALUE!</v>
      </c>
      <c r="AB242" t="s">
        <v>73</v>
      </c>
      <c r="AC242" t="str">
        <f t="shared" si="276"/>
        <v>-</v>
      </c>
      <c r="AD242" t="s">
        <v>73</v>
      </c>
      <c r="AE242" t="e">
        <f t="shared" si="277"/>
        <v>#VALUE!</v>
      </c>
      <c r="AF242" t="s">
        <v>73</v>
      </c>
      <c r="AG242" t="e">
        <f t="shared" si="278"/>
        <v>#VALUE!</v>
      </c>
      <c r="AH242">
        <v>16776</v>
      </c>
      <c r="AI242">
        <f t="shared" si="279"/>
        <v>20131.2</v>
      </c>
      <c r="AJ242" t="s">
        <v>73</v>
      </c>
      <c r="AK242" t="e">
        <f t="shared" si="280"/>
        <v>#VALUE!</v>
      </c>
      <c r="AL242" t="s">
        <v>73</v>
      </c>
      <c r="AM242" t="str">
        <f t="shared" si="281"/>
        <v>-</v>
      </c>
      <c r="AN242" t="s">
        <v>73</v>
      </c>
      <c r="AO242" t="e">
        <f t="shared" si="282"/>
        <v>#VALUE!</v>
      </c>
      <c r="AP242" t="s">
        <v>73</v>
      </c>
      <c r="AQ242" t="e">
        <f t="shared" si="283"/>
        <v>#VALUE!</v>
      </c>
      <c r="AR242">
        <v>16776</v>
      </c>
      <c r="AS242">
        <f t="shared" si="284"/>
        <v>20131.2</v>
      </c>
      <c r="AT242" t="s">
        <v>73</v>
      </c>
      <c r="AU242" t="e">
        <f t="shared" si="285"/>
        <v>#VALUE!</v>
      </c>
      <c r="AV242" t="s">
        <v>73</v>
      </c>
      <c r="AW242" t="str">
        <f t="shared" si="286"/>
        <v>-</v>
      </c>
      <c r="AX242" t="s">
        <v>73</v>
      </c>
      <c r="AY242" t="e">
        <f t="shared" si="287"/>
        <v>#VALUE!</v>
      </c>
      <c r="AZ242" t="s">
        <v>73</v>
      </c>
      <c r="BA242" t="e">
        <f t="shared" si="288"/>
        <v>#VALUE!</v>
      </c>
    </row>
    <row r="243" spans="1:53" x14ac:dyDescent="0.3">
      <c r="A243" t="s">
        <v>70</v>
      </c>
      <c r="B243" t="s">
        <v>548</v>
      </c>
      <c r="C243" t="s">
        <v>549</v>
      </c>
      <c r="D243">
        <v>1753</v>
      </c>
      <c r="E243">
        <f t="shared" si="264"/>
        <v>2103.6</v>
      </c>
      <c r="F243">
        <v>4034</v>
      </c>
      <c r="G243">
        <f t="shared" si="265"/>
        <v>2138.02</v>
      </c>
      <c r="H243">
        <v>59088</v>
      </c>
      <c r="I243">
        <f t="shared" si="266"/>
        <v>59088</v>
      </c>
      <c r="J243">
        <v>28413</v>
      </c>
      <c r="K243">
        <f t="shared" si="267"/>
        <v>42619.5</v>
      </c>
      <c r="L243">
        <v>2728</v>
      </c>
      <c r="M243">
        <f t="shared" si="268"/>
        <v>3546.4</v>
      </c>
      <c r="N243">
        <v>1753</v>
      </c>
      <c r="O243">
        <f t="shared" si="269"/>
        <v>2103.6</v>
      </c>
      <c r="P243">
        <v>4363</v>
      </c>
      <c r="Q243">
        <f t="shared" si="270"/>
        <v>2312.3900000000003</v>
      </c>
      <c r="R243">
        <v>65412</v>
      </c>
      <c r="S243">
        <f t="shared" si="271"/>
        <v>65412</v>
      </c>
      <c r="T243">
        <v>31638</v>
      </c>
      <c r="U243">
        <f t="shared" si="272"/>
        <v>47457</v>
      </c>
      <c r="V243">
        <v>5308</v>
      </c>
      <c r="W243">
        <f t="shared" ref="W243" si="334">V243*1.3</f>
        <v>6900.4000000000005</v>
      </c>
      <c r="X243">
        <v>1755</v>
      </c>
      <c r="Y243">
        <f t="shared" si="274"/>
        <v>2106</v>
      </c>
      <c r="Z243">
        <v>3956</v>
      </c>
      <c r="AA243">
        <f t="shared" si="275"/>
        <v>2096.6800000000003</v>
      </c>
      <c r="AB243">
        <v>68850</v>
      </c>
      <c r="AC243">
        <f t="shared" si="276"/>
        <v>68850</v>
      </c>
      <c r="AD243">
        <v>33897</v>
      </c>
      <c r="AE243">
        <f t="shared" si="277"/>
        <v>50845.5</v>
      </c>
      <c r="AF243">
        <v>5260</v>
      </c>
      <c r="AG243">
        <f t="shared" si="278"/>
        <v>6838</v>
      </c>
      <c r="AH243">
        <v>1755</v>
      </c>
      <c r="AI243">
        <f t="shared" si="279"/>
        <v>2106</v>
      </c>
      <c r="AJ243">
        <v>2638</v>
      </c>
      <c r="AK243">
        <f t="shared" si="280"/>
        <v>1398.14</v>
      </c>
      <c r="AL243">
        <v>66879</v>
      </c>
      <c r="AM243">
        <f t="shared" si="281"/>
        <v>66879</v>
      </c>
      <c r="AN243">
        <v>33702</v>
      </c>
      <c r="AO243">
        <f t="shared" si="282"/>
        <v>50553</v>
      </c>
      <c r="AP243">
        <v>1178</v>
      </c>
      <c r="AQ243">
        <f t="shared" si="283"/>
        <v>1531.4</v>
      </c>
      <c r="AR243">
        <v>1405</v>
      </c>
      <c r="AS243">
        <f t="shared" si="284"/>
        <v>1686</v>
      </c>
      <c r="AT243">
        <v>2433</v>
      </c>
      <c r="AU243">
        <f t="shared" si="285"/>
        <v>1289.49</v>
      </c>
      <c r="AV243">
        <v>44010</v>
      </c>
      <c r="AW243">
        <f t="shared" si="286"/>
        <v>44010</v>
      </c>
      <c r="AX243">
        <v>32484</v>
      </c>
      <c r="AY243">
        <f t="shared" si="287"/>
        <v>48726</v>
      </c>
      <c r="AZ243">
        <v>1919</v>
      </c>
      <c r="BA243">
        <f t="shared" si="288"/>
        <v>2494.7000000000003</v>
      </c>
    </row>
    <row r="244" spans="1:53" x14ac:dyDescent="0.3">
      <c r="A244" t="s">
        <v>74</v>
      </c>
      <c r="B244" t="s">
        <v>550</v>
      </c>
      <c r="C244" t="s">
        <v>551</v>
      </c>
      <c r="D244">
        <v>1573</v>
      </c>
      <c r="E244">
        <f t="shared" si="264"/>
        <v>1887.6</v>
      </c>
      <c r="F244">
        <v>150</v>
      </c>
      <c r="G244">
        <f t="shared" si="265"/>
        <v>79.5</v>
      </c>
      <c r="H244">
        <v>6900</v>
      </c>
      <c r="I244">
        <f t="shared" si="266"/>
        <v>6900</v>
      </c>
      <c r="J244">
        <v>2400</v>
      </c>
      <c r="K244">
        <f t="shared" si="267"/>
        <v>3600</v>
      </c>
      <c r="L244">
        <v>240</v>
      </c>
      <c r="M244">
        <f t="shared" si="268"/>
        <v>312</v>
      </c>
      <c r="N244">
        <v>1573</v>
      </c>
      <c r="O244">
        <f t="shared" si="269"/>
        <v>1887.6</v>
      </c>
      <c r="P244">
        <v>147</v>
      </c>
      <c r="Q244">
        <f t="shared" si="270"/>
        <v>77.910000000000011</v>
      </c>
      <c r="R244">
        <v>6000</v>
      </c>
      <c r="S244">
        <f t="shared" si="271"/>
        <v>6000</v>
      </c>
      <c r="T244">
        <v>3120</v>
      </c>
      <c r="U244">
        <f t="shared" si="272"/>
        <v>4680</v>
      </c>
      <c r="V244">
        <v>288</v>
      </c>
      <c r="W244">
        <f t="shared" ref="W244" si="335">V244*1.3</f>
        <v>374.40000000000003</v>
      </c>
      <c r="X244">
        <v>1575</v>
      </c>
      <c r="Y244">
        <f t="shared" si="274"/>
        <v>1890</v>
      </c>
      <c r="Z244">
        <v>134</v>
      </c>
      <c r="AA244">
        <f t="shared" si="275"/>
        <v>71.02000000000001</v>
      </c>
      <c r="AB244">
        <v>6750</v>
      </c>
      <c r="AC244">
        <f t="shared" si="276"/>
        <v>6750</v>
      </c>
      <c r="AD244">
        <v>3315</v>
      </c>
      <c r="AE244">
        <f t="shared" si="277"/>
        <v>4972.5</v>
      </c>
      <c r="AF244">
        <v>360</v>
      </c>
      <c r="AG244">
        <f t="shared" si="278"/>
        <v>468</v>
      </c>
      <c r="AH244">
        <v>1575</v>
      </c>
      <c r="AI244">
        <f t="shared" si="279"/>
        <v>1890</v>
      </c>
      <c r="AJ244">
        <v>51</v>
      </c>
      <c r="AK244">
        <f t="shared" si="280"/>
        <v>27.03</v>
      </c>
      <c r="AL244">
        <v>6946</v>
      </c>
      <c r="AM244">
        <f t="shared" si="281"/>
        <v>6946</v>
      </c>
      <c r="AN244">
        <v>3120</v>
      </c>
      <c r="AO244">
        <f t="shared" si="282"/>
        <v>4680</v>
      </c>
      <c r="AP244">
        <v>18</v>
      </c>
      <c r="AQ244">
        <f t="shared" si="283"/>
        <v>23.400000000000002</v>
      </c>
      <c r="AR244">
        <v>1225</v>
      </c>
      <c r="AS244">
        <f t="shared" si="284"/>
        <v>1470</v>
      </c>
      <c r="AT244">
        <v>41</v>
      </c>
      <c r="AU244">
        <f t="shared" si="285"/>
        <v>21.73</v>
      </c>
      <c r="AV244">
        <v>4500</v>
      </c>
      <c r="AW244">
        <f t="shared" si="286"/>
        <v>4500</v>
      </c>
      <c r="AX244">
        <v>2640</v>
      </c>
      <c r="AY244">
        <f t="shared" si="287"/>
        <v>3960</v>
      </c>
      <c r="AZ244">
        <v>210</v>
      </c>
      <c r="BA244">
        <f t="shared" si="288"/>
        <v>273</v>
      </c>
    </row>
    <row r="245" spans="1:53" x14ac:dyDescent="0.3">
      <c r="A245" t="s">
        <v>74</v>
      </c>
      <c r="B245" t="s">
        <v>552</v>
      </c>
      <c r="C245" t="s">
        <v>553</v>
      </c>
      <c r="D245" t="s">
        <v>73</v>
      </c>
      <c r="E245" t="e">
        <f t="shared" si="264"/>
        <v>#VALUE!</v>
      </c>
      <c r="F245">
        <v>109</v>
      </c>
      <c r="G245">
        <f t="shared" si="265"/>
        <v>57.77</v>
      </c>
      <c r="H245">
        <v>3060</v>
      </c>
      <c r="I245">
        <f t="shared" si="266"/>
        <v>3060</v>
      </c>
      <c r="J245">
        <v>3828</v>
      </c>
      <c r="K245">
        <f t="shared" si="267"/>
        <v>5742</v>
      </c>
      <c r="L245">
        <v>288</v>
      </c>
      <c r="M245">
        <f t="shared" si="268"/>
        <v>374.40000000000003</v>
      </c>
      <c r="N245" t="s">
        <v>73</v>
      </c>
      <c r="O245" t="e">
        <f t="shared" si="269"/>
        <v>#VALUE!</v>
      </c>
      <c r="P245">
        <v>125</v>
      </c>
      <c r="Q245">
        <f t="shared" si="270"/>
        <v>66.25</v>
      </c>
      <c r="R245">
        <v>3360</v>
      </c>
      <c r="S245">
        <f t="shared" si="271"/>
        <v>3360</v>
      </c>
      <c r="T245">
        <v>2625</v>
      </c>
      <c r="U245">
        <f t="shared" si="272"/>
        <v>3937.5</v>
      </c>
      <c r="V245">
        <v>720</v>
      </c>
      <c r="W245">
        <f t="shared" ref="W245" si="336">V245*1.3</f>
        <v>936</v>
      </c>
      <c r="X245" t="s">
        <v>73</v>
      </c>
      <c r="Y245" t="e">
        <f t="shared" si="274"/>
        <v>#VALUE!</v>
      </c>
      <c r="Z245">
        <v>132</v>
      </c>
      <c r="AA245">
        <f t="shared" si="275"/>
        <v>69.960000000000008</v>
      </c>
      <c r="AB245">
        <v>4560</v>
      </c>
      <c r="AC245">
        <f t="shared" si="276"/>
        <v>4560</v>
      </c>
      <c r="AD245">
        <v>2880</v>
      </c>
      <c r="AE245">
        <f t="shared" si="277"/>
        <v>4320</v>
      </c>
      <c r="AF245">
        <v>720</v>
      </c>
      <c r="AG245">
        <f t="shared" si="278"/>
        <v>936</v>
      </c>
      <c r="AH245" t="s">
        <v>73</v>
      </c>
      <c r="AI245" t="e">
        <f t="shared" si="279"/>
        <v>#VALUE!</v>
      </c>
      <c r="AJ245">
        <v>39</v>
      </c>
      <c r="AK245">
        <f t="shared" si="280"/>
        <v>20.67</v>
      </c>
      <c r="AL245">
        <v>4320</v>
      </c>
      <c r="AM245">
        <f t="shared" si="281"/>
        <v>4320</v>
      </c>
      <c r="AN245">
        <v>2880</v>
      </c>
      <c r="AO245">
        <f t="shared" si="282"/>
        <v>4320</v>
      </c>
      <c r="AP245">
        <v>135</v>
      </c>
      <c r="AQ245">
        <f t="shared" si="283"/>
        <v>175.5</v>
      </c>
      <c r="AR245" t="s">
        <v>73</v>
      </c>
      <c r="AS245" t="e">
        <f t="shared" si="284"/>
        <v>#VALUE!</v>
      </c>
      <c r="AT245">
        <v>45</v>
      </c>
      <c r="AU245">
        <f t="shared" si="285"/>
        <v>23.85</v>
      </c>
      <c r="AV245">
        <v>3120</v>
      </c>
      <c r="AW245">
        <f t="shared" si="286"/>
        <v>3120</v>
      </c>
      <c r="AX245">
        <v>3750</v>
      </c>
      <c r="AY245">
        <f t="shared" si="287"/>
        <v>5625</v>
      </c>
      <c r="AZ245">
        <v>480</v>
      </c>
      <c r="BA245">
        <f t="shared" si="288"/>
        <v>624</v>
      </c>
    </row>
    <row r="246" spans="1:53" x14ac:dyDescent="0.3">
      <c r="A246" t="s">
        <v>74</v>
      </c>
      <c r="B246" t="s">
        <v>554</v>
      </c>
      <c r="C246" t="s">
        <v>555</v>
      </c>
      <c r="D246" t="s">
        <v>73</v>
      </c>
      <c r="E246" t="e">
        <f t="shared" si="264"/>
        <v>#VALUE!</v>
      </c>
      <c r="F246">
        <v>303</v>
      </c>
      <c r="G246">
        <f t="shared" si="265"/>
        <v>160.59</v>
      </c>
      <c r="H246">
        <v>2988</v>
      </c>
      <c r="I246">
        <f t="shared" si="266"/>
        <v>2988</v>
      </c>
      <c r="J246">
        <v>1980</v>
      </c>
      <c r="K246">
        <f t="shared" si="267"/>
        <v>2970</v>
      </c>
      <c r="L246">
        <v>240</v>
      </c>
      <c r="M246">
        <f t="shared" si="268"/>
        <v>312</v>
      </c>
      <c r="N246" t="s">
        <v>73</v>
      </c>
      <c r="O246" t="e">
        <f t="shared" si="269"/>
        <v>#VALUE!</v>
      </c>
      <c r="P246">
        <v>274</v>
      </c>
      <c r="Q246">
        <f t="shared" si="270"/>
        <v>145.22</v>
      </c>
      <c r="R246">
        <v>4980</v>
      </c>
      <c r="S246">
        <f t="shared" si="271"/>
        <v>4980</v>
      </c>
      <c r="T246">
        <v>2496</v>
      </c>
      <c r="U246">
        <f t="shared" si="272"/>
        <v>3744</v>
      </c>
      <c r="V246">
        <v>400</v>
      </c>
      <c r="W246">
        <f t="shared" ref="W246" si="337">V246*1.3</f>
        <v>520</v>
      </c>
      <c r="X246" t="s">
        <v>73</v>
      </c>
      <c r="Y246" t="e">
        <f t="shared" si="274"/>
        <v>#VALUE!</v>
      </c>
      <c r="Z246">
        <v>287</v>
      </c>
      <c r="AA246">
        <f t="shared" si="275"/>
        <v>152.11000000000001</v>
      </c>
      <c r="AB246">
        <v>4980</v>
      </c>
      <c r="AC246">
        <f t="shared" si="276"/>
        <v>4980</v>
      </c>
      <c r="AD246">
        <v>2496</v>
      </c>
      <c r="AE246">
        <f t="shared" si="277"/>
        <v>3744</v>
      </c>
      <c r="AF246">
        <v>400</v>
      </c>
      <c r="AG246">
        <f t="shared" si="278"/>
        <v>520</v>
      </c>
      <c r="AH246" t="s">
        <v>73</v>
      </c>
      <c r="AI246" t="e">
        <f t="shared" si="279"/>
        <v>#VALUE!</v>
      </c>
      <c r="AJ246">
        <v>199</v>
      </c>
      <c r="AK246">
        <f t="shared" si="280"/>
        <v>105.47</v>
      </c>
      <c r="AL246">
        <v>4731</v>
      </c>
      <c r="AM246">
        <f t="shared" si="281"/>
        <v>4731</v>
      </c>
      <c r="AN246">
        <v>2496</v>
      </c>
      <c r="AO246">
        <f t="shared" si="282"/>
        <v>3744</v>
      </c>
      <c r="AP246">
        <v>135</v>
      </c>
      <c r="AQ246">
        <f t="shared" si="283"/>
        <v>175.5</v>
      </c>
      <c r="AR246" t="s">
        <v>73</v>
      </c>
      <c r="AS246" t="e">
        <f t="shared" si="284"/>
        <v>#VALUE!</v>
      </c>
      <c r="AT246">
        <v>193</v>
      </c>
      <c r="AU246">
        <f t="shared" si="285"/>
        <v>102.29</v>
      </c>
      <c r="AV246">
        <v>4320</v>
      </c>
      <c r="AW246">
        <f t="shared" si="286"/>
        <v>4320</v>
      </c>
      <c r="AX246">
        <v>2304</v>
      </c>
      <c r="AY246">
        <f t="shared" si="287"/>
        <v>3456</v>
      </c>
      <c r="AZ246">
        <v>240</v>
      </c>
      <c r="BA246">
        <f t="shared" si="288"/>
        <v>312</v>
      </c>
    </row>
    <row r="247" spans="1:53" x14ac:dyDescent="0.3">
      <c r="A247" t="s">
        <v>74</v>
      </c>
      <c r="B247" t="s">
        <v>556</v>
      </c>
      <c r="C247" t="s">
        <v>557</v>
      </c>
      <c r="D247" t="s">
        <v>73</v>
      </c>
      <c r="E247" t="e">
        <f t="shared" si="264"/>
        <v>#VALUE!</v>
      </c>
      <c r="F247">
        <v>360</v>
      </c>
      <c r="G247">
        <f t="shared" si="265"/>
        <v>190.8</v>
      </c>
      <c r="H247">
        <v>4800</v>
      </c>
      <c r="I247">
        <f t="shared" si="266"/>
        <v>4800</v>
      </c>
      <c r="J247">
        <v>750</v>
      </c>
      <c r="K247">
        <f t="shared" si="267"/>
        <v>1125</v>
      </c>
      <c r="L247">
        <v>16</v>
      </c>
      <c r="M247">
        <f t="shared" si="268"/>
        <v>20.8</v>
      </c>
      <c r="N247" t="s">
        <v>73</v>
      </c>
      <c r="O247" t="e">
        <f t="shared" si="269"/>
        <v>#VALUE!</v>
      </c>
      <c r="P247">
        <v>435</v>
      </c>
      <c r="Q247">
        <f t="shared" si="270"/>
        <v>230.55</v>
      </c>
      <c r="R247">
        <v>7920</v>
      </c>
      <c r="S247">
        <f t="shared" si="271"/>
        <v>7920</v>
      </c>
      <c r="T247">
        <v>900</v>
      </c>
      <c r="U247">
        <f t="shared" si="272"/>
        <v>1350</v>
      </c>
      <c r="V247">
        <v>810</v>
      </c>
      <c r="W247">
        <f t="shared" ref="W247" si="338">V247*1.3</f>
        <v>1053</v>
      </c>
      <c r="X247" t="s">
        <v>73</v>
      </c>
      <c r="Y247" t="e">
        <f t="shared" si="274"/>
        <v>#VALUE!</v>
      </c>
      <c r="Z247">
        <v>568</v>
      </c>
      <c r="AA247">
        <f t="shared" si="275"/>
        <v>301.04000000000002</v>
      </c>
      <c r="AB247">
        <v>8640</v>
      </c>
      <c r="AC247">
        <f t="shared" si="276"/>
        <v>8640</v>
      </c>
      <c r="AD247">
        <v>1260</v>
      </c>
      <c r="AE247">
        <f t="shared" si="277"/>
        <v>1890</v>
      </c>
      <c r="AF247">
        <v>810</v>
      </c>
      <c r="AG247">
        <f t="shared" si="278"/>
        <v>1053</v>
      </c>
      <c r="AH247" t="s">
        <v>73</v>
      </c>
      <c r="AI247" t="e">
        <f t="shared" si="279"/>
        <v>#VALUE!</v>
      </c>
      <c r="AJ247">
        <v>358</v>
      </c>
      <c r="AK247">
        <f t="shared" si="280"/>
        <v>189.74</v>
      </c>
      <c r="AL247">
        <v>7800</v>
      </c>
      <c r="AM247">
        <f t="shared" si="281"/>
        <v>7800</v>
      </c>
      <c r="AN247">
        <v>1260</v>
      </c>
      <c r="AO247">
        <f t="shared" si="282"/>
        <v>1890</v>
      </c>
      <c r="AP247">
        <v>18</v>
      </c>
      <c r="AQ247">
        <f t="shared" si="283"/>
        <v>23.400000000000002</v>
      </c>
      <c r="AR247" t="s">
        <v>73</v>
      </c>
      <c r="AS247" t="e">
        <f t="shared" si="284"/>
        <v>#VALUE!</v>
      </c>
      <c r="AT247">
        <v>558</v>
      </c>
      <c r="AU247">
        <f t="shared" si="285"/>
        <v>295.74</v>
      </c>
      <c r="AV247">
        <v>6480</v>
      </c>
      <c r="AW247">
        <f t="shared" si="286"/>
        <v>6480</v>
      </c>
      <c r="AX247">
        <v>1260</v>
      </c>
      <c r="AY247">
        <f t="shared" si="287"/>
        <v>1890</v>
      </c>
      <c r="AZ247">
        <v>144</v>
      </c>
      <c r="BA247">
        <f t="shared" si="288"/>
        <v>187.20000000000002</v>
      </c>
    </row>
    <row r="248" spans="1:53" x14ac:dyDescent="0.3">
      <c r="A248" t="s">
        <v>74</v>
      </c>
      <c r="B248" t="s">
        <v>558</v>
      </c>
      <c r="C248" t="s">
        <v>559</v>
      </c>
      <c r="D248" t="s">
        <v>73</v>
      </c>
      <c r="E248" t="e">
        <f t="shared" si="264"/>
        <v>#VALUE!</v>
      </c>
      <c r="F248">
        <v>2640</v>
      </c>
      <c r="G248">
        <f t="shared" si="265"/>
        <v>1399.2</v>
      </c>
      <c r="H248">
        <v>25740</v>
      </c>
      <c r="I248">
        <f t="shared" si="266"/>
        <v>25740</v>
      </c>
      <c r="J248">
        <v>14235</v>
      </c>
      <c r="K248">
        <f t="shared" si="267"/>
        <v>21352.5</v>
      </c>
      <c r="L248">
        <v>1500</v>
      </c>
      <c r="M248">
        <f t="shared" si="268"/>
        <v>1950</v>
      </c>
      <c r="N248" t="s">
        <v>73</v>
      </c>
      <c r="O248" t="e">
        <f t="shared" si="269"/>
        <v>#VALUE!</v>
      </c>
      <c r="P248">
        <v>2790</v>
      </c>
      <c r="Q248">
        <f t="shared" si="270"/>
        <v>1478.7</v>
      </c>
      <c r="R248">
        <v>23622</v>
      </c>
      <c r="S248">
        <f t="shared" si="271"/>
        <v>23622</v>
      </c>
      <c r="T248">
        <v>15477</v>
      </c>
      <c r="U248">
        <f t="shared" si="272"/>
        <v>23215.5</v>
      </c>
      <c r="V248">
        <v>2250</v>
      </c>
      <c r="W248">
        <f t="shared" ref="W248" si="339">V248*1.3</f>
        <v>2925</v>
      </c>
      <c r="X248" t="s">
        <v>73</v>
      </c>
      <c r="Y248" t="e">
        <f t="shared" si="274"/>
        <v>#VALUE!</v>
      </c>
      <c r="Z248">
        <v>2280</v>
      </c>
      <c r="AA248">
        <f t="shared" si="275"/>
        <v>1208.4000000000001</v>
      </c>
      <c r="AB248">
        <v>22320</v>
      </c>
      <c r="AC248">
        <f t="shared" si="276"/>
        <v>22320</v>
      </c>
      <c r="AD248">
        <v>15600</v>
      </c>
      <c r="AE248">
        <f t="shared" si="277"/>
        <v>23400</v>
      </c>
      <c r="AF248">
        <v>2250</v>
      </c>
      <c r="AG248">
        <f t="shared" si="278"/>
        <v>2925</v>
      </c>
      <c r="AH248" t="s">
        <v>73</v>
      </c>
      <c r="AI248" t="e">
        <f t="shared" si="279"/>
        <v>#VALUE!</v>
      </c>
      <c r="AJ248">
        <v>1665</v>
      </c>
      <c r="AK248">
        <f t="shared" si="280"/>
        <v>882.45</v>
      </c>
      <c r="AL248">
        <v>23994</v>
      </c>
      <c r="AM248">
        <f t="shared" si="281"/>
        <v>23994</v>
      </c>
      <c r="AN248">
        <v>15600</v>
      </c>
      <c r="AO248">
        <f t="shared" si="282"/>
        <v>23400</v>
      </c>
      <c r="AP248">
        <v>825</v>
      </c>
      <c r="AQ248">
        <f t="shared" si="283"/>
        <v>1072.5</v>
      </c>
      <c r="AR248" t="s">
        <v>73</v>
      </c>
      <c r="AS248" t="e">
        <f t="shared" si="284"/>
        <v>#VALUE!</v>
      </c>
      <c r="AT248">
        <v>1290</v>
      </c>
      <c r="AU248">
        <f t="shared" si="285"/>
        <v>683.7</v>
      </c>
      <c r="AV248">
        <v>13950</v>
      </c>
      <c r="AW248">
        <f t="shared" si="286"/>
        <v>13950</v>
      </c>
      <c r="AX248">
        <v>15600</v>
      </c>
      <c r="AY248">
        <f t="shared" si="287"/>
        <v>23400</v>
      </c>
      <c r="AZ248">
        <v>600</v>
      </c>
      <c r="BA248">
        <f t="shared" si="288"/>
        <v>780</v>
      </c>
    </row>
    <row r="249" spans="1:53" x14ac:dyDescent="0.3">
      <c r="A249" t="s">
        <v>74</v>
      </c>
      <c r="B249" t="s">
        <v>560</v>
      </c>
      <c r="C249" t="s">
        <v>561</v>
      </c>
      <c r="D249">
        <v>180</v>
      </c>
      <c r="E249">
        <f t="shared" si="264"/>
        <v>216</v>
      </c>
      <c r="F249">
        <v>115</v>
      </c>
      <c r="G249">
        <f t="shared" si="265"/>
        <v>60.95</v>
      </c>
      <c r="H249">
        <v>6960</v>
      </c>
      <c r="I249">
        <f t="shared" si="266"/>
        <v>6960</v>
      </c>
      <c r="J249">
        <v>2700</v>
      </c>
      <c r="K249">
        <f t="shared" si="267"/>
        <v>4050</v>
      </c>
      <c r="L249">
        <v>120</v>
      </c>
      <c r="M249">
        <f t="shared" si="268"/>
        <v>156</v>
      </c>
      <c r="N249">
        <v>180</v>
      </c>
      <c r="O249">
        <f t="shared" si="269"/>
        <v>216</v>
      </c>
      <c r="P249">
        <v>204</v>
      </c>
      <c r="Q249">
        <f t="shared" si="270"/>
        <v>108.12</v>
      </c>
      <c r="R249">
        <v>9450</v>
      </c>
      <c r="S249">
        <f t="shared" si="271"/>
        <v>9450</v>
      </c>
      <c r="T249">
        <v>4290</v>
      </c>
      <c r="U249">
        <f t="shared" si="272"/>
        <v>6435</v>
      </c>
      <c r="V249">
        <v>480</v>
      </c>
      <c r="W249">
        <f t="shared" ref="W249" si="340">V249*1.3</f>
        <v>624</v>
      </c>
      <c r="X249">
        <v>180</v>
      </c>
      <c r="Y249">
        <f t="shared" si="274"/>
        <v>216</v>
      </c>
      <c r="Z249">
        <v>177</v>
      </c>
      <c r="AA249">
        <f t="shared" si="275"/>
        <v>93.81</v>
      </c>
      <c r="AB249">
        <v>10560</v>
      </c>
      <c r="AC249">
        <f t="shared" si="276"/>
        <v>10560</v>
      </c>
      <c r="AD249">
        <v>5460</v>
      </c>
      <c r="AE249">
        <f t="shared" si="277"/>
        <v>8190</v>
      </c>
      <c r="AF249">
        <v>360</v>
      </c>
      <c r="AG249">
        <f t="shared" si="278"/>
        <v>468</v>
      </c>
      <c r="AH249">
        <v>180</v>
      </c>
      <c r="AI249">
        <f t="shared" si="279"/>
        <v>216</v>
      </c>
      <c r="AJ249">
        <v>100</v>
      </c>
      <c r="AK249">
        <f t="shared" si="280"/>
        <v>53</v>
      </c>
      <c r="AL249">
        <v>9058</v>
      </c>
      <c r="AM249">
        <f t="shared" si="281"/>
        <v>9058</v>
      </c>
      <c r="AN249">
        <v>5460</v>
      </c>
      <c r="AO249">
        <f t="shared" si="282"/>
        <v>8190</v>
      </c>
      <c r="AP249">
        <v>38</v>
      </c>
      <c r="AQ249">
        <f t="shared" si="283"/>
        <v>49.4</v>
      </c>
      <c r="AR249">
        <v>180</v>
      </c>
      <c r="AS249">
        <f t="shared" si="284"/>
        <v>216</v>
      </c>
      <c r="AT249">
        <v>96</v>
      </c>
      <c r="AU249">
        <f t="shared" si="285"/>
        <v>50.88</v>
      </c>
      <c r="AV249">
        <v>5760</v>
      </c>
      <c r="AW249">
        <f t="shared" si="286"/>
        <v>5760</v>
      </c>
      <c r="AX249">
        <v>4620</v>
      </c>
      <c r="AY249">
        <f t="shared" si="287"/>
        <v>6930</v>
      </c>
      <c r="AZ249">
        <v>125</v>
      </c>
      <c r="BA249">
        <f t="shared" si="288"/>
        <v>162.5</v>
      </c>
    </row>
    <row r="250" spans="1:53" x14ac:dyDescent="0.3">
      <c r="A250" t="s">
        <v>74</v>
      </c>
      <c r="B250" t="s">
        <v>562</v>
      </c>
      <c r="C250" t="s">
        <v>563</v>
      </c>
      <c r="D250" t="s">
        <v>73</v>
      </c>
      <c r="E250" t="e">
        <f t="shared" si="264"/>
        <v>#VALUE!</v>
      </c>
      <c r="F250">
        <v>357</v>
      </c>
      <c r="G250">
        <f t="shared" si="265"/>
        <v>189.21</v>
      </c>
      <c r="H250">
        <v>8640</v>
      </c>
      <c r="I250">
        <f t="shared" si="266"/>
        <v>8640</v>
      </c>
      <c r="J250">
        <v>2520</v>
      </c>
      <c r="K250">
        <f t="shared" si="267"/>
        <v>3780</v>
      </c>
      <c r="L250">
        <v>324</v>
      </c>
      <c r="M250">
        <f t="shared" si="268"/>
        <v>421.2</v>
      </c>
      <c r="N250" t="s">
        <v>73</v>
      </c>
      <c r="O250" t="e">
        <f t="shared" si="269"/>
        <v>#VALUE!</v>
      </c>
      <c r="P250">
        <v>388</v>
      </c>
      <c r="Q250">
        <f t="shared" si="270"/>
        <v>205.64000000000001</v>
      </c>
      <c r="R250">
        <v>10080</v>
      </c>
      <c r="S250">
        <f t="shared" si="271"/>
        <v>10080</v>
      </c>
      <c r="T250">
        <v>2730</v>
      </c>
      <c r="U250">
        <f t="shared" si="272"/>
        <v>4095</v>
      </c>
      <c r="V250">
        <v>360</v>
      </c>
      <c r="W250">
        <f t="shared" ref="W250" si="341">V250*1.3</f>
        <v>468</v>
      </c>
      <c r="X250" t="s">
        <v>73</v>
      </c>
      <c r="Y250" t="e">
        <f t="shared" si="274"/>
        <v>#VALUE!</v>
      </c>
      <c r="Z250">
        <v>378</v>
      </c>
      <c r="AA250">
        <f t="shared" si="275"/>
        <v>200.34</v>
      </c>
      <c r="AB250">
        <v>11040</v>
      </c>
      <c r="AC250">
        <f t="shared" si="276"/>
        <v>11040</v>
      </c>
      <c r="AD250">
        <v>2886</v>
      </c>
      <c r="AE250">
        <f t="shared" si="277"/>
        <v>4329</v>
      </c>
      <c r="AF250">
        <v>360</v>
      </c>
      <c r="AG250">
        <f t="shared" si="278"/>
        <v>468</v>
      </c>
      <c r="AH250" t="s">
        <v>73</v>
      </c>
      <c r="AI250" t="e">
        <f t="shared" si="279"/>
        <v>#VALUE!</v>
      </c>
      <c r="AJ250">
        <v>226</v>
      </c>
      <c r="AK250">
        <f t="shared" si="280"/>
        <v>119.78</v>
      </c>
      <c r="AL250">
        <v>10030</v>
      </c>
      <c r="AM250">
        <f t="shared" si="281"/>
        <v>10030</v>
      </c>
      <c r="AN250">
        <v>2886</v>
      </c>
      <c r="AO250">
        <f t="shared" si="282"/>
        <v>4329</v>
      </c>
      <c r="AP250">
        <v>9</v>
      </c>
      <c r="AQ250">
        <f t="shared" si="283"/>
        <v>11.700000000000001</v>
      </c>
      <c r="AR250" t="s">
        <v>73</v>
      </c>
      <c r="AS250" t="e">
        <f t="shared" si="284"/>
        <v>#VALUE!</v>
      </c>
      <c r="AT250">
        <v>210</v>
      </c>
      <c r="AU250">
        <f t="shared" si="285"/>
        <v>111.30000000000001</v>
      </c>
      <c r="AV250">
        <v>5880</v>
      </c>
      <c r="AW250">
        <f t="shared" si="286"/>
        <v>5880</v>
      </c>
      <c r="AX250">
        <v>2310</v>
      </c>
      <c r="AY250">
        <f t="shared" si="287"/>
        <v>3465</v>
      </c>
      <c r="AZ250">
        <v>120</v>
      </c>
      <c r="BA250">
        <f t="shared" si="288"/>
        <v>156</v>
      </c>
    </row>
    <row r="251" spans="1:53" x14ac:dyDescent="0.3">
      <c r="A251" t="s">
        <v>67</v>
      </c>
      <c r="B251" t="s">
        <v>564</v>
      </c>
      <c r="C251" t="s">
        <v>565</v>
      </c>
      <c r="D251">
        <v>32440</v>
      </c>
      <c r="E251">
        <f t="shared" si="264"/>
        <v>38928</v>
      </c>
      <c r="F251">
        <v>1448</v>
      </c>
      <c r="G251">
        <f t="shared" si="265"/>
        <v>767.44</v>
      </c>
      <c r="H251">
        <v>37235</v>
      </c>
      <c r="I251">
        <f t="shared" si="266"/>
        <v>37235</v>
      </c>
      <c r="J251" t="s">
        <v>73</v>
      </c>
      <c r="K251" t="e">
        <f t="shared" si="267"/>
        <v>#VALUE!</v>
      </c>
      <c r="L251" t="s">
        <v>73</v>
      </c>
      <c r="M251" t="e">
        <f t="shared" si="268"/>
        <v>#VALUE!</v>
      </c>
      <c r="N251">
        <v>32051</v>
      </c>
      <c r="O251">
        <f t="shared" si="269"/>
        <v>38461.199999999997</v>
      </c>
      <c r="P251">
        <v>1427</v>
      </c>
      <c r="Q251">
        <f t="shared" si="270"/>
        <v>756.31000000000006</v>
      </c>
      <c r="R251">
        <v>37926</v>
      </c>
      <c r="S251">
        <f t="shared" si="271"/>
        <v>37926</v>
      </c>
      <c r="T251" t="s">
        <v>73</v>
      </c>
      <c r="U251" t="e">
        <f t="shared" si="272"/>
        <v>#VALUE!</v>
      </c>
      <c r="V251" t="s">
        <v>73</v>
      </c>
      <c r="W251" t="e">
        <f t="shared" ref="W251" si="342">V251*1.3</f>
        <v>#VALUE!</v>
      </c>
      <c r="X251">
        <v>32293</v>
      </c>
      <c r="Y251">
        <f t="shared" si="274"/>
        <v>38751.599999999999</v>
      </c>
      <c r="Z251">
        <v>1306</v>
      </c>
      <c r="AA251">
        <f t="shared" si="275"/>
        <v>692.18000000000006</v>
      </c>
      <c r="AB251">
        <v>40005</v>
      </c>
      <c r="AC251">
        <f t="shared" si="276"/>
        <v>40005</v>
      </c>
      <c r="AD251" t="s">
        <v>73</v>
      </c>
      <c r="AE251" t="e">
        <f t="shared" si="277"/>
        <v>#VALUE!</v>
      </c>
      <c r="AF251" t="s">
        <v>73</v>
      </c>
      <c r="AG251" t="e">
        <f t="shared" si="278"/>
        <v>#VALUE!</v>
      </c>
      <c r="AH251">
        <v>29462</v>
      </c>
      <c r="AI251">
        <f t="shared" si="279"/>
        <v>35354.400000000001</v>
      </c>
      <c r="AJ251">
        <v>1308</v>
      </c>
      <c r="AK251">
        <f t="shared" si="280"/>
        <v>693.24</v>
      </c>
      <c r="AL251">
        <v>41464</v>
      </c>
      <c r="AM251">
        <f t="shared" si="281"/>
        <v>41464</v>
      </c>
      <c r="AN251">
        <v>2000</v>
      </c>
      <c r="AO251">
        <f t="shared" si="282"/>
        <v>3000</v>
      </c>
      <c r="AP251">
        <v>50</v>
      </c>
      <c r="AQ251">
        <f t="shared" si="283"/>
        <v>65</v>
      </c>
      <c r="AR251">
        <v>28015</v>
      </c>
      <c r="AS251">
        <f t="shared" si="284"/>
        <v>33618</v>
      </c>
      <c r="AT251">
        <v>1070</v>
      </c>
      <c r="AU251">
        <f t="shared" si="285"/>
        <v>567.1</v>
      </c>
      <c r="AV251">
        <v>30903</v>
      </c>
      <c r="AW251">
        <f t="shared" si="286"/>
        <v>30903</v>
      </c>
      <c r="AX251">
        <v>2000</v>
      </c>
      <c r="AY251">
        <f t="shared" si="287"/>
        <v>3000</v>
      </c>
      <c r="AZ251">
        <v>108</v>
      </c>
      <c r="BA251">
        <f t="shared" si="288"/>
        <v>140.4</v>
      </c>
    </row>
    <row r="252" spans="1:53" x14ac:dyDescent="0.3">
      <c r="A252" t="s">
        <v>70</v>
      </c>
      <c r="B252" t="s">
        <v>566</v>
      </c>
      <c r="C252" t="s">
        <v>567</v>
      </c>
      <c r="D252">
        <v>16840</v>
      </c>
      <c r="E252">
        <f t="shared" si="264"/>
        <v>20208</v>
      </c>
      <c r="F252">
        <v>747</v>
      </c>
      <c r="G252">
        <f t="shared" si="265"/>
        <v>395.91</v>
      </c>
      <c r="H252">
        <v>10982</v>
      </c>
      <c r="I252">
        <f t="shared" si="266"/>
        <v>10982</v>
      </c>
      <c r="J252" t="s">
        <v>73</v>
      </c>
      <c r="K252" t="e">
        <f t="shared" si="267"/>
        <v>#VALUE!</v>
      </c>
      <c r="L252" t="s">
        <v>73</v>
      </c>
      <c r="M252" t="e">
        <f t="shared" si="268"/>
        <v>#VALUE!</v>
      </c>
      <c r="N252">
        <v>17440</v>
      </c>
      <c r="O252">
        <f t="shared" si="269"/>
        <v>20928</v>
      </c>
      <c r="P252">
        <v>754</v>
      </c>
      <c r="Q252">
        <f t="shared" si="270"/>
        <v>399.62</v>
      </c>
      <c r="R252">
        <v>10790</v>
      </c>
      <c r="S252">
        <f t="shared" si="271"/>
        <v>10790</v>
      </c>
      <c r="T252" t="s">
        <v>73</v>
      </c>
      <c r="U252" t="e">
        <f t="shared" si="272"/>
        <v>#VALUE!</v>
      </c>
      <c r="V252" t="s">
        <v>73</v>
      </c>
      <c r="W252" t="e">
        <f t="shared" ref="W252" si="343">V252*1.3</f>
        <v>#VALUE!</v>
      </c>
      <c r="X252">
        <v>16020</v>
      </c>
      <c r="Y252">
        <f t="shared" si="274"/>
        <v>19224</v>
      </c>
      <c r="Z252">
        <v>698</v>
      </c>
      <c r="AA252">
        <f t="shared" si="275"/>
        <v>369.94</v>
      </c>
      <c r="AB252">
        <v>16828</v>
      </c>
      <c r="AC252">
        <f t="shared" si="276"/>
        <v>16828</v>
      </c>
      <c r="AD252" t="s">
        <v>73</v>
      </c>
      <c r="AE252" t="e">
        <f t="shared" si="277"/>
        <v>#VALUE!</v>
      </c>
      <c r="AF252" t="s">
        <v>73</v>
      </c>
      <c r="AG252" t="e">
        <f t="shared" si="278"/>
        <v>#VALUE!</v>
      </c>
      <c r="AH252">
        <v>12675</v>
      </c>
      <c r="AI252">
        <f t="shared" si="279"/>
        <v>15210</v>
      </c>
      <c r="AJ252">
        <v>621</v>
      </c>
      <c r="AK252">
        <f t="shared" si="280"/>
        <v>329.13</v>
      </c>
      <c r="AL252">
        <v>16768</v>
      </c>
      <c r="AM252">
        <f t="shared" si="281"/>
        <v>16768</v>
      </c>
      <c r="AN252" t="s">
        <v>73</v>
      </c>
      <c r="AO252" t="e">
        <f t="shared" si="282"/>
        <v>#VALUE!</v>
      </c>
      <c r="AP252">
        <v>50</v>
      </c>
      <c r="AQ252">
        <f t="shared" si="283"/>
        <v>65</v>
      </c>
      <c r="AR252">
        <v>13529</v>
      </c>
      <c r="AS252">
        <f t="shared" si="284"/>
        <v>16234.8</v>
      </c>
      <c r="AT252">
        <v>666</v>
      </c>
      <c r="AU252">
        <f t="shared" si="285"/>
        <v>352.98</v>
      </c>
      <c r="AV252">
        <v>13373</v>
      </c>
      <c r="AW252">
        <f t="shared" si="286"/>
        <v>13373</v>
      </c>
      <c r="AX252" t="s">
        <v>73</v>
      </c>
      <c r="AY252" t="e">
        <f t="shared" si="287"/>
        <v>#VALUE!</v>
      </c>
      <c r="AZ252">
        <v>108</v>
      </c>
      <c r="BA252">
        <f t="shared" si="288"/>
        <v>140.4</v>
      </c>
    </row>
    <row r="253" spans="1:53" x14ac:dyDescent="0.3">
      <c r="A253" t="s">
        <v>74</v>
      </c>
      <c r="B253" t="s">
        <v>568</v>
      </c>
      <c r="C253" t="s">
        <v>569</v>
      </c>
      <c r="D253" t="s">
        <v>73</v>
      </c>
      <c r="E253" t="e">
        <f t="shared" si="264"/>
        <v>#VALUE!</v>
      </c>
      <c r="F253">
        <v>454</v>
      </c>
      <c r="G253">
        <f t="shared" si="265"/>
        <v>240.62</v>
      </c>
      <c r="H253">
        <v>4286</v>
      </c>
      <c r="I253">
        <f t="shared" si="266"/>
        <v>4286</v>
      </c>
      <c r="J253" t="s">
        <v>73</v>
      </c>
      <c r="K253" t="e">
        <f t="shared" si="267"/>
        <v>#VALUE!</v>
      </c>
      <c r="L253" t="s">
        <v>73</v>
      </c>
      <c r="M253" t="e">
        <f t="shared" si="268"/>
        <v>#VALUE!</v>
      </c>
      <c r="N253" t="s">
        <v>73</v>
      </c>
      <c r="O253" t="e">
        <f t="shared" si="269"/>
        <v>#VALUE!</v>
      </c>
      <c r="P253">
        <v>450</v>
      </c>
      <c r="Q253">
        <f t="shared" si="270"/>
        <v>238.5</v>
      </c>
      <c r="R253">
        <v>4100</v>
      </c>
      <c r="S253">
        <f t="shared" si="271"/>
        <v>4100</v>
      </c>
      <c r="T253" t="s">
        <v>73</v>
      </c>
      <c r="U253" t="e">
        <f t="shared" si="272"/>
        <v>#VALUE!</v>
      </c>
      <c r="V253" t="s">
        <v>73</v>
      </c>
      <c r="W253" t="e">
        <f t="shared" ref="W253" si="344">V253*1.3</f>
        <v>#VALUE!</v>
      </c>
      <c r="X253" t="s">
        <v>73</v>
      </c>
      <c r="Y253" t="e">
        <f t="shared" si="274"/>
        <v>#VALUE!</v>
      </c>
      <c r="Z253">
        <v>428</v>
      </c>
      <c r="AA253">
        <f t="shared" si="275"/>
        <v>226.84</v>
      </c>
      <c r="AB253">
        <v>4612</v>
      </c>
      <c r="AC253">
        <f t="shared" si="276"/>
        <v>4612</v>
      </c>
      <c r="AD253" t="s">
        <v>73</v>
      </c>
      <c r="AE253" t="e">
        <f t="shared" si="277"/>
        <v>#VALUE!</v>
      </c>
      <c r="AF253" t="s">
        <v>73</v>
      </c>
      <c r="AG253" t="e">
        <f t="shared" si="278"/>
        <v>#VALUE!</v>
      </c>
      <c r="AH253" t="s">
        <v>73</v>
      </c>
      <c r="AI253" t="e">
        <f t="shared" si="279"/>
        <v>#VALUE!</v>
      </c>
      <c r="AJ253">
        <v>429</v>
      </c>
      <c r="AK253">
        <f t="shared" si="280"/>
        <v>227.37</v>
      </c>
      <c r="AL253">
        <v>4752</v>
      </c>
      <c r="AM253">
        <f t="shared" si="281"/>
        <v>4752</v>
      </c>
      <c r="AN253" t="s">
        <v>73</v>
      </c>
      <c r="AO253" t="e">
        <f t="shared" si="282"/>
        <v>#VALUE!</v>
      </c>
      <c r="AP253" t="s">
        <v>73</v>
      </c>
      <c r="AQ253" t="e">
        <f t="shared" si="283"/>
        <v>#VALUE!</v>
      </c>
      <c r="AR253" t="s">
        <v>73</v>
      </c>
      <c r="AS253" t="e">
        <f t="shared" si="284"/>
        <v>#VALUE!</v>
      </c>
      <c r="AT253">
        <v>429</v>
      </c>
      <c r="AU253">
        <f t="shared" si="285"/>
        <v>227.37</v>
      </c>
      <c r="AV253">
        <v>4752</v>
      </c>
      <c r="AW253">
        <f t="shared" si="286"/>
        <v>4752</v>
      </c>
      <c r="AX253" t="s">
        <v>73</v>
      </c>
      <c r="AY253" t="e">
        <f t="shared" si="287"/>
        <v>#VALUE!</v>
      </c>
      <c r="AZ253" t="s">
        <v>73</v>
      </c>
      <c r="BA253" t="e">
        <f t="shared" si="288"/>
        <v>#VALUE!</v>
      </c>
    </row>
    <row r="254" spans="1:53" x14ac:dyDescent="0.3">
      <c r="A254" t="s">
        <v>74</v>
      </c>
      <c r="B254" t="s">
        <v>570</v>
      </c>
      <c r="C254" t="s">
        <v>571</v>
      </c>
      <c r="D254">
        <v>2080</v>
      </c>
      <c r="E254">
        <f t="shared" si="264"/>
        <v>2496</v>
      </c>
      <c r="F254">
        <v>8</v>
      </c>
      <c r="G254">
        <f t="shared" si="265"/>
        <v>4.24</v>
      </c>
      <c r="H254">
        <v>605</v>
      </c>
      <c r="I254">
        <f t="shared" si="266"/>
        <v>605</v>
      </c>
      <c r="J254" t="s">
        <v>73</v>
      </c>
      <c r="K254" t="e">
        <f t="shared" si="267"/>
        <v>#VALUE!</v>
      </c>
      <c r="L254" t="s">
        <v>73</v>
      </c>
      <c r="M254" t="e">
        <f t="shared" si="268"/>
        <v>#VALUE!</v>
      </c>
      <c r="N254">
        <v>2080</v>
      </c>
      <c r="O254">
        <f t="shared" si="269"/>
        <v>2496</v>
      </c>
      <c r="P254">
        <v>8</v>
      </c>
      <c r="Q254">
        <f t="shared" si="270"/>
        <v>4.24</v>
      </c>
      <c r="R254">
        <v>605</v>
      </c>
      <c r="S254">
        <f t="shared" si="271"/>
        <v>605</v>
      </c>
      <c r="T254" t="s">
        <v>73</v>
      </c>
      <c r="U254" t="e">
        <f t="shared" si="272"/>
        <v>#VALUE!</v>
      </c>
      <c r="V254" t="s">
        <v>73</v>
      </c>
      <c r="W254" t="e">
        <f t="shared" ref="W254" si="345">V254*1.3</f>
        <v>#VALUE!</v>
      </c>
      <c r="X254">
        <v>600</v>
      </c>
      <c r="Y254">
        <f t="shared" si="274"/>
        <v>720</v>
      </c>
      <c r="Z254">
        <v>12</v>
      </c>
      <c r="AA254">
        <f t="shared" si="275"/>
        <v>6.36</v>
      </c>
      <c r="AB254">
        <v>102</v>
      </c>
      <c r="AC254">
        <f t="shared" si="276"/>
        <v>102</v>
      </c>
      <c r="AD254" t="s">
        <v>73</v>
      </c>
      <c r="AE254" t="e">
        <f t="shared" si="277"/>
        <v>#VALUE!</v>
      </c>
      <c r="AF254" t="s">
        <v>73</v>
      </c>
      <c r="AG254" t="e">
        <f t="shared" si="278"/>
        <v>#VALUE!</v>
      </c>
      <c r="AH254">
        <v>600</v>
      </c>
      <c r="AI254">
        <f t="shared" si="279"/>
        <v>720</v>
      </c>
      <c r="AJ254">
        <v>12</v>
      </c>
      <c r="AK254">
        <f t="shared" si="280"/>
        <v>6.36</v>
      </c>
      <c r="AL254">
        <v>102</v>
      </c>
      <c r="AM254">
        <f t="shared" si="281"/>
        <v>102</v>
      </c>
      <c r="AN254" t="s">
        <v>73</v>
      </c>
      <c r="AO254" t="e">
        <f t="shared" si="282"/>
        <v>#VALUE!</v>
      </c>
      <c r="AP254" t="s">
        <v>73</v>
      </c>
      <c r="AQ254" t="e">
        <f t="shared" si="283"/>
        <v>#VALUE!</v>
      </c>
      <c r="AR254">
        <v>1125</v>
      </c>
      <c r="AS254">
        <f t="shared" si="284"/>
        <v>1350</v>
      </c>
      <c r="AT254">
        <v>1</v>
      </c>
      <c r="AU254">
        <f t="shared" si="285"/>
        <v>0.53</v>
      </c>
      <c r="AV254">
        <v>85</v>
      </c>
      <c r="AW254">
        <f t="shared" si="286"/>
        <v>85</v>
      </c>
      <c r="AX254" t="s">
        <v>73</v>
      </c>
      <c r="AY254" t="e">
        <f t="shared" si="287"/>
        <v>#VALUE!</v>
      </c>
      <c r="AZ254" t="s">
        <v>73</v>
      </c>
      <c r="BA254" t="e">
        <f t="shared" si="288"/>
        <v>#VALUE!</v>
      </c>
    </row>
    <row r="255" spans="1:53" x14ac:dyDescent="0.3">
      <c r="A255" t="s">
        <v>74</v>
      </c>
      <c r="B255" t="s">
        <v>572</v>
      </c>
      <c r="C255" t="s">
        <v>573</v>
      </c>
      <c r="D255" t="s">
        <v>73</v>
      </c>
      <c r="E255" t="e">
        <f t="shared" si="264"/>
        <v>#VALUE!</v>
      </c>
      <c r="F255">
        <v>171</v>
      </c>
      <c r="G255">
        <f t="shared" si="265"/>
        <v>90.63000000000001</v>
      </c>
      <c r="H255">
        <v>4560</v>
      </c>
      <c r="I255">
        <f t="shared" si="266"/>
        <v>4560</v>
      </c>
      <c r="J255" t="s">
        <v>73</v>
      </c>
      <c r="K255" t="e">
        <f t="shared" si="267"/>
        <v>#VALUE!</v>
      </c>
      <c r="L255" t="s">
        <v>73</v>
      </c>
      <c r="M255" t="e">
        <f t="shared" si="268"/>
        <v>#VALUE!</v>
      </c>
      <c r="N255" t="s">
        <v>73</v>
      </c>
      <c r="O255" t="e">
        <f t="shared" si="269"/>
        <v>#VALUE!</v>
      </c>
      <c r="P255">
        <v>186</v>
      </c>
      <c r="Q255">
        <f t="shared" si="270"/>
        <v>98.58</v>
      </c>
      <c r="R255">
        <v>4200</v>
      </c>
      <c r="S255">
        <f t="shared" si="271"/>
        <v>4200</v>
      </c>
      <c r="T255" t="s">
        <v>73</v>
      </c>
      <c r="U255" t="e">
        <f t="shared" si="272"/>
        <v>#VALUE!</v>
      </c>
      <c r="V255" t="s">
        <v>73</v>
      </c>
      <c r="W255" t="e">
        <f t="shared" ref="W255" si="346">V255*1.3</f>
        <v>#VALUE!</v>
      </c>
      <c r="X255" t="s">
        <v>73</v>
      </c>
      <c r="Y255" t="e">
        <f t="shared" si="274"/>
        <v>#VALUE!</v>
      </c>
      <c r="Z255">
        <v>183</v>
      </c>
      <c r="AA255">
        <f t="shared" si="275"/>
        <v>96.990000000000009</v>
      </c>
      <c r="AB255">
        <v>5700</v>
      </c>
      <c r="AC255">
        <f t="shared" si="276"/>
        <v>5700</v>
      </c>
      <c r="AD255" t="s">
        <v>73</v>
      </c>
      <c r="AE255" t="e">
        <f t="shared" si="277"/>
        <v>#VALUE!</v>
      </c>
      <c r="AF255" t="s">
        <v>73</v>
      </c>
      <c r="AG255" t="e">
        <f t="shared" si="278"/>
        <v>#VALUE!</v>
      </c>
      <c r="AH255" t="s">
        <v>73</v>
      </c>
      <c r="AI255" t="e">
        <f t="shared" si="279"/>
        <v>#VALUE!</v>
      </c>
      <c r="AJ255">
        <v>105</v>
      </c>
      <c r="AK255">
        <f t="shared" si="280"/>
        <v>55.650000000000006</v>
      </c>
      <c r="AL255">
        <v>5500</v>
      </c>
      <c r="AM255">
        <f t="shared" si="281"/>
        <v>5500</v>
      </c>
      <c r="AN255" t="s">
        <v>73</v>
      </c>
      <c r="AO255" t="e">
        <f t="shared" si="282"/>
        <v>#VALUE!</v>
      </c>
      <c r="AP255">
        <v>50</v>
      </c>
      <c r="AQ255">
        <f t="shared" si="283"/>
        <v>65</v>
      </c>
      <c r="AR255" t="s">
        <v>73</v>
      </c>
      <c r="AS255" t="e">
        <f t="shared" si="284"/>
        <v>#VALUE!</v>
      </c>
      <c r="AT255">
        <v>211</v>
      </c>
      <c r="AU255">
        <f t="shared" si="285"/>
        <v>111.83000000000001</v>
      </c>
      <c r="AV255">
        <v>3300</v>
      </c>
      <c r="AW255">
        <f t="shared" si="286"/>
        <v>3300</v>
      </c>
      <c r="AX255" t="s">
        <v>73</v>
      </c>
      <c r="AY255" t="e">
        <f t="shared" si="287"/>
        <v>#VALUE!</v>
      </c>
      <c r="AZ255">
        <v>108</v>
      </c>
      <c r="BA255">
        <f t="shared" si="288"/>
        <v>140.4</v>
      </c>
    </row>
    <row r="256" spans="1:53" x14ac:dyDescent="0.3">
      <c r="A256" t="s">
        <v>74</v>
      </c>
      <c r="B256" t="s">
        <v>574</v>
      </c>
      <c r="C256" t="s">
        <v>575</v>
      </c>
      <c r="D256" t="s">
        <v>73</v>
      </c>
      <c r="E256" t="e">
        <f t="shared" si="264"/>
        <v>#VALUE!</v>
      </c>
      <c r="F256">
        <v>21</v>
      </c>
      <c r="G256">
        <f t="shared" si="265"/>
        <v>11.13</v>
      </c>
      <c r="H256">
        <v>150</v>
      </c>
      <c r="I256">
        <f t="shared" si="266"/>
        <v>150</v>
      </c>
      <c r="J256" t="s">
        <v>73</v>
      </c>
      <c r="K256" t="e">
        <f t="shared" si="267"/>
        <v>#VALUE!</v>
      </c>
      <c r="L256" t="s">
        <v>73</v>
      </c>
      <c r="M256" t="e">
        <f t="shared" si="268"/>
        <v>#VALUE!</v>
      </c>
      <c r="N256" t="s">
        <v>73</v>
      </c>
      <c r="O256" t="e">
        <f t="shared" si="269"/>
        <v>#VALUE!</v>
      </c>
      <c r="P256">
        <v>21</v>
      </c>
      <c r="Q256">
        <f t="shared" si="270"/>
        <v>11.13</v>
      </c>
      <c r="R256">
        <v>120</v>
      </c>
      <c r="S256">
        <f t="shared" si="271"/>
        <v>120</v>
      </c>
      <c r="T256" t="s">
        <v>73</v>
      </c>
      <c r="U256" t="e">
        <f t="shared" si="272"/>
        <v>#VALUE!</v>
      </c>
      <c r="V256" t="s">
        <v>73</v>
      </c>
      <c r="W256" t="e">
        <f t="shared" ref="W256" si="347">V256*1.3</f>
        <v>#VALUE!</v>
      </c>
      <c r="X256" t="s">
        <v>73</v>
      </c>
      <c r="Y256" t="e">
        <f t="shared" si="274"/>
        <v>#VALUE!</v>
      </c>
      <c r="Z256">
        <v>15</v>
      </c>
      <c r="AA256">
        <f t="shared" si="275"/>
        <v>7.95</v>
      </c>
      <c r="AB256">
        <v>300</v>
      </c>
      <c r="AC256">
        <f t="shared" si="276"/>
        <v>300</v>
      </c>
      <c r="AD256" t="s">
        <v>73</v>
      </c>
      <c r="AE256" t="e">
        <f t="shared" si="277"/>
        <v>#VALUE!</v>
      </c>
      <c r="AF256" t="s">
        <v>73</v>
      </c>
      <c r="AG256" t="e">
        <f t="shared" si="278"/>
        <v>#VALUE!</v>
      </c>
      <c r="AH256" t="s">
        <v>73</v>
      </c>
      <c r="AI256" t="e">
        <f t="shared" si="279"/>
        <v>#VALUE!</v>
      </c>
      <c r="AJ256">
        <v>15</v>
      </c>
      <c r="AK256">
        <f t="shared" si="280"/>
        <v>7.95</v>
      </c>
      <c r="AL256">
        <v>300</v>
      </c>
      <c r="AM256">
        <f t="shared" si="281"/>
        <v>300</v>
      </c>
      <c r="AN256" t="s">
        <v>73</v>
      </c>
      <c r="AO256" t="e">
        <f t="shared" si="282"/>
        <v>#VALUE!</v>
      </c>
      <c r="AP256" t="s">
        <v>73</v>
      </c>
      <c r="AQ256" t="e">
        <f t="shared" si="283"/>
        <v>#VALUE!</v>
      </c>
      <c r="AR256" t="s">
        <v>73</v>
      </c>
      <c r="AS256" t="e">
        <f t="shared" si="284"/>
        <v>#VALUE!</v>
      </c>
      <c r="AT256">
        <v>5</v>
      </c>
      <c r="AU256">
        <f t="shared" si="285"/>
        <v>2.6500000000000004</v>
      </c>
      <c r="AV256">
        <v>240</v>
      </c>
      <c r="AW256">
        <f t="shared" si="286"/>
        <v>240</v>
      </c>
      <c r="AX256" t="s">
        <v>73</v>
      </c>
      <c r="AY256" t="e">
        <f t="shared" si="287"/>
        <v>#VALUE!</v>
      </c>
      <c r="AZ256" t="s">
        <v>73</v>
      </c>
      <c r="BA256" t="e">
        <f t="shared" si="288"/>
        <v>#VALUE!</v>
      </c>
    </row>
    <row r="257" spans="1:53" x14ac:dyDescent="0.3">
      <c r="A257" t="s">
        <v>74</v>
      </c>
      <c r="B257" t="s">
        <v>576</v>
      </c>
      <c r="C257" t="s">
        <v>577</v>
      </c>
      <c r="D257" t="s">
        <v>73</v>
      </c>
      <c r="E257" t="e">
        <f t="shared" si="264"/>
        <v>#VALUE!</v>
      </c>
      <c r="F257">
        <v>72</v>
      </c>
      <c r="G257">
        <f t="shared" si="265"/>
        <v>38.160000000000004</v>
      </c>
      <c r="H257">
        <v>797</v>
      </c>
      <c r="I257">
        <f t="shared" si="266"/>
        <v>797</v>
      </c>
      <c r="J257" t="s">
        <v>73</v>
      </c>
      <c r="K257" t="e">
        <f t="shared" si="267"/>
        <v>#VALUE!</v>
      </c>
      <c r="L257" t="s">
        <v>73</v>
      </c>
      <c r="M257" t="e">
        <f t="shared" si="268"/>
        <v>#VALUE!</v>
      </c>
      <c r="N257" t="s">
        <v>73</v>
      </c>
      <c r="O257" t="e">
        <f t="shared" si="269"/>
        <v>#VALUE!</v>
      </c>
      <c r="P257">
        <v>72</v>
      </c>
      <c r="Q257">
        <f t="shared" si="270"/>
        <v>38.160000000000004</v>
      </c>
      <c r="R257">
        <v>847</v>
      </c>
      <c r="S257">
        <f t="shared" si="271"/>
        <v>847</v>
      </c>
      <c r="T257" t="s">
        <v>73</v>
      </c>
      <c r="U257" t="e">
        <f t="shared" si="272"/>
        <v>#VALUE!</v>
      </c>
      <c r="V257" t="s">
        <v>73</v>
      </c>
      <c r="W257" t="e">
        <f t="shared" ref="W257" si="348">V257*1.3</f>
        <v>#VALUE!</v>
      </c>
      <c r="X257" t="s">
        <v>73</v>
      </c>
      <c r="Y257" t="e">
        <f t="shared" si="274"/>
        <v>#VALUE!</v>
      </c>
      <c r="Z257">
        <v>45</v>
      </c>
      <c r="AA257">
        <f t="shared" si="275"/>
        <v>23.85</v>
      </c>
      <c r="AB257">
        <v>4400</v>
      </c>
      <c r="AC257">
        <f t="shared" si="276"/>
        <v>4400</v>
      </c>
      <c r="AD257" t="s">
        <v>73</v>
      </c>
      <c r="AE257" t="e">
        <f t="shared" si="277"/>
        <v>#VALUE!</v>
      </c>
      <c r="AF257" t="s">
        <v>73</v>
      </c>
      <c r="AG257" t="e">
        <f t="shared" si="278"/>
        <v>#VALUE!</v>
      </c>
      <c r="AH257" t="s">
        <v>73</v>
      </c>
      <c r="AI257" t="e">
        <f t="shared" si="279"/>
        <v>#VALUE!</v>
      </c>
      <c r="AJ257">
        <v>45</v>
      </c>
      <c r="AK257">
        <f t="shared" si="280"/>
        <v>23.85</v>
      </c>
      <c r="AL257">
        <v>4400</v>
      </c>
      <c r="AM257">
        <f t="shared" si="281"/>
        <v>4400</v>
      </c>
      <c r="AN257" t="s">
        <v>73</v>
      </c>
      <c r="AO257" t="e">
        <f t="shared" si="282"/>
        <v>#VALUE!</v>
      </c>
      <c r="AP257" t="s">
        <v>73</v>
      </c>
      <c r="AQ257" t="e">
        <f t="shared" si="283"/>
        <v>#VALUE!</v>
      </c>
      <c r="AR257" t="s">
        <v>73</v>
      </c>
      <c r="AS257" t="e">
        <f t="shared" si="284"/>
        <v>#VALUE!</v>
      </c>
      <c r="AT257">
        <v>13</v>
      </c>
      <c r="AU257">
        <f t="shared" si="285"/>
        <v>6.8900000000000006</v>
      </c>
      <c r="AV257">
        <v>4000</v>
      </c>
      <c r="AW257">
        <f t="shared" si="286"/>
        <v>4000</v>
      </c>
      <c r="AX257" t="s">
        <v>73</v>
      </c>
      <c r="AY257" t="e">
        <f t="shared" si="287"/>
        <v>#VALUE!</v>
      </c>
      <c r="AZ257" t="s">
        <v>73</v>
      </c>
      <c r="BA257" t="e">
        <f t="shared" si="288"/>
        <v>#VALUE!</v>
      </c>
    </row>
    <row r="258" spans="1:53" x14ac:dyDescent="0.3">
      <c r="A258" t="s">
        <v>74</v>
      </c>
      <c r="B258" t="s">
        <v>578</v>
      </c>
      <c r="C258" t="s">
        <v>579</v>
      </c>
      <c r="D258">
        <v>360</v>
      </c>
      <c r="E258">
        <f t="shared" si="264"/>
        <v>432</v>
      </c>
      <c r="F258">
        <v>16</v>
      </c>
      <c r="G258">
        <f t="shared" si="265"/>
        <v>8.48</v>
      </c>
      <c r="H258">
        <v>507</v>
      </c>
      <c r="I258">
        <f t="shared" si="266"/>
        <v>507</v>
      </c>
      <c r="J258" t="s">
        <v>73</v>
      </c>
      <c r="K258" t="e">
        <f t="shared" si="267"/>
        <v>#VALUE!</v>
      </c>
      <c r="L258" t="s">
        <v>73</v>
      </c>
      <c r="M258" t="e">
        <f t="shared" si="268"/>
        <v>#VALUE!</v>
      </c>
      <c r="N258">
        <v>360</v>
      </c>
      <c r="O258">
        <f t="shared" si="269"/>
        <v>432</v>
      </c>
      <c r="P258">
        <v>16</v>
      </c>
      <c r="Q258">
        <f t="shared" si="270"/>
        <v>8.48</v>
      </c>
      <c r="R258">
        <v>493</v>
      </c>
      <c r="S258">
        <f t="shared" si="271"/>
        <v>493</v>
      </c>
      <c r="T258" t="s">
        <v>73</v>
      </c>
      <c r="U258" t="e">
        <f t="shared" si="272"/>
        <v>#VALUE!</v>
      </c>
      <c r="V258" t="s">
        <v>73</v>
      </c>
      <c r="W258" t="e">
        <f t="shared" ref="W258" si="349">V258*1.3</f>
        <v>#VALUE!</v>
      </c>
      <c r="X258">
        <v>420</v>
      </c>
      <c r="Y258">
        <f t="shared" si="274"/>
        <v>504</v>
      </c>
      <c r="Z258">
        <v>11</v>
      </c>
      <c r="AA258">
        <f t="shared" si="275"/>
        <v>5.83</v>
      </c>
      <c r="AB258">
        <v>1334</v>
      </c>
      <c r="AC258">
        <f t="shared" si="276"/>
        <v>1334</v>
      </c>
      <c r="AD258" t="s">
        <v>73</v>
      </c>
      <c r="AE258" t="e">
        <f t="shared" si="277"/>
        <v>#VALUE!</v>
      </c>
      <c r="AF258" t="s">
        <v>73</v>
      </c>
      <c r="AG258" t="e">
        <f t="shared" si="278"/>
        <v>#VALUE!</v>
      </c>
      <c r="AH258">
        <v>420</v>
      </c>
      <c r="AI258">
        <f t="shared" si="279"/>
        <v>504</v>
      </c>
      <c r="AJ258">
        <v>11</v>
      </c>
      <c r="AK258">
        <f t="shared" si="280"/>
        <v>5.83</v>
      </c>
      <c r="AL258">
        <v>1334</v>
      </c>
      <c r="AM258">
        <f t="shared" si="281"/>
        <v>1334</v>
      </c>
      <c r="AN258" t="s">
        <v>73</v>
      </c>
      <c r="AO258" t="e">
        <f t="shared" si="282"/>
        <v>#VALUE!</v>
      </c>
      <c r="AP258" t="s">
        <v>73</v>
      </c>
      <c r="AQ258" t="e">
        <f t="shared" si="283"/>
        <v>#VALUE!</v>
      </c>
      <c r="AR258">
        <v>420</v>
      </c>
      <c r="AS258">
        <f t="shared" si="284"/>
        <v>504</v>
      </c>
      <c r="AT258">
        <v>3</v>
      </c>
      <c r="AU258">
        <f t="shared" si="285"/>
        <v>1.59</v>
      </c>
      <c r="AV258">
        <v>934</v>
      </c>
      <c r="AW258">
        <f t="shared" si="286"/>
        <v>934</v>
      </c>
      <c r="AX258" t="s">
        <v>73</v>
      </c>
      <c r="AY258" t="e">
        <f t="shared" si="287"/>
        <v>#VALUE!</v>
      </c>
      <c r="AZ258" t="s">
        <v>73</v>
      </c>
      <c r="BA258" t="e">
        <f t="shared" si="288"/>
        <v>#VALUE!</v>
      </c>
    </row>
    <row r="259" spans="1:53" x14ac:dyDescent="0.3">
      <c r="A259" t="s">
        <v>74</v>
      </c>
      <c r="B259" t="s">
        <v>580</v>
      </c>
      <c r="C259" t="s">
        <v>581</v>
      </c>
      <c r="D259">
        <v>14400</v>
      </c>
      <c r="E259">
        <f t="shared" si="264"/>
        <v>17280</v>
      </c>
      <c r="F259">
        <v>5</v>
      </c>
      <c r="G259">
        <f t="shared" si="265"/>
        <v>2.6500000000000004</v>
      </c>
      <c r="H259">
        <v>77</v>
      </c>
      <c r="I259">
        <f t="shared" si="266"/>
        <v>77</v>
      </c>
      <c r="J259" t="s">
        <v>73</v>
      </c>
      <c r="K259" t="e">
        <f t="shared" si="267"/>
        <v>#VALUE!</v>
      </c>
      <c r="L259" t="s">
        <v>73</v>
      </c>
      <c r="M259" t="e">
        <f t="shared" si="268"/>
        <v>#VALUE!</v>
      </c>
      <c r="N259">
        <v>15000</v>
      </c>
      <c r="O259">
        <f t="shared" si="269"/>
        <v>18000</v>
      </c>
      <c r="P259">
        <v>1</v>
      </c>
      <c r="Q259">
        <f t="shared" si="270"/>
        <v>0.53</v>
      </c>
      <c r="R259">
        <v>425</v>
      </c>
      <c r="S259">
        <f t="shared" si="271"/>
        <v>425</v>
      </c>
      <c r="T259" t="s">
        <v>73</v>
      </c>
      <c r="U259" t="e">
        <f t="shared" si="272"/>
        <v>#VALUE!</v>
      </c>
      <c r="V259" t="s">
        <v>73</v>
      </c>
      <c r="W259" t="e">
        <f t="shared" ref="W259" si="350">V259*1.3</f>
        <v>#VALUE!</v>
      </c>
      <c r="X259">
        <v>15000</v>
      </c>
      <c r="Y259">
        <f t="shared" si="274"/>
        <v>18000</v>
      </c>
      <c r="Z259">
        <v>4</v>
      </c>
      <c r="AA259">
        <f t="shared" si="275"/>
        <v>2.12</v>
      </c>
      <c r="AB259">
        <v>380</v>
      </c>
      <c r="AC259">
        <f t="shared" si="276"/>
        <v>380</v>
      </c>
      <c r="AD259" t="s">
        <v>73</v>
      </c>
      <c r="AE259" t="e">
        <f t="shared" si="277"/>
        <v>#VALUE!</v>
      </c>
      <c r="AF259" t="s">
        <v>73</v>
      </c>
      <c r="AG259" t="e">
        <f t="shared" si="278"/>
        <v>#VALUE!</v>
      </c>
      <c r="AH259">
        <v>11655</v>
      </c>
      <c r="AI259">
        <f t="shared" si="279"/>
        <v>13986</v>
      </c>
      <c r="AJ259">
        <v>4</v>
      </c>
      <c r="AK259">
        <f t="shared" si="280"/>
        <v>2.12</v>
      </c>
      <c r="AL259">
        <v>380</v>
      </c>
      <c r="AM259">
        <f t="shared" si="281"/>
        <v>380</v>
      </c>
      <c r="AN259" t="s">
        <v>73</v>
      </c>
      <c r="AO259" t="e">
        <f t="shared" si="282"/>
        <v>#VALUE!</v>
      </c>
      <c r="AP259" t="s">
        <v>73</v>
      </c>
      <c r="AQ259" t="e">
        <f t="shared" si="283"/>
        <v>#VALUE!</v>
      </c>
      <c r="AR259">
        <v>11984</v>
      </c>
      <c r="AS259">
        <f t="shared" si="284"/>
        <v>14380.8</v>
      </c>
      <c r="AT259">
        <v>4</v>
      </c>
      <c r="AU259">
        <f t="shared" si="285"/>
        <v>2.12</v>
      </c>
      <c r="AV259">
        <v>62</v>
      </c>
      <c r="AW259">
        <f t="shared" si="286"/>
        <v>62</v>
      </c>
      <c r="AX259" t="s">
        <v>73</v>
      </c>
      <c r="AY259" t="e">
        <f t="shared" si="287"/>
        <v>#VALUE!</v>
      </c>
      <c r="AZ259" t="s">
        <v>73</v>
      </c>
      <c r="BA259" t="e">
        <f t="shared" si="288"/>
        <v>#VALUE!</v>
      </c>
    </row>
    <row r="260" spans="1:53" x14ac:dyDescent="0.3">
      <c r="A260" t="s">
        <v>70</v>
      </c>
      <c r="B260" t="s">
        <v>582</v>
      </c>
      <c r="C260" t="s">
        <v>583</v>
      </c>
      <c r="D260">
        <v>14518</v>
      </c>
      <c r="E260">
        <f t="shared" si="264"/>
        <v>17421.599999999999</v>
      </c>
      <c r="F260">
        <v>57</v>
      </c>
      <c r="G260">
        <f t="shared" si="265"/>
        <v>30.21</v>
      </c>
      <c r="H260">
        <v>600</v>
      </c>
      <c r="I260">
        <f t="shared" si="266"/>
        <v>600</v>
      </c>
      <c r="J260" t="s">
        <v>73</v>
      </c>
      <c r="K260" t="e">
        <f t="shared" si="267"/>
        <v>#VALUE!</v>
      </c>
      <c r="L260" t="s">
        <v>73</v>
      </c>
      <c r="M260" t="e">
        <f t="shared" si="268"/>
        <v>#VALUE!</v>
      </c>
      <c r="N260">
        <v>13524</v>
      </c>
      <c r="O260">
        <f t="shared" si="269"/>
        <v>16228.8</v>
      </c>
      <c r="P260">
        <v>68</v>
      </c>
      <c r="Q260">
        <f t="shared" si="270"/>
        <v>36.04</v>
      </c>
      <c r="R260">
        <v>705</v>
      </c>
      <c r="S260">
        <f t="shared" si="271"/>
        <v>705</v>
      </c>
      <c r="T260" t="s">
        <v>73</v>
      </c>
      <c r="U260" t="e">
        <f t="shared" si="272"/>
        <v>#VALUE!</v>
      </c>
      <c r="V260" t="s">
        <v>73</v>
      </c>
      <c r="W260" t="e">
        <f t="shared" ref="W260" si="351">V260*1.3</f>
        <v>#VALUE!</v>
      </c>
      <c r="X260">
        <v>15186</v>
      </c>
      <c r="Y260">
        <f t="shared" si="274"/>
        <v>18223.2</v>
      </c>
      <c r="Z260">
        <v>70</v>
      </c>
      <c r="AA260">
        <f t="shared" si="275"/>
        <v>37.1</v>
      </c>
      <c r="AB260">
        <v>703</v>
      </c>
      <c r="AC260">
        <f t="shared" si="276"/>
        <v>703</v>
      </c>
      <c r="AD260" t="s">
        <v>73</v>
      </c>
      <c r="AE260" t="e">
        <f t="shared" si="277"/>
        <v>#VALUE!</v>
      </c>
      <c r="AF260" t="s">
        <v>73</v>
      </c>
      <c r="AG260" t="e">
        <f t="shared" si="278"/>
        <v>#VALUE!</v>
      </c>
      <c r="AH260">
        <v>15701</v>
      </c>
      <c r="AI260">
        <f t="shared" si="279"/>
        <v>18841.2</v>
      </c>
      <c r="AJ260">
        <v>50</v>
      </c>
      <c r="AK260">
        <f t="shared" si="280"/>
        <v>26.5</v>
      </c>
      <c r="AL260">
        <v>531</v>
      </c>
      <c r="AM260">
        <f t="shared" si="281"/>
        <v>531</v>
      </c>
      <c r="AN260" t="s">
        <v>73</v>
      </c>
      <c r="AO260" t="e">
        <f t="shared" si="282"/>
        <v>#VALUE!</v>
      </c>
      <c r="AP260" t="s">
        <v>73</v>
      </c>
      <c r="AQ260" t="e">
        <f t="shared" si="283"/>
        <v>#VALUE!</v>
      </c>
      <c r="AR260">
        <v>13399</v>
      </c>
      <c r="AS260">
        <f t="shared" si="284"/>
        <v>16078.8</v>
      </c>
      <c r="AT260">
        <v>53</v>
      </c>
      <c r="AU260">
        <f t="shared" si="285"/>
        <v>28.09</v>
      </c>
      <c r="AV260">
        <v>514</v>
      </c>
      <c r="AW260">
        <f t="shared" si="286"/>
        <v>514</v>
      </c>
      <c r="AX260" t="s">
        <v>73</v>
      </c>
      <c r="AY260" t="e">
        <f t="shared" si="287"/>
        <v>#VALUE!</v>
      </c>
      <c r="AZ260" t="s">
        <v>73</v>
      </c>
      <c r="BA260" t="e">
        <f t="shared" si="288"/>
        <v>#VALUE!</v>
      </c>
    </row>
    <row r="261" spans="1:53" x14ac:dyDescent="0.3">
      <c r="A261" t="s">
        <v>74</v>
      </c>
      <c r="B261" t="s">
        <v>584</v>
      </c>
      <c r="C261" t="s">
        <v>585</v>
      </c>
      <c r="D261" t="s">
        <v>73</v>
      </c>
      <c r="E261" t="e">
        <f t="shared" ref="E261:E324" si="352">D261*1.2</f>
        <v>#VALUE!</v>
      </c>
      <c r="F261">
        <v>2</v>
      </c>
      <c r="G261">
        <f t="shared" ref="G261:G324" si="353">F261*0.53</f>
        <v>1.06</v>
      </c>
      <c r="H261">
        <v>19</v>
      </c>
      <c r="I261">
        <f t="shared" ref="I261:I324" si="354">H261</f>
        <v>19</v>
      </c>
      <c r="J261" t="s">
        <v>73</v>
      </c>
      <c r="K261" t="e">
        <f t="shared" ref="K261:K324" si="355">J261*1.5</f>
        <v>#VALUE!</v>
      </c>
      <c r="L261" t="s">
        <v>73</v>
      </c>
      <c r="M261" t="e">
        <f t="shared" ref="M261:M324" si="356">L261*1.3</f>
        <v>#VALUE!</v>
      </c>
      <c r="N261" t="s">
        <v>73</v>
      </c>
      <c r="O261" t="e">
        <f t="shared" ref="O261:O324" si="357">N261*1.2</f>
        <v>#VALUE!</v>
      </c>
      <c r="P261">
        <v>2</v>
      </c>
      <c r="Q261">
        <f t="shared" ref="Q261:Q324" si="358">P261*0.53</f>
        <v>1.06</v>
      </c>
      <c r="R261">
        <v>14</v>
      </c>
      <c r="S261">
        <f t="shared" ref="S261:S324" si="359">R261</f>
        <v>14</v>
      </c>
      <c r="T261" t="s">
        <v>73</v>
      </c>
      <c r="U261" t="e">
        <f t="shared" ref="U261:U324" si="360">T261*1.5</f>
        <v>#VALUE!</v>
      </c>
      <c r="V261" t="s">
        <v>73</v>
      </c>
      <c r="W261" t="e">
        <f t="shared" ref="W261" si="361">V261*1.3</f>
        <v>#VALUE!</v>
      </c>
      <c r="X261" t="s">
        <v>73</v>
      </c>
      <c r="Y261" t="e">
        <f t="shared" ref="Y261:Y324" si="362">X261*1.2</f>
        <v>#VALUE!</v>
      </c>
      <c r="Z261">
        <v>2</v>
      </c>
      <c r="AA261">
        <f t="shared" ref="AA261:AA324" si="363">Z261*0.53</f>
        <v>1.06</v>
      </c>
      <c r="AB261">
        <v>16</v>
      </c>
      <c r="AC261">
        <f t="shared" ref="AC261:AC324" si="364">AB261</f>
        <v>16</v>
      </c>
      <c r="AD261" t="s">
        <v>73</v>
      </c>
      <c r="AE261" t="e">
        <f t="shared" ref="AE261:AE324" si="365">AD261*1.5</f>
        <v>#VALUE!</v>
      </c>
      <c r="AF261" t="s">
        <v>73</v>
      </c>
      <c r="AG261" t="e">
        <f t="shared" ref="AG261:AG324" si="366">AF261*1.3</f>
        <v>#VALUE!</v>
      </c>
      <c r="AH261" t="s">
        <v>73</v>
      </c>
      <c r="AI261" t="e">
        <f t="shared" ref="AI261:AI324" si="367">AH261*1.2</f>
        <v>#VALUE!</v>
      </c>
      <c r="AJ261">
        <v>2</v>
      </c>
      <c r="AK261">
        <f t="shared" ref="AK261:AK324" si="368">AJ261*0.53</f>
        <v>1.06</v>
      </c>
      <c r="AL261">
        <v>17</v>
      </c>
      <c r="AM261">
        <f t="shared" ref="AM261:AM324" si="369">AL261</f>
        <v>17</v>
      </c>
      <c r="AN261" t="s">
        <v>73</v>
      </c>
      <c r="AO261" t="e">
        <f t="shared" ref="AO261:AO324" si="370">AN261*1.5</f>
        <v>#VALUE!</v>
      </c>
      <c r="AP261" t="s">
        <v>73</v>
      </c>
      <c r="AQ261" t="e">
        <f t="shared" ref="AQ261:AQ324" si="371">AP261*1.3</f>
        <v>#VALUE!</v>
      </c>
      <c r="AR261" t="s">
        <v>73</v>
      </c>
      <c r="AS261" t="e">
        <f t="shared" ref="AS261:AS324" si="372">AR261*1.2</f>
        <v>#VALUE!</v>
      </c>
      <c r="AT261">
        <v>2</v>
      </c>
      <c r="AU261">
        <f t="shared" ref="AU261:AU324" si="373">AT261*0.53</f>
        <v>1.06</v>
      </c>
      <c r="AV261">
        <v>17</v>
      </c>
      <c r="AW261">
        <f t="shared" ref="AW261:AW324" si="374">AV261</f>
        <v>17</v>
      </c>
      <c r="AX261" t="s">
        <v>73</v>
      </c>
      <c r="AY261" t="e">
        <f t="shared" ref="AY261:AY324" si="375">AX261*1.5</f>
        <v>#VALUE!</v>
      </c>
      <c r="AZ261" t="s">
        <v>73</v>
      </c>
      <c r="BA261" t="e">
        <f t="shared" ref="BA261:BA324" si="376">AZ261*1.3</f>
        <v>#VALUE!</v>
      </c>
    </row>
    <row r="262" spans="1:53" x14ac:dyDescent="0.3">
      <c r="A262" t="s">
        <v>74</v>
      </c>
      <c r="B262" t="s">
        <v>586</v>
      </c>
      <c r="C262" t="s">
        <v>587</v>
      </c>
      <c r="D262">
        <v>1848</v>
      </c>
      <c r="E262">
        <f t="shared" si="352"/>
        <v>2217.6</v>
      </c>
      <c r="F262">
        <v>6</v>
      </c>
      <c r="G262">
        <f t="shared" si="353"/>
        <v>3.18</v>
      </c>
      <c r="H262" t="s">
        <v>73</v>
      </c>
      <c r="I262" t="str">
        <f t="shared" si="354"/>
        <v>-</v>
      </c>
      <c r="J262" t="s">
        <v>73</v>
      </c>
      <c r="K262" t="e">
        <f t="shared" si="355"/>
        <v>#VALUE!</v>
      </c>
      <c r="L262" t="s">
        <v>73</v>
      </c>
      <c r="M262" t="e">
        <f t="shared" si="356"/>
        <v>#VALUE!</v>
      </c>
      <c r="N262">
        <v>1684</v>
      </c>
      <c r="O262">
        <f t="shared" si="357"/>
        <v>2020.8</v>
      </c>
      <c r="P262">
        <v>6</v>
      </c>
      <c r="Q262">
        <f t="shared" si="358"/>
        <v>3.18</v>
      </c>
      <c r="R262" t="s">
        <v>73</v>
      </c>
      <c r="S262" t="str">
        <f t="shared" si="359"/>
        <v>-</v>
      </c>
      <c r="T262" t="s">
        <v>73</v>
      </c>
      <c r="U262" t="e">
        <f t="shared" si="360"/>
        <v>#VALUE!</v>
      </c>
      <c r="V262" t="s">
        <v>73</v>
      </c>
      <c r="W262" t="e">
        <f t="shared" ref="W262" si="377">V262*1.3</f>
        <v>#VALUE!</v>
      </c>
      <c r="X262">
        <v>1875</v>
      </c>
      <c r="Y262">
        <f t="shared" si="362"/>
        <v>2250</v>
      </c>
      <c r="Z262" t="s">
        <v>73</v>
      </c>
      <c r="AA262" t="e">
        <f t="shared" si="363"/>
        <v>#VALUE!</v>
      </c>
      <c r="AB262" t="s">
        <v>73</v>
      </c>
      <c r="AC262" t="str">
        <f t="shared" si="364"/>
        <v>-</v>
      </c>
      <c r="AD262" t="s">
        <v>73</v>
      </c>
      <c r="AE262" t="e">
        <f t="shared" si="365"/>
        <v>#VALUE!</v>
      </c>
      <c r="AF262" t="s">
        <v>73</v>
      </c>
      <c r="AG262" t="e">
        <f t="shared" si="366"/>
        <v>#VALUE!</v>
      </c>
      <c r="AH262">
        <v>1858</v>
      </c>
      <c r="AI262">
        <f t="shared" si="367"/>
        <v>2229.6</v>
      </c>
      <c r="AJ262" t="s">
        <v>73</v>
      </c>
      <c r="AK262" t="e">
        <f t="shared" si="368"/>
        <v>#VALUE!</v>
      </c>
      <c r="AL262" t="s">
        <v>73</v>
      </c>
      <c r="AM262" t="str">
        <f t="shared" si="369"/>
        <v>-</v>
      </c>
      <c r="AN262" t="s">
        <v>73</v>
      </c>
      <c r="AO262" t="e">
        <f t="shared" si="370"/>
        <v>#VALUE!</v>
      </c>
      <c r="AP262" t="s">
        <v>73</v>
      </c>
      <c r="AQ262" t="e">
        <f t="shared" si="371"/>
        <v>#VALUE!</v>
      </c>
      <c r="AR262">
        <v>2000</v>
      </c>
      <c r="AS262">
        <f t="shared" si="372"/>
        <v>2400</v>
      </c>
      <c r="AT262" t="s">
        <v>73</v>
      </c>
      <c r="AU262" t="e">
        <f t="shared" si="373"/>
        <v>#VALUE!</v>
      </c>
      <c r="AV262" t="s">
        <v>73</v>
      </c>
      <c r="AW262" t="str">
        <f t="shared" si="374"/>
        <v>-</v>
      </c>
      <c r="AX262" t="s">
        <v>73</v>
      </c>
      <c r="AY262" t="e">
        <f t="shared" si="375"/>
        <v>#VALUE!</v>
      </c>
      <c r="AZ262" t="s">
        <v>73</v>
      </c>
      <c r="BA262" t="e">
        <f t="shared" si="376"/>
        <v>#VALUE!</v>
      </c>
    </row>
    <row r="263" spans="1:53" x14ac:dyDescent="0.3">
      <c r="A263" t="s">
        <v>74</v>
      </c>
      <c r="B263" t="s">
        <v>588</v>
      </c>
      <c r="C263" t="s">
        <v>589</v>
      </c>
      <c r="D263" t="s">
        <v>73</v>
      </c>
      <c r="E263" t="e">
        <f t="shared" si="352"/>
        <v>#VALUE!</v>
      </c>
      <c r="F263">
        <v>4</v>
      </c>
      <c r="G263">
        <f t="shared" si="353"/>
        <v>2.12</v>
      </c>
      <c r="H263" t="s">
        <v>73</v>
      </c>
      <c r="I263" t="str">
        <f t="shared" si="354"/>
        <v>-</v>
      </c>
      <c r="J263" t="s">
        <v>73</v>
      </c>
      <c r="K263" t="e">
        <f t="shared" si="355"/>
        <v>#VALUE!</v>
      </c>
      <c r="L263" t="s">
        <v>73</v>
      </c>
      <c r="M263" t="e">
        <f t="shared" si="356"/>
        <v>#VALUE!</v>
      </c>
      <c r="N263" t="s">
        <v>73</v>
      </c>
      <c r="O263" t="e">
        <f t="shared" si="357"/>
        <v>#VALUE!</v>
      </c>
      <c r="P263">
        <v>5</v>
      </c>
      <c r="Q263">
        <f t="shared" si="358"/>
        <v>2.6500000000000004</v>
      </c>
      <c r="R263" t="s">
        <v>73</v>
      </c>
      <c r="S263" t="str">
        <f t="shared" si="359"/>
        <v>-</v>
      </c>
      <c r="T263" t="s">
        <v>73</v>
      </c>
      <c r="U263" t="e">
        <f t="shared" si="360"/>
        <v>#VALUE!</v>
      </c>
      <c r="V263" t="s">
        <v>73</v>
      </c>
      <c r="W263" t="e">
        <f t="shared" ref="W263" si="378">V263*1.3</f>
        <v>#VALUE!</v>
      </c>
      <c r="X263" t="s">
        <v>73</v>
      </c>
      <c r="Y263" t="e">
        <f t="shared" si="362"/>
        <v>#VALUE!</v>
      </c>
      <c r="Z263">
        <v>7</v>
      </c>
      <c r="AA263">
        <f t="shared" si="363"/>
        <v>3.71</v>
      </c>
      <c r="AB263" t="s">
        <v>73</v>
      </c>
      <c r="AC263" t="str">
        <f t="shared" si="364"/>
        <v>-</v>
      </c>
      <c r="AD263" t="s">
        <v>73</v>
      </c>
      <c r="AE263" t="e">
        <f t="shared" si="365"/>
        <v>#VALUE!</v>
      </c>
      <c r="AF263" t="s">
        <v>73</v>
      </c>
      <c r="AG263" t="e">
        <f t="shared" si="366"/>
        <v>#VALUE!</v>
      </c>
      <c r="AH263" t="s">
        <v>73</v>
      </c>
      <c r="AI263" t="e">
        <f t="shared" si="367"/>
        <v>#VALUE!</v>
      </c>
      <c r="AJ263" t="s">
        <v>73</v>
      </c>
      <c r="AK263" t="e">
        <f t="shared" si="368"/>
        <v>#VALUE!</v>
      </c>
      <c r="AL263" t="s">
        <v>73</v>
      </c>
      <c r="AM263" t="str">
        <f t="shared" si="369"/>
        <v>-</v>
      </c>
      <c r="AN263" t="s">
        <v>73</v>
      </c>
      <c r="AO263" t="e">
        <f t="shared" si="370"/>
        <v>#VALUE!</v>
      </c>
      <c r="AP263" t="s">
        <v>73</v>
      </c>
      <c r="AQ263" t="e">
        <f t="shared" si="371"/>
        <v>#VALUE!</v>
      </c>
      <c r="AR263" t="s">
        <v>73</v>
      </c>
      <c r="AS263" t="e">
        <f t="shared" si="372"/>
        <v>#VALUE!</v>
      </c>
      <c r="AT263">
        <v>2</v>
      </c>
      <c r="AU263">
        <f t="shared" si="373"/>
        <v>1.06</v>
      </c>
      <c r="AV263" t="s">
        <v>73</v>
      </c>
      <c r="AW263" t="str">
        <f t="shared" si="374"/>
        <v>-</v>
      </c>
      <c r="AX263" t="s">
        <v>73</v>
      </c>
      <c r="AY263" t="e">
        <f t="shared" si="375"/>
        <v>#VALUE!</v>
      </c>
      <c r="AZ263" t="s">
        <v>73</v>
      </c>
      <c r="BA263" t="e">
        <f t="shared" si="376"/>
        <v>#VALUE!</v>
      </c>
    </row>
    <row r="264" spans="1:53" x14ac:dyDescent="0.3">
      <c r="A264" t="s">
        <v>74</v>
      </c>
      <c r="B264" t="s">
        <v>590</v>
      </c>
      <c r="C264" t="s">
        <v>591</v>
      </c>
      <c r="D264" t="s">
        <v>525</v>
      </c>
      <c r="E264" t="e">
        <f t="shared" si="352"/>
        <v>#VALUE!</v>
      </c>
      <c r="F264" t="s">
        <v>525</v>
      </c>
      <c r="G264" t="e">
        <f t="shared" si="353"/>
        <v>#VALUE!</v>
      </c>
      <c r="H264" t="s">
        <v>525</v>
      </c>
      <c r="I264" t="str">
        <f t="shared" si="354"/>
        <v>...</v>
      </c>
      <c r="J264" t="s">
        <v>525</v>
      </c>
      <c r="K264" t="e">
        <f t="shared" si="355"/>
        <v>#VALUE!</v>
      </c>
      <c r="L264" t="s">
        <v>525</v>
      </c>
      <c r="M264" t="e">
        <f t="shared" si="356"/>
        <v>#VALUE!</v>
      </c>
      <c r="N264" t="s">
        <v>525</v>
      </c>
      <c r="O264" t="e">
        <f t="shared" si="357"/>
        <v>#VALUE!</v>
      </c>
      <c r="P264" t="s">
        <v>525</v>
      </c>
      <c r="Q264" t="e">
        <f t="shared" si="358"/>
        <v>#VALUE!</v>
      </c>
      <c r="R264" t="s">
        <v>525</v>
      </c>
      <c r="S264" t="str">
        <f t="shared" si="359"/>
        <v>...</v>
      </c>
      <c r="T264" t="s">
        <v>525</v>
      </c>
      <c r="U264" t="e">
        <f t="shared" si="360"/>
        <v>#VALUE!</v>
      </c>
      <c r="V264" t="s">
        <v>525</v>
      </c>
      <c r="W264" t="e">
        <f t="shared" ref="W264" si="379">V264*1.3</f>
        <v>#VALUE!</v>
      </c>
      <c r="X264" t="s">
        <v>525</v>
      </c>
      <c r="Y264" t="e">
        <f t="shared" si="362"/>
        <v>#VALUE!</v>
      </c>
      <c r="Z264" t="s">
        <v>525</v>
      </c>
      <c r="AA264" t="e">
        <f t="shared" si="363"/>
        <v>#VALUE!</v>
      </c>
      <c r="AB264" t="s">
        <v>525</v>
      </c>
      <c r="AC264" t="str">
        <f t="shared" si="364"/>
        <v>...</v>
      </c>
      <c r="AD264" t="s">
        <v>525</v>
      </c>
      <c r="AE264" t="e">
        <f t="shared" si="365"/>
        <v>#VALUE!</v>
      </c>
      <c r="AF264" t="s">
        <v>525</v>
      </c>
      <c r="AG264" t="e">
        <f t="shared" si="366"/>
        <v>#VALUE!</v>
      </c>
      <c r="AH264" t="s">
        <v>525</v>
      </c>
      <c r="AI264" t="e">
        <f t="shared" si="367"/>
        <v>#VALUE!</v>
      </c>
      <c r="AJ264" t="s">
        <v>525</v>
      </c>
      <c r="AK264" t="e">
        <f t="shared" si="368"/>
        <v>#VALUE!</v>
      </c>
      <c r="AL264" t="s">
        <v>525</v>
      </c>
      <c r="AM264" t="str">
        <f t="shared" si="369"/>
        <v>...</v>
      </c>
      <c r="AN264" t="s">
        <v>525</v>
      </c>
      <c r="AO264" t="e">
        <f t="shared" si="370"/>
        <v>#VALUE!</v>
      </c>
      <c r="AP264" t="s">
        <v>525</v>
      </c>
      <c r="AQ264" t="e">
        <f t="shared" si="371"/>
        <v>#VALUE!</v>
      </c>
      <c r="AR264" t="s">
        <v>73</v>
      </c>
      <c r="AS264" t="e">
        <f t="shared" si="372"/>
        <v>#VALUE!</v>
      </c>
      <c r="AT264" t="s">
        <v>73</v>
      </c>
      <c r="AU264" t="e">
        <f t="shared" si="373"/>
        <v>#VALUE!</v>
      </c>
      <c r="AV264" t="s">
        <v>73</v>
      </c>
      <c r="AW264" t="str">
        <f t="shared" si="374"/>
        <v>-</v>
      </c>
      <c r="AX264" t="s">
        <v>73</v>
      </c>
      <c r="AY264" t="e">
        <f t="shared" si="375"/>
        <v>#VALUE!</v>
      </c>
      <c r="AZ264" t="s">
        <v>73</v>
      </c>
      <c r="BA264" t="e">
        <f t="shared" si="376"/>
        <v>#VALUE!</v>
      </c>
    </row>
    <row r="265" spans="1:53" x14ac:dyDescent="0.3">
      <c r="A265" t="s">
        <v>74</v>
      </c>
      <c r="B265" t="s">
        <v>592</v>
      </c>
      <c r="C265" t="s">
        <v>593</v>
      </c>
      <c r="D265">
        <v>4425</v>
      </c>
      <c r="E265">
        <f t="shared" si="352"/>
        <v>5310</v>
      </c>
      <c r="F265">
        <v>2</v>
      </c>
      <c r="G265">
        <f t="shared" si="353"/>
        <v>1.06</v>
      </c>
      <c r="H265" t="s">
        <v>73</v>
      </c>
      <c r="I265" t="str">
        <f t="shared" si="354"/>
        <v>-</v>
      </c>
      <c r="J265" t="s">
        <v>73</v>
      </c>
      <c r="K265" t="e">
        <f t="shared" si="355"/>
        <v>#VALUE!</v>
      </c>
      <c r="L265" t="s">
        <v>73</v>
      </c>
      <c r="M265" t="e">
        <f t="shared" si="356"/>
        <v>#VALUE!</v>
      </c>
      <c r="N265">
        <v>3895</v>
      </c>
      <c r="O265">
        <f t="shared" si="357"/>
        <v>4674</v>
      </c>
      <c r="P265">
        <v>4</v>
      </c>
      <c r="Q265">
        <f t="shared" si="358"/>
        <v>2.12</v>
      </c>
      <c r="R265" t="s">
        <v>73</v>
      </c>
      <c r="S265" t="str">
        <f t="shared" si="359"/>
        <v>-</v>
      </c>
      <c r="T265" t="s">
        <v>73</v>
      </c>
      <c r="U265" t="e">
        <f t="shared" si="360"/>
        <v>#VALUE!</v>
      </c>
      <c r="V265" t="s">
        <v>73</v>
      </c>
      <c r="W265" t="e">
        <f t="shared" ref="W265" si="380">V265*1.3</f>
        <v>#VALUE!</v>
      </c>
      <c r="X265">
        <v>3895</v>
      </c>
      <c r="Y265">
        <f t="shared" si="362"/>
        <v>4674</v>
      </c>
      <c r="Z265">
        <v>4</v>
      </c>
      <c r="AA265">
        <f t="shared" si="363"/>
        <v>2.12</v>
      </c>
      <c r="AB265" t="s">
        <v>73</v>
      </c>
      <c r="AC265" t="str">
        <f t="shared" si="364"/>
        <v>-</v>
      </c>
      <c r="AD265" t="s">
        <v>73</v>
      </c>
      <c r="AE265" t="e">
        <f t="shared" si="365"/>
        <v>#VALUE!</v>
      </c>
      <c r="AF265" t="s">
        <v>73</v>
      </c>
      <c r="AG265" t="e">
        <f t="shared" si="366"/>
        <v>#VALUE!</v>
      </c>
      <c r="AH265">
        <v>4427</v>
      </c>
      <c r="AI265">
        <f t="shared" si="367"/>
        <v>5312.4</v>
      </c>
      <c r="AJ265">
        <v>4</v>
      </c>
      <c r="AK265">
        <f t="shared" si="368"/>
        <v>2.12</v>
      </c>
      <c r="AL265" t="s">
        <v>73</v>
      </c>
      <c r="AM265" t="str">
        <f t="shared" si="369"/>
        <v>-</v>
      </c>
      <c r="AN265" t="s">
        <v>73</v>
      </c>
      <c r="AO265" t="e">
        <f t="shared" si="370"/>
        <v>#VALUE!</v>
      </c>
      <c r="AP265" t="s">
        <v>73</v>
      </c>
      <c r="AQ265" t="e">
        <f t="shared" si="371"/>
        <v>#VALUE!</v>
      </c>
      <c r="AR265">
        <v>4410</v>
      </c>
      <c r="AS265">
        <f t="shared" si="372"/>
        <v>5292</v>
      </c>
      <c r="AT265">
        <v>4</v>
      </c>
      <c r="AU265">
        <f t="shared" si="373"/>
        <v>2.12</v>
      </c>
      <c r="AV265" t="s">
        <v>73</v>
      </c>
      <c r="AW265" t="str">
        <f t="shared" si="374"/>
        <v>-</v>
      </c>
      <c r="AX265" t="s">
        <v>73</v>
      </c>
      <c r="AY265" t="e">
        <f t="shared" si="375"/>
        <v>#VALUE!</v>
      </c>
      <c r="AZ265" t="s">
        <v>73</v>
      </c>
      <c r="BA265" t="e">
        <f t="shared" si="376"/>
        <v>#VALUE!</v>
      </c>
    </row>
    <row r="266" spans="1:53" x14ac:dyDescent="0.3">
      <c r="A266" t="s">
        <v>74</v>
      </c>
      <c r="B266" t="s">
        <v>594</v>
      </c>
      <c r="C266" t="s">
        <v>595</v>
      </c>
      <c r="D266">
        <v>8125</v>
      </c>
      <c r="E266">
        <f t="shared" si="352"/>
        <v>9750</v>
      </c>
      <c r="F266">
        <v>20</v>
      </c>
      <c r="G266">
        <f t="shared" si="353"/>
        <v>10.600000000000001</v>
      </c>
      <c r="H266">
        <v>193</v>
      </c>
      <c r="I266">
        <f t="shared" si="354"/>
        <v>193</v>
      </c>
      <c r="J266" t="s">
        <v>73</v>
      </c>
      <c r="K266" t="e">
        <f t="shared" si="355"/>
        <v>#VALUE!</v>
      </c>
      <c r="L266" t="s">
        <v>73</v>
      </c>
      <c r="M266" t="e">
        <f t="shared" si="356"/>
        <v>#VALUE!</v>
      </c>
      <c r="N266">
        <v>7886</v>
      </c>
      <c r="O266">
        <f t="shared" si="357"/>
        <v>9463.1999999999989</v>
      </c>
      <c r="P266">
        <v>26</v>
      </c>
      <c r="Q266">
        <f t="shared" si="358"/>
        <v>13.780000000000001</v>
      </c>
      <c r="R266">
        <v>251</v>
      </c>
      <c r="S266">
        <f t="shared" si="359"/>
        <v>251</v>
      </c>
      <c r="T266" t="s">
        <v>73</v>
      </c>
      <c r="U266" t="e">
        <f t="shared" si="360"/>
        <v>#VALUE!</v>
      </c>
      <c r="V266" t="s">
        <v>73</v>
      </c>
      <c r="W266" t="e">
        <f t="shared" ref="W266" si="381">V266*1.3</f>
        <v>#VALUE!</v>
      </c>
      <c r="X266">
        <v>9374</v>
      </c>
      <c r="Y266">
        <f t="shared" si="362"/>
        <v>11248.8</v>
      </c>
      <c r="Z266">
        <v>26</v>
      </c>
      <c r="AA266">
        <f t="shared" si="363"/>
        <v>13.780000000000001</v>
      </c>
      <c r="AB266">
        <v>251</v>
      </c>
      <c r="AC266">
        <f t="shared" si="364"/>
        <v>251</v>
      </c>
      <c r="AD266" t="s">
        <v>73</v>
      </c>
      <c r="AE266" t="e">
        <f t="shared" si="365"/>
        <v>#VALUE!</v>
      </c>
      <c r="AF266" t="s">
        <v>73</v>
      </c>
      <c r="AG266" t="e">
        <f t="shared" si="366"/>
        <v>#VALUE!</v>
      </c>
      <c r="AH266">
        <v>9374</v>
      </c>
      <c r="AI266">
        <f t="shared" si="367"/>
        <v>11248.8</v>
      </c>
      <c r="AJ266">
        <v>26</v>
      </c>
      <c r="AK266">
        <f t="shared" si="368"/>
        <v>13.780000000000001</v>
      </c>
      <c r="AL266">
        <v>251</v>
      </c>
      <c r="AM266">
        <f t="shared" si="369"/>
        <v>251</v>
      </c>
      <c r="AN266" t="s">
        <v>73</v>
      </c>
      <c r="AO266" t="e">
        <f t="shared" si="370"/>
        <v>#VALUE!</v>
      </c>
      <c r="AP266" t="s">
        <v>73</v>
      </c>
      <c r="AQ266" t="e">
        <f t="shared" si="371"/>
        <v>#VALUE!</v>
      </c>
      <c r="AR266">
        <v>6926</v>
      </c>
      <c r="AS266">
        <f t="shared" si="372"/>
        <v>8311.1999999999989</v>
      </c>
      <c r="AT266">
        <v>26</v>
      </c>
      <c r="AU266">
        <f t="shared" si="373"/>
        <v>13.780000000000001</v>
      </c>
      <c r="AV266">
        <v>235</v>
      </c>
      <c r="AW266">
        <f t="shared" si="374"/>
        <v>235</v>
      </c>
      <c r="AX266" t="s">
        <v>73</v>
      </c>
      <c r="AY266" t="e">
        <f t="shared" si="375"/>
        <v>#VALUE!</v>
      </c>
      <c r="AZ266" t="s">
        <v>73</v>
      </c>
      <c r="BA266" t="e">
        <f t="shared" si="376"/>
        <v>#VALUE!</v>
      </c>
    </row>
    <row r="267" spans="1:53" x14ac:dyDescent="0.3">
      <c r="A267" t="s">
        <v>74</v>
      </c>
      <c r="B267" t="s">
        <v>596</v>
      </c>
      <c r="C267" t="s">
        <v>597</v>
      </c>
      <c r="D267">
        <v>120</v>
      </c>
      <c r="E267">
        <f t="shared" si="352"/>
        <v>144</v>
      </c>
      <c r="F267">
        <v>3</v>
      </c>
      <c r="G267">
        <f t="shared" si="353"/>
        <v>1.59</v>
      </c>
      <c r="H267">
        <v>18</v>
      </c>
      <c r="I267">
        <f t="shared" si="354"/>
        <v>18</v>
      </c>
      <c r="J267" t="s">
        <v>73</v>
      </c>
      <c r="K267" t="e">
        <f t="shared" si="355"/>
        <v>#VALUE!</v>
      </c>
      <c r="L267" t="s">
        <v>73</v>
      </c>
      <c r="M267" t="e">
        <f t="shared" si="356"/>
        <v>#VALUE!</v>
      </c>
      <c r="N267">
        <v>59</v>
      </c>
      <c r="O267">
        <f t="shared" si="357"/>
        <v>70.8</v>
      </c>
      <c r="P267">
        <v>3</v>
      </c>
      <c r="Q267">
        <f t="shared" si="358"/>
        <v>1.59</v>
      </c>
      <c r="R267">
        <v>50</v>
      </c>
      <c r="S267">
        <f t="shared" si="359"/>
        <v>50</v>
      </c>
      <c r="T267" t="s">
        <v>73</v>
      </c>
      <c r="U267" t="e">
        <f t="shared" si="360"/>
        <v>#VALUE!</v>
      </c>
      <c r="V267" t="s">
        <v>73</v>
      </c>
      <c r="W267" t="e">
        <f t="shared" ref="W267" si="382">V267*1.3</f>
        <v>#VALUE!</v>
      </c>
      <c r="X267">
        <v>42</v>
      </c>
      <c r="Y267">
        <f t="shared" si="362"/>
        <v>50.4</v>
      </c>
      <c r="Z267">
        <v>9</v>
      </c>
      <c r="AA267">
        <f t="shared" si="363"/>
        <v>4.7700000000000005</v>
      </c>
      <c r="AB267">
        <v>49</v>
      </c>
      <c r="AC267">
        <f t="shared" si="364"/>
        <v>49</v>
      </c>
      <c r="AD267" t="s">
        <v>73</v>
      </c>
      <c r="AE267" t="e">
        <f t="shared" si="365"/>
        <v>#VALUE!</v>
      </c>
      <c r="AF267" t="s">
        <v>73</v>
      </c>
      <c r="AG267" t="e">
        <f t="shared" si="366"/>
        <v>#VALUE!</v>
      </c>
      <c r="AH267">
        <v>42</v>
      </c>
      <c r="AI267">
        <f t="shared" si="367"/>
        <v>50.4</v>
      </c>
      <c r="AJ267">
        <v>2</v>
      </c>
      <c r="AK267">
        <f t="shared" si="368"/>
        <v>1.06</v>
      </c>
      <c r="AL267">
        <v>50</v>
      </c>
      <c r="AM267">
        <f t="shared" si="369"/>
        <v>50</v>
      </c>
      <c r="AN267" t="s">
        <v>73</v>
      </c>
      <c r="AO267" t="e">
        <f t="shared" si="370"/>
        <v>#VALUE!</v>
      </c>
      <c r="AP267" t="s">
        <v>73</v>
      </c>
      <c r="AQ267" t="e">
        <f t="shared" si="371"/>
        <v>#VALUE!</v>
      </c>
      <c r="AR267">
        <v>63</v>
      </c>
      <c r="AS267">
        <f t="shared" si="372"/>
        <v>75.599999999999994</v>
      </c>
      <c r="AT267">
        <v>2</v>
      </c>
      <c r="AU267">
        <f t="shared" si="373"/>
        <v>1.06</v>
      </c>
      <c r="AV267">
        <v>50</v>
      </c>
      <c r="AW267">
        <f t="shared" si="374"/>
        <v>50</v>
      </c>
      <c r="AX267" t="s">
        <v>73</v>
      </c>
      <c r="AY267" t="e">
        <f t="shared" si="375"/>
        <v>#VALUE!</v>
      </c>
      <c r="AZ267" t="s">
        <v>73</v>
      </c>
      <c r="BA267" t="e">
        <f t="shared" si="376"/>
        <v>#VALUE!</v>
      </c>
    </row>
    <row r="268" spans="1:53" x14ac:dyDescent="0.3">
      <c r="A268" t="s">
        <v>74</v>
      </c>
      <c r="B268" t="s">
        <v>598</v>
      </c>
      <c r="C268" t="s">
        <v>599</v>
      </c>
      <c r="D268" t="s">
        <v>73</v>
      </c>
      <c r="E268" t="e">
        <f t="shared" si="352"/>
        <v>#VALUE!</v>
      </c>
      <c r="F268">
        <v>17</v>
      </c>
      <c r="G268">
        <f t="shared" si="353"/>
        <v>9.01</v>
      </c>
      <c r="H268">
        <v>155</v>
      </c>
      <c r="I268">
        <f t="shared" si="354"/>
        <v>155</v>
      </c>
      <c r="J268" t="s">
        <v>73</v>
      </c>
      <c r="K268" t="e">
        <f t="shared" si="355"/>
        <v>#VALUE!</v>
      </c>
      <c r="L268" t="s">
        <v>73</v>
      </c>
      <c r="M268" t="e">
        <f t="shared" si="356"/>
        <v>#VALUE!</v>
      </c>
      <c r="N268" t="s">
        <v>73</v>
      </c>
      <c r="O268" t="e">
        <f t="shared" si="357"/>
        <v>#VALUE!</v>
      </c>
      <c r="P268">
        <v>17</v>
      </c>
      <c r="Q268">
        <f t="shared" si="358"/>
        <v>9.01</v>
      </c>
      <c r="R268">
        <v>175</v>
      </c>
      <c r="S268">
        <f t="shared" si="359"/>
        <v>175</v>
      </c>
      <c r="T268" t="s">
        <v>73</v>
      </c>
      <c r="U268" t="e">
        <f t="shared" si="360"/>
        <v>#VALUE!</v>
      </c>
      <c r="V268" t="s">
        <v>73</v>
      </c>
      <c r="W268" t="e">
        <f t="shared" ref="W268" si="383">V268*1.3</f>
        <v>#VALUE!</v>
      </c>
      <c r="X268" t="s">
        <v>73</v>
      </c>
      <c r="Y268" t="e">
        <f t="shared" si="362"/>
        <v>#VALUE!</v>
      </c>
      <c r="Z268">
        <v>17</v>
      </c>
      <c r="AA268">
        <f t="shared" si="363"/>
        <v>9.01</v>
      </c>
      <c r="AB268">
        <v>172</v>
      </c>
      <c r="AC268">
        <f t="shared" si="364"/>
        <v>172</v>
      </c>
      <c r="AD268" t="s">
        <v>73</v>
      </c>
      <c r="AE268" t="e">
        <f t="shared" si="365"/>
        <v>#VALUE!</v>
      </c>
      <c r="AF268" t="s">
        <v>73</v>
      </c>
      <c r="AG268" t="e">
        <f t="shared" si="366"/>
        <v>#VALUE!</v>
      </c>
      <c r="AH268" t="s">
        <v>73</v>
      </c>
      <c r="AI268" t="e">
        <f t="shared" si="367"/>
        <v>#VALUE!</v>
      </c>
      <c r="AJ268">
        <v>12</v>
      </c>
      <c r="AK268">
        <f t="shared" si="368"/>
        <v>6.36</v>
      </c>
      <c r="AL268">
        <v>111</v>
      </c>
      <c r="AM268">
        <f t="shared" si="369"/>
        <v>111</v>
      </c>
      <c r="AN268" t="s">
        <v>73</v>
      </c>
      <c r="AO268" t="e">
        <f t="shared" si="370"/>
        <v>#VALUE!</v>
      </c>
      <c r="AP268" t="s">
        <v>73</v>
      </c>
      <c r="AQ268" t="e">
        <f t="shared" si="371"/>
        <v>#VALUE!</v>
      </c>
      <c r="AR268" t="s">
        <v>73</v>
      </c>
      <c r="AS268" t="e">
        <f t="shared" si="372"/>
        <v>#VALUE!</v>
      </c>
      <c r="AT268">
        <v>13</v>
      </c>
      <c r="AU268">
        <f t="shared" si="373"/>
        <v>6.8900000000000006</v>
      </c>
      <c r="AV268">
        <v>110</v>
      </c>
      <c r="AW268">
        <f t="shared" si="374"/>
        <v>110</v>
      </c>
      <c r="AX268" t="s">
        <v>73</v>
      </c>
      <c r="AY268" t="e">
        <f t="shared" si="375"/>
        <v>#VALUE!</v>
      </c>
      <c r="AZ268" t="s">
        <v>73</v>
      </c>
      <c r="BA268" t="e">
        <f t="shared" si="376"/>
        <v>#VALUE!</v>
      </c>
    </row>
    <row r="269" spans="1:53" x14ac:dyDescent="0.3">
      <c r="A269" t="s">
        <v>74</v>
      </c>
      <c r="B269" t="s">
        <v>600</v>
      </c>
      <c r="C269" t="s">
        <v>601</v>
      </c>
      <c r="D269" t="s">
        <v>73</v>
      </c>
      <c r="E269" t="e">
        <f t="shared" si="352"/>
        <v>#VALUE!</v>
      </c>
      <c r="F269">
        <v>3</v>
      </c>
      <c r="G269">
        <f t="shared" si="353"/>
        <v>1.59</v>
      </c>
      <c r="H269">
        <v>215</v>
      </c>
      <c r="I269">
        <f t="shared" si="354"/>
        <v>215</v>
      </c>
      <c r="J269" t="s">
        <v>73</v>
      </c>
      <c r="K269" t="e">
        <f t="shared" si="355"/>
        <v>#VALUE!</v>
      </c>
      <c r="L269" t="s">
        <v>73</v>
      </c>
      <c r="M269" t="e">
        <f t="shared" si="356"/>
        <v>#VALUE!</v>
      </c>
      <c r="N269" t="s">
        <v>73</v>
      </c>
      <c r="O269" t="e">
        <f t="shared" si="357"/>
        <v>#VALUE!</v>
      </c>
      <c r="P269">
        <v>5</v>
      </c>
      <c r="Q269">
        <f t="shared" si="358"/>
        <v>2.6500000000000004</v>
      </c>
      <c r="R269">
        <v>215</v>
      </c>
      <c r="S269">
        <f t="shared" si="359"/>
        <v>215</v>
      </c>
      <c r="T269" t="s">
        <v>73</v>
      </c>
      <c r="U269" t="e">
        <f t="shared" si="360"/>
        <v>#VALUE!</v>
      </c>
      <c r="V269" t="s">
        <v>73</v>
      </c>
      <c r="W269" t="e">
        <f t="shared" ref="W269" si="384">V269*1.3</f>
        <v>#VALUE!</v>
      </c>
      <c r="X269" t="s">
        <v>73</v>
      </c>
      <c r="Y269" t="e">
        <f t="shared" si="362"/>
        <v>#VALUE!</v>
      </c>
      <c r="Z269">
        <v>5</v>
      </c>
      <c r="AA269">
        <f t="shared" si="363"/>
        <v>2.6500000000000004</v>
      </c>
      <c r="AB269">
        <v>215</v>
      </c>
      <c r="AC269">
        <f t="shared" si="364"/>
        <v>215</v>
      </c>
      <c r="AD269" t="s">
        <v>73</v>
      </c>
      <c r="AE269" t="e">
        <f t="shared" si="365"/>
        <v>#VALUE!</v>
      </c>
      <c r="AF269" t="s">
        <v>73</v>
      </c>
      <c r="AG269" t="e">
        <f t="shared" si="366"/>
        <v>#VALUE!</v>
      </c>
      <c r="AH269" t="s">
        <v>73</v>
      </c>
      <c r="AI269" t="e">
        <f t="shared" si="367"/>
        <v>#VALUE!</v>
      </c>
      <c r="AJ269">
        <v>4</v>
      </c>
      <c r="AK269">
        <f t="shared" si="368"/>
        <v>2.12</v>
      </c>
      <c r="AL269">
        <v>102</v>
      </c>
      <c r="AM269">
        <f t="shared" si="369"/>
        <v>102</v>
      </c>
      <c r="AN269" t="s">
        <v>73</v>
      </c>
      <c r="AO269" t="e">
        <f t="shared" si="370"/>
        <v>#VALUE!</v>
      </c>
      <c r="AP269" t="s">
        <v>73</v>
      </c>
      <c r="AQ269" t="e">
        <f t="shared" si="371"/>
        <v>#VALUE!</v>
      </c>
      <c r="AR269" t="s">
        <v>73</v>
      </c>
      <c r="AS269" t="e">
        <f t="shared" si="372"/>
        <v>#VALUE!</v>
      </c>
      <c r="AT269">
        <v>4</v>
      </c>
      <c r="AU269">
        <f t="shared" si="373"/>
        <v>2.12</v>
      </c>
      <c r="AV269">
        <v>102</v>
      </c>
      <c r="AW269">
        <f t="shared" si="374"/>
        <v>102</v>
      </c>
      <c r="AX269" t="s">
        <v>73</v>
      </c>
      <c r="AY269" t="e">
        <f t="shared" si="375"/>
        <v>#VALUE!</v>
      </c>
      <c r="AZ269" t="s">
        <v>73</v>
      </c>
      <c r="BA269" t="e">
        <f t="shared" si="376"/>
        <v>#VALUE!</v>
      </c>
    </row>
    <row r="270" spans="1:53" x14ac:dyDescent="0.3">
      <c r="A270" t="s">
        <v>70</v>
      </c>
      <c r="B270" t="s">
        <v>602</v>
      </c>
      <c r="C270" t="s">
        <v>603</v>
      </c>
      <c r="D270">
        <v>1082</v>
      </c>
      <c r="E270">
        <f t="shared" si="352"/>
        <v>1298.3999999999999</v>
      </c>
      <c r="F270">
        <v>644</v>
      </c>
      <c r="G270">
        <f t="shared" si="353"/>
        <v>341.32</v>
      </c>
      <c r="H270">
        <v>25653</v>
      </c>
      <c r="I270">
        <f t="shared" si="354"/>
        <v>25653</v>
      </c>
      <c r="J270" t="s">
        <v>73</v>
      </c>
      <c r="K270" t="e">
        <f t="shared" si="355"/>
        <v>#VALUE!</v>
      </c>
      <c r="L270" t="s">
        <v>73</v>
      </c>
      <c r="M270" t="e">
        <f t="shared" si="356"/>
        <v>#VALUE!</v>
      </c>
      <c r="N270">
        <v>1087</v>
      </c>
      <c r="O270">
        <f t="shared" si="357"/>
        <v>1304.3999999999999</v>
      </c>
      <c r="P270">
        <v>605</v>
      </c>
      <c r="Q270">
        <f t="shared" si="358"/>
        <v>320.65000000000003</v>
      </c>
      <c r="R270">
        <v>26431</v>
      </c>
      <c r="S270">
        <f t="shared" si="359"/>
        <v>26431</v>
      </c>
      <c r="T270" t="s">
        <v>73</v>
      </c>
      <c r="U270" t="e">
        <f t="shared" si="360"/>
        <v>#VALUE!</v>
      </c>
      <c r="V270" t="s">
        <v>73</v>
      </c>
      <c r="W270" t="e">
        <f t="shared" ref="W270" si="385">V270*1.3</f>
        <v>#VALUE!</v>
      </c>
      <c r="X270">
        <v>1087</v>
      </c>
      <c r="Y270">
        <f t="shared" si="362"/>
        <v>1304.3999999999999</v>
      </c>
      <c r="Z270">
        <v>538</v>
      </c>
      <c r="AA270">
        <f t="shared" si="363"/>
        <v>285.14</v>
      </c>
      <c r="AB270">
        <v>22474</v>
      </c>
      <c r="AC270">
        <f t="shared" si="364"/>
        <v>22474</v>
      </c>
      <c r="AD270" t="s">
        <v>73</v>
      </c>
      <c r="AE270" t="e">
        <f t="shared" si="365"/>
        <v>#VALUE!</v>
      </c>
      <c r="AF270" t="s">
        <v>73</v>
      </c>
      <c r="AG270" t="e">
        <f t="shared" si="366"/>
        <v>#VALUE!</v>
      </c>
      <c r="AH270">
        <v>1086</v>
      </c>
      <c r="AI270">
        <f t="shared" si="367"/>
        <v>1303.2</v>
      </c>
      <c r="AJ270">
        <v>637</v>
      </c>
      <c r="AK270">
        <f t="shared" si="368"/>
        <v>337.61</v>
      </c>
      <c r="AL270">
        <v>24165</v>
      </c>
      <c r="AM270">
        <f t="shared" si="369"/>
        <v>24165</v>
      </c>
      <c r="AN270">
        <v>2000</v>
      </c>
      <c r="AO270">
        <f t="shared" si="370"/>
        <v>3000</v>
      </c>
      <c r="AP270" t="s">
        <v>73</v>
      </c>
      <c r="AQ270" t="e">
        <f t="shared" si="371"/>
        <v>#VALUE!</v>
      </c>
      <c r="AR270">
        <v>1087</v>
      </c>
      <c r="AS270">
        <f t="shared" si="372"/>
        <v>1304.3999999999999</v>
      </c>
      <c r="AT270">
        <v>351</v>
      </c>
      <c r="AU270">
        <f t="shared" si="373"/>
        <v>186.03</v>
      </c>
      <c r="AV270">
        <v>17016</v>
      </c>
      <c r="AW270">
        <f t="shared" si="374"/>
        <v>17016</v>
      </c>
      <c r="AX270">
        <v>2000</v>
      </c>
      <c r="AY270">
        <f t="shared" si="375"/>
        <v>3000</v>
      </c>
      <c r="AZ270" t="s">
        <v>73</v>
      </c>
      <c r="BA270" t="e">
        <f t="shared" si="376"/>
        <v>#VALUE!</v>
      </c>
    </row>
    <row r="271" spans="1:53" x14ac:dyDescent="0.3">
      <c r="A271" t="s">
        <v>74</v>
      </c>
      <c r="B271" t="s">
        <v>604</v>
      </c>
      <c r="C271" t="s">
        <v>605</v>
      </c>
      <c r="D271" t="s">
        <v>73</v>
      </c>
      <c r="E271" t="e">
        <f t="shared" si="352"/>
        <v>#VALUE!</v>
      </c>
      <c r="F271">
        <v>7</v>
      </c>
      <c r="G271">
        <f t="shared" si="353"/>
        <v>3.71</v>
      </c>
      <c r="H271">
        <v>550</v>
      </c>
      <c r="I271">
        <f t="shared" si="354"/>
        <v>550</v>
      </c>
      <c r="J271" t="s">
        <v>73</v>
      </c>
      <c r="K271" t="e">
        <f t="shared" si="355"/>
        <v>#VALUE!</v>
      </c>
      <c r="L271" t="s">
        <v>73</v>
      </c>
      <c r="M271" t="e">
        <f t="shared" si="356"/>
        <v>#VALUE!</v>
      </c>
      <c r="N271" t="s">
        <v>73</v>
      </c>
      <c r="O271" t="e">
        <f t="shared" si="357"/>
        <v>#VALUE!</v>
      </c>
      <c r="P271">
        <v>7</v>
      </c>
      <c r="Q271">
        <f t="shared" si="358"/>
        <v>3.71</v>
      </c>
      <c r="R271">
        <v>500</v>
      </c>
      <c r="S271">
        <f t="shared" si="359"/>
        <v>500</v>
      </c>
      <c r="T271" t="s">
        <v>73</v>
      </c>
      <c r="U271" t="e">
        <f t="shared" si="360"/>
        <v>#VALUE!</v>
      </c>
      <c r="V271" t="s">
        <v>73</v>
      </c>
      <c r="W271" t="e">
        <f t="shared" ref="W271" si="386">V271*1.3</f>
        <v>#VALUE!</v>
      </c>
      <c r="X271" t="s">
        <v>73</v>
      </c>
      <c r="Y271" t="e">
        <f t="shared" si="362"/>
        <v>#VALUE!</v>
      </c>
      <c r="Z271">
        <v>7</v>
      </c>
      <c r="AA271">
        <f t="shared" si="363"/>
        <v>3.71</v>
      </c>
      <c r="AB271">
        <v>500</v>
      </c>
      <c r="AC271">
        <f t="shared" si="364"/>
        <v>500</v>
      </c>
      <c r="AD271" t="s">
        <v>73</v>
      </c>
      <c r="AE271" t="e">
        <f t="shared" si="365"/>
        <v>#VALUE!</v>
      </c>
      <c r="AF271" t="s">
        <v>73</v>
      </c>
      <c r="AG271" t="e">
        <f t="shared" si="366"/>
        <v>#VALUE!</v>
      </c>
      <c r="AH271" t="s">
        <v>73</v>
      </c>
      <c r="AI271" t="e">
        <f t="shared" si="367"/>
        <v>#VALUE!</v>
      </c>
      <c r="AJ271">
        <v>7</v>
      </c>
      <c r="AK271">
        <f t="shared" si="368"/>
        <v>3.71</v>
      </c>
      <c r="AL271">
        <v>635</v>
      </c>
      <c r="AM271">
        <f t="shared" si="369"/>
        <v>635</v>
      </c>
      <c r="AN271" t="s">
        <v>73</v>
      </c>
      <c r="AO271" t="e">
        <f t="shared" si="370"/>
        <v>#VALUE!</v>
      </c>
      <c r="AP271" t="s">
        <v>73</v>
      </c>
      <c r="AQ271" t="e">
        <f t="shared" si="371"/>
        <v>#VALUE!</v>
      </c>
      <c r="AR271" t="s">
        <v>73</v>
      </c>
      <c r="AS271" t="e">
        <f t="shared" si="372"/>
        <v>#VALUE!</v>
      </c>
      <c r="AT271">
        <v>7</v>
      </c>
      <c r="AU271">
        <f t="shared" si="373"/>
        <v>3.71</v>
      </c>
      <c r="AV271">
        <v>635</v>
      </c>
      <c r="AW271">
        <f t="shared" si="374"/>
        <v>635</v>
      </c>
      <c r="AX271" t="s">
        <v>73</v>
      </c>
      <c r="AY271" t="e">
        <f t="shared" si="375"/>
        <v>#VALUE!</v>
      </c>
      <c r="AZ271" t="s">
        <v>73</v>
      </c>
      <c r="BA271" t="e">
        <f t="shared" si="376"/>
        <v>#VALUE!</v>
      </c>
    </row>
    <row r="272" spans="1:53" x14ac:dyDescent="0.3">
      <c r="A272" t="s">
        <v>74</v>
      </c>
      <c r="B272" t="s">
        <v>606</v>
      </c>
      <c r="C272" t="s">
        <v>607</v>
      </c>
      <c r="D272">
        <v>1075</v>
      </c>
      <c r="E272">
        <f t="shared" si="352"/>
        <v>1290</v>
      </c>
      <c r="F272">
        <v>472</v>
      </c>
      <c r="G272">
        <f t="shared" si="353"/>
        <v>250.16000000000003</v>
      </c>
      <c r="H272">
        <v>22246</v>
      </c>
      <c r="I272">
        <f t="shared" si="354"/>
        <v>22246</v>
      </c>
      <c r="J272" t="s">
        <v>73</v>
      </c>
      <c r="K272" t="e">
        <f t="shared" si="355"/>
        <v>#VALUE!</v>
      </c>
      <c r="L272" t="s">
        <v>73</v>
      </c>
      <c r="M272" t="e">
        <f t="shared" si="356"/>
        <v>#VALUE!</v>
      </c>
      <c r="N272">
        <v>1075</v>
      </c>
      <c r="O272">
        <f t="shared" si="357"/>
        <v>1290</v>
      </c>
      <c r="P272">
        <v>480</v>
      </c>
      <c r="Q272">
        <f t="shared" si="358"/>
        <v>254.4</v>
      </c>
      <c r="R272">
        <v>23614</v>
      </c>
      <c r="S272">
        <f t="shared" si="359"/>
        <v>23614</v>
      </c>
      <c r="T272" t="s">
        <v>73</v>
      </c>
      <c r="U272" t="e">
        <f t="shared" si="360"/>
        <v>#VALUE!</v>
      </c>
      <c r="V272" t="s">
        <v>73</v>
      </c>
      <c r="W272" t="e">
        <f t="shared" ref="W272" si="387">V272*1.3</f>
        <v>#VALUE!</v>
      </c>
      <c r="X272">
        <v>1075</v>
      </c>
      <c r="Y272">
        <f t="shared" si="362"/>
        <v>1290</v>
      </c>
      <c r="Z272">
        <v>402</v>
      </c>
      <c r="AA272">
        <f t="shared" si="363"/>
        <v>213.06</v>
      </c>
      <c r="AB272">
        <v>18852</v>
      </c>
      <c r="AC272">
        <f t="shared" si="364"/>
        <v>18852</v>
      </c>
      <c r="AD272" t="s">
        <v>73</v>
      </c>
      <c r="AE272" t="e">
        <f t="shared" si="365"/>
        <v>#VALUE!</v>
      </c>
      <c r="AF272" t="s">
        <v>73</v>
      </c>
      <c r="AG272" t="e">
        <f t="shared" si="366"/>
        <v>#VALUE!</v>
      </c>
      <c r="AH272">
        <v>1075</v>
      </c>
      <c r="AI272">
        <f t="shared" si="367"/>
        <v>1290</v>
      </c>
      <c r="AJ272">
        <v>498</v>
      </c>
      <c r="AK272">
        <f t="shared" si="368"/>
        <v>263.94</v>
      </c>
      <c r="AL272">
        <v>20652</v>
      </c>
      <c r="AM272">
        <f t="shared" si="369"/>
        <v>20652</v>
      </c>
      <c r="AN272">
        <v>2000</v>
      </c>
      <c r="AO272">
        <f t="shared" si="370"/>
        <v>3000</v>
      </c>
      <c r="AP272" t="s">
        <v>73</v>
      </c>
      <c r="AQ272" t="e">
        <f t="shared" si="371"/>
        <v>#VALUE!</v>
      </c>
      <c r="AR272">
        <v>1075</v>
      </c>
      <c r="AS272">
        <f t="shared" si="372"/>
        <v>1290</v>
      </c>
      <c r="AT272">
        <v>241</v>
      </c>
      <c r="AU272">
        <f t="shared" si="373"/>
        <v>127.73</v>
      </c>
      <c r="AV272">
        <v>14457</v>
      </c>
      <c r="AW272">
        <f t="shared" si="374"/>
        <v>14457</v>
      </c>
      <c r="AX272">
        <v>2000</v>
      </c>
      <c r="AY272">
        <f t="shared" si="375"/>
        <v>3000</v>
      </c>
      <c r="AZ272" t="s">
        <v>73</v>
      </c>
      <c r="BA272" t="e">
        <f t="shared" si="376"/>
        <v>#VALUE!</v>
      </c>
    </row>
    <row r="273" spans="1:53" x14ac:dyDescent="0.3">
      <c r="A273" t="s">
        <v>74</v>
      </c>
      <c r="B273" t="s">
        <v>608</v>
      </c>
      <c r="C273" t="s">
        <v>609</v>
      </c>
      <c r="D273">
        <v>2</v>
      </c>
      <c r="E273">
        <f t="shared" si="352"/>
        <v>2.4</v>
      </c>
      <c r="F273">
        <v>107</v>
      </c>
      <c r="G273">
        <f t="shared" si="353"/>
        <v>56.71</v>
      </c>
      <c r="H273">
        <v>1219</v>
      </c>
      <c r="I273">
        <f t="shared" si="354"/>
        <v>1219</v>
      </c>
      <c r="J273" t="s">
        <v>73</v>
      </c>
      <c r="K273" t="e">
        <f t="shared" si="355"/>
        <v>#VALUE!</v>
      </c>
      <c r="L273" t="s">
        <v>73</v>
      </c>
      <c r="M273" t="e">
        <f t="shared" si="356"/>
        <v>#VALUE!</v>
      </c>
      <c r="N273">
        <v>3</v>
      </c>
      <c r="O273">
        <f t="shared" si="357"/>
        <v>3.5999999999999996</v>
      </c>
      <c r="P273">
        <v>75</v>
      </c>
      <c r="Q273">
        <f t="shared" si="358"/>
        <v>39.75</v>
      </c>
      <c r="R273">
        <v>1219</v>
      </c>
      <c r="S273">
        <f t="shared" si="359"/>
        <v>1219</v>
      </c>
      <c r="T273" t="s">
        <v>73</v>
      </c>
      <c r="U273" t="e">
        <f t="shared" si="360"/>
        <v>#VALUE!</v>
      </c>
      <c r="V273" t="s">
        <v>73</v>
      </c>
      <c r="W273" t="e">
        <f t="shared" ref="W273" si="388">V273*1.3</f>
        <v>#VALUE!</v>
      </c>
      <c r="X273">
        <v>3</v>
      </c>
      <c r="Y273">
        <f t="shared" si="362"/>
        <v>3.5999999999999996</v>
      </c>
      <c r="Z273">
        <v>77</v>
      </c>
      <c r="AA273">
        <f t="shared" si="363"/>
        <v>40.81</v>
      </c>
      <c r="AB273">
        <v>1372</v>
      </c>
      <c r="AC273">
        <f t="shared" si="364"/>
        <v>1372</v>
      </c>
      <c r="AD273" t="s">
        <v>73</v>
      </c>
      <c r="AE273" t="e">
        <f t="shared" si="365"/>
        <v>#VALUE!</v>
      </c>
      <c r="AF273" t="s">
        <v>73</v>
      </c>
      <c r="AG273" t="e">
        <f t="shared" si="366"/>
        <v>#VALUE!</v>
      </c>
      <c r="AH273">
        <v>3</v>
      </c>
      <c r="AI273">
        <f t="shared" si="367"/>
        <v>3.5999999999999996</v>
      </c>
      <c r="AJ273">
        <v>80</v>
      </c>
      <c r="AK273">
        <f t="shared" si="368"/>
        <v>42.400000000000006</v>
      </c>
      <c r="AL273">
        <v>1343</v>
      </c>
      <c r="AM273">
        <f t="shared" si="369"/>
        <v>1343</v>
      </c>
      <c r="AN273" t="s">
        <v>73</v>
      </c>
      <c r="AO273" t="e">
        <f t="shared" si="370"/>
        <v>#VALUE!</v>
      </c>
      <c r="AP273" t="s">
        <v>73</v>
      </c>
      <c r="AQ273" t="e">
        <f t="shared" si="371"/>
        <v>#VALUE!</v>
      </c>
      <c r="AR273">
        <v>3</v>
      </c>
      <c r="AS273">
        <f t="shared" si="372"/>
        <v>3.5999999999999996</v>
      </c>
      <c r="AT273">
        <v>64</v>
      </c>
      <c r="AU273">
        <f t="shared" si="373"/>
        <v>33.92</v>
      </c>
      <c r="AV273">
        <v>748</v>
      </c>
      <c r="AW273">
        <f t="shared" si="374"/>
        <v>748</v>
      </c>
      <c r="AX273" t="s">
        <v>73</v>
      </c>
      <c r="AY273" t="e">
        <f t="shared" si="375"/>
        <v>#VALUE!</v>
      </c>
      <c r="AZ273" t="s">
        <v>73</v>
      </c>
      <c r="BA273" t="e">
        <f t="shared" si="376"/>
        <v>#VALUE!</v>
      </c>
    </row>
    <row r="274" spans="1:53" x14ac:dyDescent="0.3">
      <c r="A274" t="s">
        <v>74</v>
      </c>
      <c r="B274" t="s">
        <v>610</v>
      </c>
      <c r="C274" t="s">
        <v>611</v>
      </c>
      <c r="D274" t="s">
        <v>73</v>
      </c>
      <c r="E274" t="e">
        <f t="shared" si="352"/>
        <v>#VALUE!</v>
      </c>
      <c r="F274">
        <v>10</v>
      </c>
      <c r="G274">
        <f t="shared" si="353"/>
        <v>5.3000000000000007</v>
      </c>
      <c r="H274">
        <v>1140</v>
      </c>
      <c r="I274">
        <f t="shared" si="354"/>
        <v>1140</v>
      </c>
      <c r="J274" t="s">
        <v>73</v>
      </c>
      <c r="K274" t="e">
        <f t="shared" si="355"/>
        <v>#VALUE!</v>
      </c>
      <c r="L274" t="s">
        <v>73</v>
      </c>
      <c r="M274" t="e">
        <f t="shared" si="356"/>
        <v>#VALUE!</v>
      </c>
      <c r="N274" t="s">
        <v>73</v>
      </c>
      <c r="O274" t="e">
        <f t="shared" si="357"/>
        <v>#VALUE!</v>
      </c>
      <c r="P274">
        <v>10</v>
      </c>
      <c r="Q274">
        <f t="shared" si="358"/>
        <v>5.3000000000000007</v>
      </c>
      <c r="R274">
        <v>348</v>
      </c>
      <c r="S274">
        <f t="shared" si="359"/>
        <v>348</v>
      </c>
      <c r="T274" t="s">
        <v>73</v>
      </c>
      <c r="U274" t="e">
        <f t="shared" si="360"/>
        <v>#VALUE!</v>
      </c>
      <c r="V274" t="s">
        <v>73</v>
      </c>
      <c r="W274" t="e">
        <f t="shared" ref="W274" si="389">V274*1.3</f>
        <v>#VALUE!</v>
      </c>
      <c r="X274" t="s">
        <v>73</v>
      </c>
      <c r="Y274" t="e">
        <f t="shared" si="362"/>
        <v>#VALUE!</v>
      </c>
      <c r="Z274">
        <v>3</v>
      </c>
      <c r="AA274">
        <f t="shared" si="363"/>
        <v>1.59</v>
      </c>
      <c r="AB274">
        <v>1000</v>
      </c>
      <c r="AC274">
        <f t="shared" si="364"/>
        <v>1000</v>
      </c>
      <c r="AD274" t="s">
        <v>73</v>
      </c>
      <c r="AE274" t="e">
        <f t="shared" si="365"/>
        <v>#VALUE!</v>
      </c>
      <c r="AF274" t="s">
        <v>73</v>
      </c>
      <c r="AG274" t="e">
        <f t="shared" si="366"/>
        <v>#VALUE!</v>
      </c>
      <c r="AH274" t="s">
        <v>73</v>
      </c>
      <c r="AI274" t="e">
        <f t="shared" si="367"/>
        <v>#VALUE!</v>
      </c>
      <c r="AJ274">
        <v>3</v>
      </c>
      <c r="AK274">
        <f t="shared" si="368"/>
        <v>1.59</v>
      </c>
      <c r="AL274">
        <v>1000</v>
      </c>
      <c r="AM274">
        <f t="shared" si="369"/>
        <v>1000</v>
      </c>
      <c r="AN274" t="s">
        <v>73</v>
      </c>
      <c r="AO274" t="e">
        <f t="shared" si="370"/>
        <v>#VALUE!</v>
      </c>
      <c r="AP274" t="s">
        <v>73</v>
      </c>
      <c r="AQ274" t="e">
        <f t="shared" si="371"/>
        <v>#VALUE!</v>
      </c>
      <c r="AR274" t="s">
        <v>73</v>
      </c>
      <c r="AS274" t="e">
        <f t="shared" si="372"/>
        <v>#VALUE!</v>
      </c>
      <c r="AT274">
        <v>3</v>
      </c>
      <c r="AU274">
        <f t="shared" si="373"/>
        <v>1.59</v>
      </c>
      <c r="AV274">
        <v>701</v>
      </c>
      <c r="AW274">
        <f t="shared" si="374"/>
        <v>701</v>
      </c>
      <c r="AX274" t="s">
        <v>73</v>
      </c>
      <c r="AY274" t="e">
        <f t="shared" si="375"/>
        <v>#VALUE!</v>
      </c>
      <c r="AZ274" t="s">
        <v>73</v>
      </c>
      <c r="BA274" t="e">
        <f t="shared" si="376"/>
        <v>#VALUE!</v>
      </c>
    </row>
    <row r="275" spans="1:53" x14ac:dyDescent="0.3">
      <c r="A275" t="s">
        <v>74</v>
      </c>
      <c r="B275" t="s">
        <v>612</v>
      </c>
      <c r="C275" t="s">
        <v>613</v>
      </c>
      <c r="D275">
        <v>5</v>
      </c>
      <c r="E275">
        <f t="shared" si="352"/>
        <v>6</v>
      </c>
      <c r="F275">
        <v>48</v>
      </c>
      <c r="G275">
        <f t="shared" si="353"/>
        <v>25.44</v>
      </c>
      <c r="H275">
        <v>498</v>
      </c>
      <c r="I275">
        <f t="shared" si="354"/>
        <v>498</v>
      </c>
      <c r="J275" t="s">
        <v>73</v>
      </c>
      <c r="K275" t="e">
        <f t="shared" si="355"/>
        <v>#VALUE!</v>
      </c>
      <c r="L275" t="s">
        <v>73</v>
      </c>
      <c r="M275" t="e">
        <f t="shared" si="356"/>
        <v>#VALUE!</v>
      </c>
      <c r="N275">
        <v>9</v>
      </c>
      <c r="O275">
        <f t="shared" si="357"/>
        <v>10.799999999999999</v>
      </c>
      <c r="P275">
        <v>33</v>
      </c>
      <c r="Q275">
        <f t="shared" si="358"/>
        <v>17.490000000000002</v>
      </c>
      <c r="R275">
        <v>750</v>
      </c>
      <c r="S275">
        <f t="shared" si="359"/>
        <v>750</v>
      </c>
      <c r="T275" t="s">
        <v>73</v>
      </c>
      <c r="U275" t="e">
        <f t="shared" si="360"/>
        <v>#VALUE!</v>
      </c>
      <c r="V275" t="s">
        <v>73</v>
      </c>
      <c r="W275" t="e">
        <f t="shared" ref="W275" si="390">V275*1.3</f>
        <v>#VALUE!</v>
      </c>
      <c r="X275">
        <v>9</v>
      </c>
      <c r="Y275">
        <f t="shared" si="362"/>
        <v>10.799999999999999</v>
      </c>
      <c r="Z275">
        <v>49</v>
      </c>
      <c r="AA275">
        <f t="shared" si="363"/>
        <v>25.970000000000002</v>
      </c>
      <c r="AB275">
        <v>750</v>
      </c>
      <c r="AC275">
        <f t="shared" si="364"/>
        <v>750</v>
      </c>
      <c r="AD275" t="s">
        <v>73</v>
      </c>
      <c r="AE275" t="e">
        <f t="shared" si="365"/>
        <v>#VALUE!</v>
      </c>
      <c r="AF275" t="s">
        <v>73</v>
      </c>
      <c r="AG275" t="e">
        <f t="shared" si="366"/>
        <v>#VALUE!</v>
      </c>
      <c r="AH275">
        <v>8</v>
      </c>
      <c r="AI275">
        <f t="shared" si="367"/>
        <v>9.6</v>
      </c>
      <c r="AJ275">
        <v>49</v>
      </c>
      <c r="AK275">
        <f t="shared" si="368"/>
        <v>25.970000000000002</v>
      </c>
      <c r="AL275">
        <v>535</v>
      </c>
      <c r="AM275">
        <f t="shared" si="369"/>
        <v>535</v>
      </c>
      <c r="AN275" t="s">
        <v>73</v>
      </c>
      <c r="AO275" t="e">
        <f t="shared" si="370"/>
        <v>#VALUE!</v>
      </c>
      <c r="AP275" t="s">
        <v>73</v>
      </c>
      <c r="AQ275" t="e">
        <f t="shared" si="371"/>
        <v>#VALUE!</v>
      </c>
      <c r="AR275">
        <v>9</v>
      </c>
      <c r="AS275">
        <f t="shared" si="372"/>
        <v>10.799999999999999</v>
      </c>
      <c r="AT275">
        <v>36</v>
      </c>
      <c r="AU275">
        <f t="shared" si="373"/>
        <v>19.080000000000002</v>
      </c>
      <c r="AV275">
        <v>475</v>
      </c>
      <c r="AW275">
        <f t="shared" si="374"/>
        <v>475</v>
      </c>
      <c r="AX275" t="s">
        <v>73</v>
      </c>
      <c r="AY275" t="e">
        <f t="shared" si="375"/>
        <v>#VALUE!</v>
      </c>
      <c r="AZ275" t="s">
        <v>73</v>
      </c>
      <c r="BA275" t="e">
        <f t="shared" si="376"/>
        <v>#VALUE!</v>
      </c>
    </row>
    <row r="276" spans="1:53" x14ac:dyDescent="0.3">
      <c r="A276" t="s">
        <v>67</v>
      </c>
      <c r="B276" t="s">
        <v>614</v>
      </c>
      <c r="C276" t="s">
        <v>615</v>
      </c>
      <c r="D276">
        <v>834116</v>
      </c>
      <c r="E276">
        <f t="shared" si="352"/>
        <v>1000939.2</v>
      </c>
      <c r="F276">
        <v>2759</v>
      </c>
      <c r="G276">
        <f t="shared" si="353"/>
        <v>1462.27</v>
      </c>
      <c r="H276">
        <v>127192</v>
      </c>
      <c r="I276">
        <f t="shared" si="354"/>
        <v>127192</v>
      </c>
      <c r="J276">
        <v>15184</v>
      </c>
      <c r="K276">
        <f t="shared" si="355"/>
        <v>22776</v>
      </c>
      <c r="L276" t="s">
        <v>73</v>
      </c>
      <c r="M276" t="e">
        <f t="shared" si="356"/>
        <v>#VALUE!</v>
      </c>
      <c r="N276">
        <v>819779</v>
      </c>
      <c r="O276">
        <f t="shared" si="357"/>
        <v>983734.79999999993</v>
      </c>
      <c r="P276">
        <v>3105</v>
      </c>
      <c r="Q276">
        <f t="shared" si="358"/>
        <v>1645.65</v>
      </c>
      <c r="R276">
        <v>126840</v>
      </c>
      <c r="S276">
        <f t="shared" si="359"/>
        <v>126840</v>
      </c>
      <c r="T276">
        <v>21033</v>
      </c>
      <c r="U276">
        <f t="shared" si="360"/>
        <v>31549.5</v>
      </c>
      <c r="V276" t="s">
        <v>73</v>
      </c>
      <c r="W276" t="e">
        <f t="shared" ref="W276" si="391">V276*1.3</f>
        <v>#VALUE!</v>
      </c>
      <c r="X276">
        <v>802718</v>
      </c>
      <c r="Y276">
        <f t="shared" si="362"/>
        <v>963261.6</v>
      </c>
      <c r="Z276">
        <v>2726</v>
      </c>
      <c r="AA276">
        <f t="shared" si="363"/>
        <v>1444.78</v>
      </c>
      <c r="AB276">
        <v>162117</v>
      </c>
      <c r="AC276">
        <f t="shared" si="364"/>
        <v>162117</v>
      </c>
      <c r="AD276">
        <v>30115</v>
      </c>
      <c r="AE276">
        <f t="shared" si="365"/>
        <v>45172.5</v>
      </c>
      <c r="AF276">
        <v>1187</v>
      </c>
      <c r="AG276">
        <f t="shared" si="366"/>
        <v>1543.1000000000001</v>
      </c>
      <c r="AH276">
        <v>789632</v>
      </c>
      <c r="AI276">
        <f t="shared" si="367"/>
        <v>947558.39999999991</v>
      </c>
      <c r="AJ276">
        <v>1757</v>
      </c>
      <c r="AK276">
        <f t="shared" si="368"/>
        <v>931.21</v>
      </c>
      <c r="AL276">
        <v>133201</v>
      </c>
      <c r="AM276">
        <f t="shared" si="369"/>
        <v>133201</v>
      </c>
      <c r="AN276">
        <v>45733</v>
      </c>
      <c r="AO276">
        <f t="shared" si="370"/>
        <v>68599.5</v>
      </c>
      <c r="AP276">
        <v>1863</v>
      </c>
      <c r="AQ276">
        <f t="shared" si="371"/>
        <v>2421.9</v>
      </c>
      <c r="AR276">
        <v>747122</v>
      </c>
      <c r="AS276">
        <f t="shared" si="372"/>
        <v>896546.4</v>
      </c>
      <c r="AT276">
        <v>901</v>
      </c>
      <c r="AU276">
        <f t="shared" si="373"/>
        <v>477.53000000000003</v>
      </c>
      <c r="AV276">
        <v>109654</v>
      </c>
      <c r="AW276">
        <f t="shared" si="374"/>
        <v>109654</v>
      </c>
      <c r="AX276">
        <v>37134</v>
      </c>
      <c r="AY276">
        <f t="shared" si="375"/>
        <v>55701</v>
      </c>
      <c r="AZ276">
        <v>1264</v>
      </c>
      <c r="BA276">
        <f t="shared" si="376"/>
        <v>1643.2</v>
      </c>
    </row>
    <row r="277" spans="1:53" x14ac:dyDescent="0.3">
      <c r="A277" t="s">
        <v>70</v>
      </c>
      <c r="B277" t="s">
        <v>616</v>
      </c>
      <c r="C277" t="s">
        <v>617</v>
      </c>
      <c r="D277">
        <v>150548</v>
      </c>
      <c r="E277">
        <f t="shared" si="352"/>
        <v>180657.6</v>
      </c>
      <c r="F277">
        <v>1098</v>
      </c>
      <c r="G277">
        <f t="shared" si="353"/>
        <v>581.94000000000005</v>
      </c>
      <c r="H277">
        <v>23870</v>
      </c>
      <c r="I277">
        <f t="shared" si="354"/>
        <v>23870</v>
      </c>
      <c r="J277">
        <v>2903</v>
      </c>
      <c r="K277">
        <f t="shared" si="355"/>
        <v>4354.5</v>
      </c>
      <c r="L277" t="s">
        <v>73</v>
      </c>
      <c r="M277" t="e">
        <f t="shared" si="356"/>
        <v>#VALUE!</v>
      </c>
      <c r="N277">
        <v>131283</v>
      </c>
      <c r="O277">
        <f t="shared" si="357"/>
        <v>157539.6</v>
      </c>
      <c r="P277">
        <v>1139</v>
      </c>
      <c r="Q277">
        <f t="shared" si="358"/>
        <v>603.67000000000007</v>
      </c>
      <c r="R277">
        <v>24791</v>
      </c>
      <c r="S277">
        <f t="shared" si="359"/>
        <v>24791</v>
      </c>
      <c r="T277">
        <v>4758</v>
      </c>
      <c r="U277">
        <f t="shared" si="360"/>
        <v>7137</v>
      </c>
      <c r="V277" t="s">
        <v>73</v>
      </c>
      <c r="W277" t="e">
        <f t="shared" ref="W277" si="392">V277*1.3</f>
        <v>#VALUE!</v>
      </c>
      <c r="X277">
        <v>126698</v>
      </c>
      <c r="Y277">
        <f t="shared" si="362"/>
        <v>152037.6</v>
      </c>
      <c r="Z277">
        <v>1116</v>
      </c>
      <c r="AA277">
        <f t="shared" si="363"/>
        <v>591.48</v>
      </c>
      <c r="AB277">
        <v>31421</v>
      </c>
      <c r="AC277">
        <f t="shared" si="364"/>
        <v>31421</v>
      </c>
      <c r="AD277">
        <v>4367</v>
      </c>
      <c r="AE277">
        <f t="shared" si="365"/>
        <v>6550.5</v>
      </c>
      <c r="AF277">
        <v>632</v>
      </c>
      <c r="AG277">
        <f t="shared" si="366"/>
        <v>821.6</v>
      </c>
      <c r="AH277">
        <v>98249</v>
      </c>
      <c r="AI277">
        <f t="shared" si="367"/>
        <v>117898.79999999999</v>
      </c>
      <c r="AJ277">
        <v>1068</v>
      </c>
      <c r="AK277">
        <f t="shared" si="368"/>
        <v>566.04000000000008</v>
      </c>
      <c r="AL277">
        <v>37436</v>
      </c>
      <c r="AM277">
        <f t="shared" si="369"/>
        <v>37436</v>
      </c>
      <c r="AN277">
        <v>12448</v>
      </c>
      <c r="AO277">
        <f t="shared" si="370"/>
        <v>18672</v>
      </c>
      <c r="AP277">
        <v>893</v>
      </c>
      <c r="AQ277">
        <f t="shared" si="371"/>
        <v>1160.9000000000001</v>
      </c>
      <c r="AR277">
        <v>107262</v>
      </c>
      <c r="AS277">
        <f t="shared" si="372"/>
        <v>128714.4</v>
      </c>
      <c r="AT277">
        <v>608</v>
      </c>
      <c r="AU277">
        <f t="shared" si="373"/>
        <v>322.24</v>
      </c>
      <c r="AV277">
        <v>26905</v>
      </c>
      <c r="AW277">
        <f t="shared" si="374"/>
        <v>26905</v>
      </c>
      <c r="AX277">
        <v>10646</v>
      </c>
      <c r="AY277">
        <f t="shared" si="375"/>
        <v>15969</v>
      </c>
      <c r="AZ277">
        <v>625</v>
      </c>
      <c r="BA277">
        <f t="shared" si="376"/>
        <v>812.5</v>
      </c>
    </row>
    <row r="278" spans="1:53" x14ac:dyDescent="0.3">
      <c r="A278" t="s">
        <v>74</v>
      </c>
      <c r="B278" t="s">
        <v>618</v>
      </c>
      <c r="C278" t="s">
        <v>619</v>
      </c>
      <c r="D278" t="s">
        <v>73</v>
      </c>
      <c r="E278" t="e">
        <f t="shared" si="352"/>
        <v>#VALUE!</v>
      </c>
      <c r="F278">
        <v>252</v>
      </c>
      <c r="G278">
        <f t="shared" si="353"/>
        <v>133.56</v>
      </c>
      <c r="H278">
        <v>1200</v>
      </c>
      <c r="I278">
        <f t="shared" si="354"/>
        <v>1200</v>
      </c>
      <c r="J278" t="s">
        <v>73</v>
      </c>
      <c r="K278" t="e">
        <f t="shared" si="355"/>
        <v>#VALUE!</v>
      </c>
      <c r="L278" t="s">
        <v>73</v>
      </c>
      <c r="M278" t="e">
        <f t="shared" si="356"/>
        <v>#VALUE!</v>
      </c>
      <c r="N278" t="s">
        <v>73</v>
      </c>
      <c r="O278" t="e">
        <f t="shared" si="357"/>
        <v>#VALUE!</v>
      </c>
      <c r="P278">
        <v>252</v>
      </c>
      <c r="Q278">
        <f t="shared" si="358"/>
        <v>133.56</v>
      </c>
      <c r="R278">
        <v>1200</v>
      </c>
      <c r="S278">
        <f t="shared" si="359"/>
        <v>1200</v>
      </c>
      <c r="T278" t="s">
        <v>73</v>
      </c>
      <c r="U278" t="e">
        <f t="shared" si="360"/>
        <v>#VALUE!</v>
      </c>
      <c r="V278" t="s">
        <v>73</v>
      </c>
      <c r="W278" t="e">
        <f t="shared" ref="W278" si="393">V278*1.3</f>
        <v>#VALUE!</v>
      </c>
      <c r="X278" t="s">
        <v>73</v>
      </c>
      <c r="Y278" t="e">
        <f t="shared" si="362"/>
        <v>#VALUE!</v>
      </c>
      <c r="Z278">
        <v>171</v>
      </c>
      <c r="AA278">
        <f t="shared" si="363"/>
        <v>90.63000000000001</v>
      </c>
      <c r="AB278">
        <v>1200</v>
      </c>
      <c r="AC278">
        <f t="shared" si="364"/>
        <v>1200</v>
      </c>
      <c r="AD278" t="s">
        <v>73</v>
      </c>
      <c r="AE278" t="e">
        <f t="shared" si="365"/>
        <v>#VALUE!</v>
      </c>
      <c r="AF278" t="s">
        <v>73</v>
      </c>
      <c r="AG278" t="e">
        <f t="shared" si="366"/>
        <v>#VALUE!</v>
      </c>
      <c r="AH278" t="s">
        <v>73</v>
      </c>
      <c r="AI278" t="e">
        <f t="shared" si="367"/>
        <v>#VALUE!</v>
      </c>
      <c r="AJ278">
        <v>171</v>
      </c>
      <c r="AK278">
        <f t="shared" si="368"/>
        <v>90.63000000000001</v>
      </c>
      <c r="AL278">
        <v>1200</v>
      </c>
      <c r="AM278">
        <f t="shared" si="369"/>
        <v>1200</v>
      </c>
      <c r="AN278" t="s">
        <v>73</v>
      </c>
      <c r="AO278" t="e">
        <f t="shared" si="370"/>
        <v>#VALUE!</v>
      </c>
      <c r="AP278" t="s">
        <v>73</v>
      </c>
      <c r="AQ278" t="e">
        <f t="shared" si="371"/>
        <v>#VALUE!</v>
      </c>
      <c r="AR278" t="s">
        <v>73</v>
      </c>
      <c r="AS278" t="e">
        <f t="shared" si="372"/>
        <v>#VALUE!</v>
      </c>
      <c r="AT278">
        <v>83</v>
      </c>
      <c r="AU278">
        <f t="shared" si="373"/>
        <v>43.99</v>
      </c>
      <c r="AV278">
        <v>2970</v>
      </c>
      <c r="AW278">
        <f t="shared" si="374"/>
        <v>2970</v>
      </c>
      <c r="AX278" t="s">
        <v>73</v>
      </c>
      <c r="AY278" t="e">
        <f t="shared" si="375"/>
        <v>#VALUE!</v>
      </c>
      <c r="AZ278" t="s">
        <v>73</v>
      </c>
      <c r="BA278" t="e">
        <f t="shared" si="376"/>
        <v>#VALUE!</v>
      </c>
    </row>
    <row r="279" spans="1:53" x14ac:dyDescent="0.3">
      <c r="A279" t="s">
        <v>74</v>
      </c>
      <c r="B279" t="s">
        <v>620</v>
      </c>
      <c r="C279" t="s">
        <v>621</v>
      </c>
      <c r="D279" t="s">
        <v>73</v>
      </c>
      <c r="E279" t="e">
        <f t="shared" si="352"/>
        <v>#VALUE!</v>
      </c>
      <c r="F279">
        <v>23</v>
      </c>
      <c r="G279">
        <f t="shared" si="353"/>
        <v>12.190000000000001</v>
      </c>
      <c r="H279">
        <v>720</v>
      </c>
      <c r="I279">
        <f t="shared" si="354"/>
        <v>720</v>
      </c>
      <c r="J279" t="s">
        <v>73</v>
      </c>
      <c r="K279" t="e">
        <f t="shared" si="355"/>
        <v>#VALUE!</v>
      </c>
      <c r="L279" t="s">
        <v>73</v>
      </c>
      <c r="M279" t="e">
        <f t="shared" si="356"/>
        <v>#VALUE!</v>
      </c>
      <c r="N279" t="s">
        <v>73</v>
      </c>
      <c r="O279" t="e">
        <f t="shared" si="357"/>
        <v>#VALUE!</v>
      </c>
      <c r="P279">
        <v>25</v>
      </c>
      <c r="Q279">
        <f t="shared" si="358"/>
        <v>13.25</v>
      </c>
      <c r="R279">
        <v>612</v>
      </c>
      <c r="S279">
        <f t="shared" si="359"/>
        <v>612</v>
      </c>
      <c r="T279" t="s">
        <v>73</v>
      </c>
      <c r="U279" t="e">
        <f t="shared" si="360"/>
        <v>#VALUE!</v>
      </c>
      <c r="V279" t="s">
        <v>73</v>
      </c>
      <c r="W279" t="e">
        <f t="shared" ref="W279" si="394">V279*1.3</f>
        <v>#VALUE!</v>
      </c>
      <c r="X279" t="s">
        <v>73</v>
      </c>
      <c r="Y279" t="e">
        <f t="shared" si="362"/>
        <v>#VALUE!</v>
      </c>
      <c r="Z279">
        <v>25</v>
      </c>
      <c r="AA279">
        <f t="shared" si="363"/>
        <v>13.25</v>
      </c>
      <c r="AB279">
        <v>623</v>
      </c>
      <c r="AC279">
        <f t="shared" si="364"/>
        <v>623</v>
      </c>
      <c r="AD279" t="s">
        <v>73</v>
      </c>
      <c r="AE279" t="e">
        <f t="shared" si="365"/>
        <v>#VALUE!</v>
      </c>
      <c r="AF279" t="s">
        <v>73</v>
      </c>
      <c r="AG279" t="e">
        <f t="shared" si="366"/>
        <v>#VALUE!</v>
      </c>
      <c r="AH279" t="s">
        <v>73</v>
      </c>
      <c r="AI279" t="e">
        <f t="shared" si="367"/>
        <v>#VALUE!</v>
      </c>
      <c r="AJ279">
        <v>25</v>
      </c>
      <c r="AK279">
        <f t="shared" si="368"/>
        <v>13.25</v>
      </c>
      <c r="AL279">
        <v>780</v>
      </c>
      <c r="AM279">
        <f t="shared" si="369"/>
        <v>780</v>
      </c>
      <c r="AN279" t="s">
        <v>73</v>
      </c>
      <c r="AO279" t="e">
        <f t="shared" si="370"/>
        <v>#VALUE!</v>
      </c>
      <c r="AP279" t="s">
        <v>73</v>
      </c>
      <c r="AQ279" t="e">
        <f t="shared" si="371"/>
        <v>#VALUE!</v>
      </c>
      <c r="AR279" t="s">
        <v>73</v>
      </c>
      <c r="AS279" t="e">
        <f t="shared" si="372"/>
        <v>#VALUE!</v>
      </c>
      <c r="AT279">
        <v>24</v>
      </c>
      <c r="AU279">
        <f t="shared" si="373"/>
        <v>12.72</v>
      </c>
      <c r="AV279">
        <v>3000</v>
      </c>
      <c r="AW279">
        <f t="shared" si="374"/>
        <v>3000</v>
      </c>
      <c r="AX279" t="s">
        <v>73</v>
      </c>
      <c r="AY279" t="e">
        <f t="shared" si="375"/>
        <v>#VALUE!</v>
      </c>
      <c r="AZ279" t="s">
        <v>73</v>
      </c>
      <c r="BA279" t="e">
        <f t="shared" si="376"/>
        <v>#VALUE!</v>
      </c>
    </row>
    <row r="280" spans="1:53" x14ac:dyDescent="0.3">
      <c r="A280" t="s">
        <v>74</v>
      </c>
      <c r="B280" t="s">
        <v>622</v>
      </c>
      <c r="C280" t="s">
        <v>623</v>
      </c>
      <c r="D280">
        <v>15416</v>
      </c>
      <c r="E280">
        <f t="shared" si="352"/>
        <v>18499.2</v>
      </c>
      <c r="F280" t="s">
        <v>73</v>
      </c>
      <c r="G280" t="e">
        <f t="shared" si="353"/>
        <v>#VALUE!</v>
      </c>
      <c r="H280" t="s">
        <v>73</v>
      </c>
      <c r="I280" t="str">
        <f t="shared" si="354"/>
        <v>-</v>
      </c>
      <c r="J280">
        <v>577</v>
      </c>
      <c r="K280">
        <f t="shared" si="355"/>
        <v>865.5</v>
      </c>
      <c r="L280" t="s">
        <v>73</v>
      </c>
      <c r="M280" t="e">
        <f t="shared" si="356"/>
        <v>#VALUE!</v>
      </c>
      <c r="N280">
        <v>14214</v>
      </c>
      <c r="O280">
        <f t="shared" si="357"/>
        <v>17056.8</v>
      </c>
      <c r="P280" t="s">
        <v>73</v>
      </c>
      <c r="Q280" t="e">
        <f t="shared" si="358"/>
        <v>#VALUE!</v>
      </c>
      <c r="R280" t="s">
        <v>73</v>
      </c>
      <c r="S280" t="str">
        <f t="shared" si="359"/>
        <v>-</v>
      </c>
      <c r="T280">
        <v>678</v>
      </c>
      <c r="U280">
        <f t="shared" si="360"/>
        <v>1017</v>
      </c>
      <c r="V280" t="s">
        <v>73</v>
      </c>
      <c r="W280" t="e">
        <f t="shared" ref="W280" si="395">V280*1.3</f>
        <v>#VALUE!</v>
      </c>
      <c r="X280">
        <v>10694</v>
      </c>
      <c r="Y280">
        <f t="shared" si="362"/>
        <v>12832.8</v>
      </c>
      <c r="Z280" t="s">
        <v>73</v>
      </c>
      <c r="AA280" t="e">
        <f t="shared" si="363"/>
        <v>#VALUE!</v>
      </c>
      <c r="AB280" t="s">
        <v>73</v>
      </c>
      <c r="AC280" t="str">
        <f t="shared" si="364"/>
        <v>-</v>
      </c>
      <c r="AD280">
        <v>1144</v>
      </c>
      <c r="AE280">
        <f t="shared" si="365"/>
        <v>1716</v>
      </c>
      <c r="AF280">
        <v>257</v>
      </c>
      <c r="AG280">
        <f t="shared" si="366"/>
        <v>334.1</v>
      </c>
      <c r="AH280">
        <v>4765</v>
      </c>
      <c r="AI280">
        <f t="shared" si="367"/>
        <v>5718</v>
      </c>
      <c r="AJ280" t="s">
        <v>73</v>
      </c>
      <c r="AK280" t="e">
        <f t="shared" si="368"/>
        <v>#VALUE!</v>
      </c>
      <c r="AL280">
        <v>2835</v>
      </c>
      <c r="AM280">
        <f t="shared" si="369"/>
        <v>2835</v>
      </c>
      <c r="AN280">
        <v>2659</v>
      </c>
      <c r="AO280">
        <f t="shared" si="370"/>
        <v>3988.5</v>
      </c>
      <c r="AP280">
        <v>168</v>
      </c>
      <c r="AQ280">
        <f t="shared" si="371"/>
        <v>218.4</v>
      </c>
      <c r="AR280">
        <v>7200</v>
      </c>
      <c r="AS280">
        <f t="shared" si="372"/>
        <v>8640</v>
      </c>
      <c r="AT280" t="s">
        <v>73</v>
      </c>
      <c r="AU280" t="e">
        <f t="shared" si="373"/>
        <v>#VALUE!</v>
      </c>
      <c r="AV280">
        <v>706</v>
      </c>
      <c r="AW280">
        <f t="shared" si="374"/>
        <v>706</v>
      </c>
      <c r="AX280">
        <v>1629</v>
      </c>
      <c r="AY280">
        <f t="shared" si="375"/>
        <v>2443.5</v>
      </c>
      <c r="AZ280" t="s">
        <v>73</v>
      </c>
      <c r="BA280" t="e">
        <f t="shared" si="376"/>
        <v>#VALUE!</v>
      </c>
    </row>
    <row r="281" spans="1:53" x14ac:dyDescent="0.3">
      <c r="A281" t="s">
        <v>74</v>
      </c>
      <c r="B281" t="s">
        <v>624</v>
      </c>
      <c r="C281" t="s">
        <v>625</v>
      </c>
      <c r="D281">
        <v>1135</v>
      </c>
      <c r="E281">
        <f t="shared" si="352"/>
        <v>1362</v>
      </c>
      <c r="F281">
        <v>4</v>
      </c>
      <c r="G281">
        <f t="shared" si="353"/>
        <v>2.12</v>
      </c>
      <c r="H281">
        <v>294</v>
      </c>
      <c r="I281">
        <f t="shared" si="354"/>
        <v>294</v>
      </c>
      <c r="J281" t="s">
        <v>73</v>
      </c>
      <c r="K281" t="e">
        <f t="shared" si="355"/>
        <v>#VALUE!</v>
      </c>
      <c r="L281" t="s">
        <v>73</v>
      </c>
      <c r="M281" t="e">
        <f t="shared" si="356"/>
        <v>#VALUE!</v>
      </c>
      <c r="N281">
        <v>1049</v>
      </c>
      <c r="O281">
        <f t="shared" si="357"/>
        <v>1258.8</v>
      </c>
      <c r="P281">
        <v>3</v>
      </c>
      <c r="Q281">
        <f t="shared" si="358"/>
        <v>1.59</v>
      </c>
      <c r="R281">
        <v>49</v>
      </c>
      <c r="S281">
        <f t="shared" si="359"/>
        <v>49</v>
      </c>
      <c r="T281" t="s">
        <v>73</v>
      </c>
      <c r="U281" t="e">
        <f t="shared" si="360"/>
        <v>#VALUE!</v>
      </c>
      <c r="V281" t="s">
        <v>73</v>
      </c>
      <c r="W281" t="e">
        <f t="shared" ref="W281" si="396">V281*1.3</f>
        <v>#VALUE!</v>
      </c>
      <c r="X281">
        <v>1072</v>
      </c>
      <c r="Y281">
        <f t="shared" si="362"/>
        <v>1286.3999999999999</v>
      </c>
      <c r="Z281">
        <v>3</v>
      </c>
      <c r="AA281">
        <f t="shared" si="363"/>
        <v>1.59</v>
      </c>
      <c r="AB281">
        <v>98</v>
      </c>
      <c r="AC281">
        <f t="shared" si="364"/>
        <v>98</v>
      </c>
      <c r="AD281" t="s">
        <v>73</v>
      </c>
      <c r="AE281" t="e">
        <f t="shared" si="365"/>
        <v>#VALUE!</v>
      </c>
      <c r="AF281" t="s">
        <v>73</v>
      </c>
      <c r="AG281" t="e">
        <f t="shared" si="366"/>
        <v>#VALUE!</v>
      </c>
      <c r="AH281">
        <v>1085</v>
      </c>
      <c r="AI281">
        <f t="shared" si="367"/>
        <v>1302</v>
      </c>
      <c r="AJ281">
        <v>3</v>
      </c>
      <c r="AK281">
        <f t="shared" si="368"/>
        <v>1.59</v>
      </c>
      <c r="AL281">
        <v>24</v>
      </c>
      <c r="AM281">
        <f t="shared" si="369"/>
        <v>24</v>
      </c>
      <c r="AN281" t="s">
        <v>73</v>
      </c>
      <c r="AO281" t="e">
        <f t="shared" si="370"/>
        <v>#VALUE!</v>
      </c>
      <c r="AP281" t="s">
        <v>73</v>
      </c>
      <c r="AQ281" t="e">
        <f t="shared" si="371"/>
        <v>#VALUE!</v>
      </c>
      <c r="AR281">
        <v>1097</v>
      </c>
      <c r="AS281">
        <f t="shared" si="372"/>
        <v>1316.3999999999999</v>
      </c>
      <c r="AT281">
        <v>3</v>
      </c>
      <c r="AU281">
        <f t="shared" si="373"/>
        <v>1.59</v>
      </c>
      <c r="AV281">
        <v>25</v>
      </c>
      <c r="AW281">
        <f t="shared" si="374"/>
        <v>25</v>
      </c>
      <c r="AX281" t="s">
        <v>73</v>
      </c>
      <c r="AY281" t="e">
        <f t="shared" si="375"/>
        <v>#VALUE!</v>
      </c>
      <c r="AZ281" t="s">
        <v>73</v>
      </c>
      <c r="BA281" t="e">
        <f t="shared" si="376"/>
        <v>#VALUE!</v>
      </c>
    </row>
    <row r="282" spans="1:53" x14ac:dyDescent="0.3">
      <c r="A282" t="s">
        <v>74</v>
      </c>
      <c r="B282" t="s">
        <v>626</v>
      </c>
      <c r="C282" t="s">
        <v>627</v>
      </c>
      <c r="D282">
        <v>4</v>
      </c>
      <c r="E282">
        <f t="shared" si="352"/>
        <v>4.8</v>
      </c>
      <c r="F282">
        <v>26</v>
      </c>
      <c r="G282">
        <f t="shared" si="353"/>
        <v>13.780000000000001</v>
      </c>
      <c r="H282">
        <v>2423</v>
      </c>
      <c r="I282">
        <f t="shared" si="354"/>
        <v>2423</v>
      </c>
      <c r="J282" t="s">
        <v>73</v>
      </c>
      <c r="K282" t="e">
        <f t="shared" si="355"/>
        <v>#VALUE!</v>
      </c>
      <c r="L282" t="s">
        <v>73</v>
      </c>
      <c r="M282" t="e">
        <f t="shared" si="356"/>
        <v>#VALUE!</v>
      </c>
      <c r="N282">
        <v>4</v>
      </c>
      <c r="O282">
        <f t="shared" si="357"/>
        <v>4.8</v>
      </c>
      <c r="P282">
        <v>25</v>
      </c>
      <c r="Q282">
        <f t="shared" si="358"/>
        <v>13.25</v>
      </c>
      <c r="R282">
        <v>2338</v>
      </c>
      <c r="S282">
        <f t="shared" si="359"/>
        <v>2338</v>
      </c>
      <c r="T282" t="s">
        <v>73</v>
      </c>
      <c r="U282" t="e">
        <f t="shared" si="360"/>
        <v>#VALUE!</v>
      </c>
      <c r="V282" t="s">
        <v>73</v>
      </c>
      <c r="W282" t="e">
        <f t="shared" ref="W282" si="397">V282*1.3</f>
        <v>#VALUE!</v>
      </c>
      <c r="X282">
        <v>4</v>
      </c>
      <c r="Y282">
        <f t="shared" si="362"/>
        <v>4.8</v>
      </c>
      <c r="Z282">
        <v>54</v>
      </c>
      <c r="AA282">
        <f t="shared" si="363"/>
        <v>28.62</v>
      </c>
      <c r="AB282">
        <v>2267</v>
      </c>
      <c r="AC282">
        <f t="shared" si="364"/>
        <v>2267</v>
      </c>
      <c r="AD282" t="s">
        <v>73</v>
      </c>
      <c r="AE282" t="e">
        <f t="shared" si="365"/>
        <v>#VALUE!</v>
      </c>
      <c r="AF282" t="s">
        <v>73</v>
      </c>
      <c r="AG282" t="e">
        <f t="shared" si="366"/>
        <v>#VALUE!</v>
      </c>
      <c r="AH282">
        <v>4</v>
      </c>
      <c r="AI282">
        <f t="shared" si="367"/>
        <v>4.8</v>
      </c>
      <c r="AJ282">
        <v>50</v>
      </c>
      <c r="AK282">
        <f t="shared" si="368"/>
        <v>26.5</v>
      </c>
      <c r="AL282">
        <v>2210</v>
      </c>
      <c r="AM282">
        <f t="shared" si="369"/>
        <v>2210</v>
      </c>
      <c r="AN282" t="s">
        <v>73</v>
      </c>
      <c r="AO282" t="e">
        <f t="shared" si="370"/>
        <v>#VALUE!</v>
      </c>
      <c r="AP282" t="s">
        <v>73</v>
      </c>
      <c r="AQ282" t="e">
        <f t="shared" si="371"/>
        <v>#VALUE!</v>
      </c>
      <c r="AR282">
        <v>4</v>
      </c>
      <c r="AS282">
        <f t="shared" si="372"/>
        <v>4.8</v>
      </c>
      <c r="AT282">
        <v>50</v>
      </c>
      <c r="AU282">
        <f t="shared" si="373"/>
        <v>26.5</v>
      </c>
      <c r="AV282">
        <v>2210</v>
      </c>
      <c r="AW282">
        <f t="shared" si="374"/>
        <v>2210</v>
      </c>
      <c r="AX282" t="s">
        <v>73</v>
      </c>
      <c r="AY282" t="e">
        <f t="shared" si="375"/>
        <v>#VALUE!</v>
      </c>
      <c r="AZ282" t="s">
        <v>73</v>
      </c>
      <c r="BA282" t="e">
        <f t="shared" si="376"/>
        <v>#VALUE!</v>
      </c>
    </row>
    <row r="283" spans="1:53" x14ac:dyDescent="0.3">
      <c r="A283" t="s">
        <v>74</v>
      </c>
      <c r="B283" t="s">
        <v>628</v>
      </c>
      <c r="C283" t="s">
        <v>629</v>
      </c>
      <c r="D283">
        <v>3360</v>
      </c>
      <c r="E283">
        <f t="shared" si="352"/>
        <v>4032</v>
      </c>
      <c r="F283">
        <v>10</v>
      </c>
      <c r="G283">
        <f t="shared" si="353"/>
        <v>5.3000000000000007</v>
      </c>
      <c r="H283">
        <v>42</v>
      </c>
      <c r="I283">
        <f t="shared" si="354"/>
        <v>42</v>
      </c>
      <c r="J283">
        <v>203</v>
      </c>
      <c r="K283">
        <f t="shared" si="355"/>
        <v>304.5</v>
      </c>
      <c r="L283" t="s">
        <v>73</v>
      </c>
      <c r="M283" t="e">
        <f t="shared" si="356"/>
        <v>#VALUE!</v>
      </c>
      <c r="N283">
        <v>3354</v>
      </c>
      <c r="O283">
        <f t="shared" si="357"/>
        <v>4024.7999999999997</v>
      </c>
      <c r="P283">
        <v>11</v>
      </c>
      <c r="Q283">
        <f t="shared" si="358"/>
        <v>5.83</v>
      </c>
      <c r="R283">
        <v>38</v>
      </c>
      <c r="S283">
        <f t="shared" si="359"/>
        <v>38</v>
      </c>
      <c r="T283">
        <v>203</v>
      </c>
      <c r="U283">
        <f t="shared" si="360"/>
        <v>304.5</v>
      </c>
      <c r="V283" t="s">
        <v>73</v>
      </c>
      <c r="W283" t="e">
        <f t="shared" ref="W283" si="398">V283*1.3</f>
        <v>#VALUE!</v>
      </c>
      <c r="X283">
        <v>2774</v>
      </c>
      <c r="Y283">
        <f t="shared" si="362"/>
        <v>3328.7999999999997</v>
      </c>
      <c r="Z283">
        <v>10</v>
      </c>
      <c r="AA283">
        <f t="shared" si="363"/>
        <v>5.3000000000000007</v>
      </c>
      <c r="AB283">
        <v>24</v>
      </c>
      <c r="AC283">
        <f t="shared" si="364"/>
        <v>24</v>
      </c>
      <c r="AD283">
        <v>294</v>
      </c>
      <c r="AE283">
        <f t="shared" si="365"/>
        <v>441</v>
      </c>
      <c r="AF283" t="s">
        <v>73</v>
      </c>
      <c r="AG283" t="e">
        <f t="shared" si="366"/>
        <v>#VALUE!</v>
      </c>
      <c r="AH283">
        <v>1150</v>
      </c>
      <c r="AI283">
        <f t="shared" si="367"/>
        <v>1380</v>
      </c>
      <c r="AJ283">
        <v>7</v>
      </c>
      <c r="AK283">
        <f t="shared" si="368"/>
        <v>3.71</v>
      </c>
      <c r="AL283">
        <v>23</v>
      </c>
      <c r="AM283">
        <f t="shared" si="369"/>
        <v>23</v>
      </c>
      <c r="AN283">
        <v>1200</v>
      </c>
      <c r="AO283">
        <f t="shared" si="370"/>
        <v>1800</v>
      </c>
      <c r="AP283" t="s">
        <v>73</v>
      </c>
      <c r="AQ283" t="e">
        <f t="shared" si="371"/>
        <v>#VALUE!</v>
      </c>
      <c r="AR283">
        <v>1400</v>
      </c>
      <c r="AS283">
        <f t="shared" si="372"/>
        <v>1680</v>
      </c>
      <c r="AT283">
        <v>5</v>
      </c>
      <c r="AU283">
        <f t="shared" si="373"/>
        <v>2.6500000000000004</v>
      </c>
      <c r="AV283">
        <v>18</v>
      </c>
      <c r="AW283">
        <f t="shared" si="374"/>
        <v>18</v>
      </c>
      <c r="AX283">
        <v>1336</v>
      </c>
      <c r="AY283">
        <f t="shared" si="375"/>
        <v>2004</v>
      </c>
      <c r="AZ283" t="s">
        <v>73</v>
      </c>
      <c r="BA283" t="e">
        <f t="shared" si="376"/>
        <v>#VALUE!</v>
      </c>
    </row>
    <row r="284" spans="1:53" x14ac:dyDescent="0.3">
      <c r="A284" t="s">
        <v>74</v>
      </c>
      <c r="B284" t="s">
        <v>630</v>
      </c>
      <c r="C284" t="s">
        <v>631</v>
      </c>
      <c r="D284">
        <v>21113</v>
      </c>
      <c r="E284">
        <f t="shared" si="352"/>
        <v>25335.599999999999</v>
      </c>
      <c r="F284">
        <v>79</v>
      </c>
      <c r="G284">
        <f t="shared" si="353"/>
        <v>41.870000000000005</v>
      </c>
      <c r="H284">
        <v>336</v>
      </c>
      <c r="I284">
        <f t="shared" si="354"/>
        <v>336</v>
      </c>
      <c r="J284">
        <v>198</v>
      </c>
      <c r="K284">
        <f t="shared" si="355"/>
        <v>297</v>
      </c>
      <c r="L284" t="s">
        <v>73</v>
      </c>
      <c r="M284" t="e">
        <f t="shared" si="356"/>
        <v>#VALUE!</v>
      </c>
      <c r="N284">
        <v>18984</v>
      </c>
      <c r="O284">
        <f t="shared" si="357"/>
        <v>22780.799999999999</v>
      </c>
      <c r="P284">
        <v>79</v>
      </c>
      <c r="Q284">
        <f t="shared" si="358"/>
        <v>41.870000000000005</v>
      </c>
      <c r="R284">
        <v>280</v>
      </c>
      <c r="S284">
        <f t="shared" si="359"/>
        <v>280</v>
      </c>
      <c r="T284">
        <v>198</v>
      </c>
      <c r="U284">
        <f t="shared" si="360"/>
        <v>297</v>
      </c>
      <c r="V284" t="s">
        <v>73</v>
      </c>
      <c r="W284" t="e">
        <f t="shared" ref="W284" si="399">V284*1.3</f>
        <v>#VALUE!</v>
      </c>
      <c r="X284">
        <v>18984</v>
      </c>
      <c r="Y284">
        <f t="shared" si="362"/>
        <v>22780.799999999999</v>
      </c>
      <c r="Z284">
        <v>79</v>
      </c>
      <c r="AA284">
        <f t="shared" si="363"/>
        <v>41.870000000000005</v>
      </c>
      <c r="AB284">
        <v>210</v>
      </c>
      <c r="AC284">
        <f t="shared" si="364"/>
        <v>210</v>
      </c>
      <c r="AD284">
        <v>198</v>
      </c>
      <c r="AE284">
        <f t="shared" si="365"/>
        <v>297</v>
      </c>
      <c r="AF284" t="s">
        <v>73</v>
      </c>
      <c r="AG284" t="e">
        <f t="shared" si="366"/>
        <v>#VALUE!</v>
      </c>
      <c r="AH284">
        <v>20088</v>
      </c>
      <c r="AI284">
        <f t="shared" si="367"/>
        <v>24105.599999999999</v>
      </c>
      <c r="AJ284">
        <v>41</v>
      </c>
      <c r="AK284">
        <f t="shared" si="368"/>
        <v>21.73</v>
      </c>
      <c r="AL284">
        <v>180</v>
      </c>
      <c r="AM284">
        <f t="shared" si="369"/>
        <v>180</v>
      </c>
      <c r="AN284">
        <v>336</v>
      </c>
      <c r="AO284">
        <f t="shared" si="370"/>
        <v>504</v>
      </c>
      <c r="AP284" t="s">
        <v>73</v>
      </c>
      <c r="AQ284" t="e">
        <f t="shared" si="371"/>
        <v>#VALUE!</v>
      </c>
      <c r="AR284">
        <v>19440</v>
      </c>
      <c r="AS284">
        <f t="shared" si="372"/>
        <v>23328</v>
      </c>
      <c r="AT284">
        <v>41</v>
      </c>
      <c r="AU284">
        <f t="shared" si="373"/>
        <v>21.73</v>
      </c>
      <c r="AV284">
        <v>245</v>
      </c>
      <c r="AW284">
        <f t="shared" si="374"/>
        <v>245</v>
      </c>
      <c r="AX284">
        <v>280</v>
      </c>
      <c r="AY284">
        <f t="shared" si="375"/>
        <v>420</v>
      </c>
      <c r="AZ284" t="s">
        <v>73</v>
      </c>
      <c r="BA284" t="e">
        <f t="shared" si="376"/>
        <v>#VALUE!</v>
      </c>
    </row>
    <row r="285" spans="1:53" x14ac:dyDescent="0.3">
      <c r="A285" t="s">
        <v>74</v>
      </c>
      <c r="B285" t="s">
        <v>632</v>
      </c>
      <c r="C285" t="s">
        <v>633</v>
      </c>
      <c r="D285">
        <v>16248</v>
      </c>
      <c r="E285">
        <f t="shared" si="352"/>
        <v>19497.599999999999</v>
      </c>
      <c r="F285">
        <v>12</v>
      </c>
      <c r="G285">
        <f t="shared" si="353"/>
        <v>6.36</v>
      </c>
      <c r="H285">
        <v>120</v>
      </c>
      <c r="I285">
        <f t="shared" si="354"/>
        <v>120</v>
      </c>
      <c r="J285">
        <v>30</v>
      </c>
      <c r="K285">
        <f t="shared" si="355"/>
        <v>45</v>
      </c>
      <c r="L285" t="s">
        <v>73</v>
      </c>
      <c r="M285" t="e">
        <f t="shared" si="356"/>
        <v>#VALUE!</v>
      </c>
      <c r="N285">
        <v>15429</v>
      </c>
      <c r="O285">
        <f t="shared" si="357"/>
        <v>18514.8</v>
      </c>
      <c r="P285">
        <v>12</v>
      </c>
      <c r="Q285">
        <f t="shared" si="358"/>
        <v>6.36</v>
      </c>
      <c r="R285">
        <v>120</v>
      </c>
      <c r="S285">
        <f t="shared" si="359"/>
        <v>120</v>
      </c>
      <c r="T285">
        <v>35</v>
      </c>
      <c r="U285">
        <f t="shared" si="360"/>
        <v>52.5</v>
      </c>
      <c r="V285" t="s">
        <v>73</v>
      </c>
      <c r="W285" t="e">
        <f t="shared" ref="W285" si="400">V285*1.3</f>
        <v>#VALUE!</v>
      </c>
      <c r="X285">
        <v>15429</v>
      </c>
      <c r="Y285">
        <f t="shared" si="362"/>
        <v>18514.8</v>
      </c>
      <c r="Z285">
        <v>12</v>
      </c>
      <c r="AA285">
        <f t="shared" si="363"/>
        <v>6.36</v>
      </c>
      <c r="AB285">
        <v>120</v>
      </c>
      <c r="AC285">
        <f t="shared" si="364"/>
        <v>120</v>
      </c>
      <c r="AD285">
        <v>35</v>
      </c>
      <c r="AE285">
        <f t="shared" si="365"/>
        <v>52.5</v>
      </c>
      <c r="AF285" t="s">
        <v>73</v>
      </c>
      <c r="AG285" t="e">
        <f t="shared" si="366"/>
        <v>#VALUE!</v>
      </c>
      <c r="AH285">
        <v>14757</v>
      </c>
      <c r="AI285">
        <f t="shared" si="367"/>
        <v>17708.399999999998</v>
      </c>
      <c r="AJ285">
        <v>9</v>
      </c>
      <c r="AK285">
        <f t="shared" si="368"/>
        <v>4.7700000000000005</v>
      </c>
      <c r="AL285">
        <v>120</v>
      </c>
      <c r="AM285">
        <f t="shared" si="369"/>
        <v>120</v>
      </c>
      <c r="AN285">
        <v>369</v>
      </c>
      <c r="AO285">
        <f t="shared" si="370"/>
        <v>553.5</v>
      </c>
      <c r="AP285" t="s">
        <v>73</v>
      </c>
      <c r="AQ285" t="e">
        <f t="shared" si="371"/>
        <v>#VALUE!</v>
      </c>
      <c r="AR285">
        <v>14175</v>
      </c>
      <c r="AS285">
        <f t="shared" si="372"/>
        <v>17010</v>
      </c>
      <c r="AT285">
        <v>9</v>
      </c>
      <c r="AU285">
        <f t="shared" si="373"/>
        <v>4.7700000000000005</v>
      </c>
      <c r="AV285">
        <v>120</v>
      </c>
      <c r="AW285">
        <f t="shared" si="374"/>
        <v>120</v>
      </c>
      <c r="AX285">
        <v>285</v>
      </c>
      <c r="AY285">
        <f t="shared" si="375"/>
        <v>427.5</v>
      </c>
      <c r="AZ285" t="s">
        <v>73</v>
      </c>
      <c r="BA285" t="e">
        <f t="shared" si="376"/>
        <v>#VALUE!</v>
      </c>
    </row>
    <row r="286" spans="1:53" x14ac:dyDescent="0.3">
      <c r="A286" t="s">
        <v>74</v>
      </c>
      <c r="B286" t="s">
        <v>634</v>
      </c>
      <c r="C286" t="s">
        <v>635</v>
      </c>
      <c r="D286">
        <v>33908</v>
      </c>
      <c r="E286">
        <f t="shared" si="352"/>
        <v>40689.599999999999</v>
      </c>
      <c r="F286" t="s">
        <v>73</v>
      </c>
      <c r="G286" t="e">
        <f t="shared" si="353"/>
        <v>#VALUE!</v>
      </c>
      <c r="H286">
        <v>750</v>
      </c>
      <c r="I286">
        <f t="shared" si="354"/>
        <v>750</v>
      </c>
      <c r="J286">
        <v>420</v>
      </c>
      <c r="K286">
        <f t="shared" si="355"/>
        <v>630</v>
      </c>
      <c r="L286" t="s">
        <v>73</v>
      </c>
      <c r="M286" t="e">
        <f t="shared" si="356"/>
        <v>#VALUE!</v>
      </c>
      <c r="N286">
        <v>31446</v>
      </c>
      <c r="O286">
        <f t="shared" si="357"/>
        <v>37735.199999999997</v>
      </c>
      <c r="P286" t="s">
        <v>73</v>
      </c>
      <c r="Q286" t="e">
        <f t="shared" si="358"/>
        <v>#VALUE!</v>
      </c>
      <c r="R286">
        <v>750</v>
      </c>
      <c r="S286">
        <f t="shared" si="359"/>
        <v>750</v>
      </c>
      <c r="T286">
        <v>420</v>
      </c>
      <c r="U286">
        <f t="shared" si="360"/>
        <v>630</v>
      </c>
      <c r="V286" t="s">
        <v>73</v>
      </c>
      <c r="W286" t="e">
        <f t="shared" ref="W286" si="401">V286*1.3</f>
        <v>#VALUE!</v>
      </c>
      <c r="X286">
        <v>31446</v>
      </c>
      <c r="Y286">
        <f t="shared" si="362"/>
        <v>37735.199999999997</v>
      </c>
      <c r="Z286" t="s">
        <v>73</v>
      </c>
      <c r="AA286" t="e">
        <f t="shared" si="363"/>
        <v>#VALUE!</v>
      </c>
      <c r="AB286">
        <v>750</v>
      </c>
      <c r="AC286">
        <f t="shared" si="364"/>
        <v>750</v>
      </c>
      <c r="AD286">
        <v>420</v>
      </c>
      <c r="AE286">
        <f t="shared" si="365"/>
        <v>630</v>
      </c>
      <c r="AF286" t="s">
        <v>73</v>
      </c>
      <c r="AG286" t="e">
        <f t="shared" si="366"/>
        <v>#VALUE!</v>
      </c>
      <c r="AH286">
        <v>26980</v>
      </c>
      <c r="AI286">
        <f t="shared" si="367"/>
        <v>32376</v>
      </c>
      <c r="AJ286" t="s">
        <v>73</v>
      </c>
      <c r="AK286" t="e">
        <f t="shared" si="368"/>
        <v>#VALUE!</v>
      </c>
      <c r="AL286">
        <v>1080</v>
      </c>
      <c r="AM286">
        <f t="shared" si="369"/>
        <v>1080</v>
      </c>
      <c r="AN286">
        <v>2142</v>
      </c>
      <c r="AO286">
        <f t="shared" si="370"/>
        <v>3213</v>
      </c>
      <c r="AP286" t="s">
        <v>73</v>
      </c>
      <c r="AQ286" t="e">
        <f t="shared" si="371"/>
        <v>#VALUE!</v>
      </c>
      <c r="AR286">
        <v>25650</v>
      </c>
      <c r="AS286">
        <f t="shared" si="372"/>
        <v>30780</v>
      </c>
      <c r="AT286" t="s">
        <v>73</v>
      </c>
      <c r="AU286" t="e">
        <f t="shared" si="373"/>
        <v>#VALUE!</v>
      </c>
      <c r="AV286">
        <v>900</v>
      </c>
      <c r="AW286">
        <f t="shared" si="374"/>
        <v>900</v>
      </c>
      <c r="AX286">
        <v>1692</v>
      </c>
      <c r="AY286">
        <f t="shared" si="375"/>
        <v>2538</v>
      </c>
      <c r="AZ286" t="s">
        <v>73</v>
      </c>
      <c r="BA286" t="e">
        <f t="shared" si="376"/>
        <v>#VALUE!</v>
      </c>
    </row>
    <row r="287" spans="1:53" x14ac:dyDescent="0.3">
      <c r="A287" t="s">
        <v>74</v>
      </c>
      <c r="B287" t="s">
        <v>636</v>
      </c>
      <c r="C287" t="s">
        <v>637</v>
      </c>
      <c r="D287">
        <v>7748</v>
      </c>
      <c r="E287">
        <f t="shared" si="352"/>
        <v>9297.6</v>
      </c>
      <c r="F287">
        <v>9</v>
      </c>
      <c r="G287">
        <f t="shared" si="353"/>
        <v>4.7700000000000005</v>
      </c>
      <c r="H287">
        <v>48</v>
      </c>
      <c r="I287">
        <f t="shared" si="354"/>
        <v>48</v>
      </c>
      <c r="J287" t="s">
        <v>73</v>
      </c>
      <c r="K287" t="e">
        <f t="shared" si="355"/>
        <v>#VALUE!</v>
      </c>
      <c r="L287" t="s">
        <v>73</v>
      </c>
      <c r="M287" t="e">
        <f t="shared" si="356"/>
        <v>#VALUE!</v>
      </c>
      <c r="N287">
        <v>6433</v>
      </c>
      <c r="O287">
        <f t="shared" si="357"/>
        <v>7719.5999999999995</v>
      </c>
      <c r="P287">
        <v>9</v>
      </c>
      <c r="Q287">
        <f t="shared" si="358"/>
        <v>4.7700000000000005</v>
      </c>
      <c r="R287">
        <v>52</v>
      </c>
      <c r="S287">
        <f t="shared" si="359"/>
        <v>52</v>
      </c>
      <c r="T287" t="s">
        <v>73</v>
      </c>
      <c r="U287" t="e">
        <f t="shared" si="360"/>
        <v>#VALUE!</v>
      </c>
      <c r="V287" t="s">
        <v>73</v>
      </c>
      <c r="W287" t="e">
        <f t="shared" ref="W287" si="402">V287*1.3</f>
        <v>#VALUE!</v>
      </c>
      <c r="X287">
        <v>1072</v>
      </c>
      <c r="Y287">
        <f t="shared" si="362"/>
        <v>1286.3999999999999</v>
      </c>
      <c r="Z287">
        <v>9</v>
      </c>
      <c r="AA287">
        <f t="shared" si="363"/>
        <v>4.7700000000000005</v>
      </c>
      <c r="AB287">
        <v>57</v>
      </c>
      <c r="AC287">
        <f t="shared" si="364"/>
        <v>57</v>
      </c>
      <c r="AD287" t="s">
        <v>73</v>
      </c>
      <c r="AE287" t="e">
        <f t="shared" si="365"/>
        <v>#VALUE!</v>
      </c>
      <c r="AF287" t="s">
        <v>73</v>
      </c>
      <c r="AG287" t="e">
        <f t="shared" si="366"/>
        <v>#VALUE!</v>
      </c>
      <c r="AH287">
        <v>1060</v>
      </c>
      <c r="AI287">
        <f t="shared" si="367"/>
        <v>1272</v>
      </c>
      <c r="AJ287">
        <v>5</v>
      </c>
      <c r="AK287">
        <f t="shared" si="368"/>
        <v>2.6500000000000004</v>
      </c>
      <c r="AL287">
        <v>342</v>
      </c>
      <c r="AM287">
        <f t="shared" si="369"/>
        <v>342</v>
      </c>
      <c r="AN287" t="s">
        <v>73</v>
      </c>
      <c r="AO287" t="e">
        <f t="shared" si="370"/>
        <v>#VALUE!</v>
      </c>
      <c r="AP287" t="s">
        <v>73</v>
      </c>
      <c r="AQ287" t="e">
        <f t="shared" si="371"/>
        <v>#VALUE!</v>
      </c>
      <c r="AR287">
        <v>1100</v>
      </c>
      <c r="AS287">
        <f t="shared" si="372"/>
        <v>1320</v>
      </c>
      <c r="AT287">
        <v>5</v>
      </c>
      <c r="AU287">
        <f t="shared" si="373"/>
        <v>2.6500000000000004</v>
      </c>
      <c r="AV287">
        <v>330</v>
      </c>
      <c r="AW287">
        <f t="shared" si="374"/>
        <v>330</v>
      </c>
      <c r="AX287" t="s">
        <v>73</v>
      </c>
      <c r="AY287" t="e">
        <f t="shared" si="375"/>
        <v>#VALUE!</v>
      </c>
      <c r="AZ287" t="s">
        <v>73</v>
      </c>
      <c r="BA287" t="e">
        <f t="shared" si="376"/>
        <v>#VALUE!</v>
      </c>
    </row>
    <row r="288" spans="1:53" x14ac:dyDescent="0.3">
      <c r="A288" t="s">
        <v>74</v>
      </c>
      <c r="B288" t="s">
        <v>638</v>
      </c>
      <c r="C288" t="s">
        <v>639</v>
      </c>
      <c r="D288">
        <v>5</v>
      </c>
      <c r="E288">
        <f t="shared" si="352"/>
        <v>6</v>
      </c>
      <c r="F288">
        <v>70</v>
      </c>
      <c r="G288">
        <f t="shared" si="353"/>
        <v>37.1</v>
      </c>
      <c r="H288">
        <v>5040</v>
      </c>
      <c r="I288">
        <f t="shared" si="354"/>
        <v>5040</v>
      </c>
      <c r="J288" t="s">
        <v>73</v>
      </c>
      <c r="K288" t="e">
        <f t="shared" si="355"/>
        <v>#VALUE!</v>
      </c>
      <c r="L288" t="s">
        <v>73</v>
      </c>
      <c r="M288" t="e">
        <f t="shared" si="356"/>
        <v>#VALUE!</v>
      </c>
      <c r="N288">
        <v>5</v>
      </c>
      <c r="O288">
        <f t="shared" si="357"/>
        <v>6</v>
      </c>
      <c r="P288">
        <v>114</v>
      </c>
      <c r="Q288">
        <f t="shared" si="358"/>
        <v>60.42</v>
      </c>
      <c r="R288">
        <v>3780</v>
      </c>
      <c r="S288">
        <f t="shared" si="359"/>
        <v>3780</v>
      </c>
      <c r="T288" t="s">
        <v>73</v>
      </c>
      <c r="U288" t="e">
        <f t="shared" si="360"/>
        <v>#VALUE!</v>
      </c>
      <c r="V288" t="s">
        <v>73</v>
      </c>
      <c r="W288" t="e">
        <f t="shared" ref="W288" si="403">V288*1.3</f>
        <v>#VALUE!</v>
      </c>
      <c r="X288">
        <v>5</v>
      </c>
      <c r="Y288">
        <f t="shared" si="362"/>
        <v>6</v>
      </c>
      <c r="Z288">
        <v>138</v>
      </c>
      <c r="AA288">
        <f t="shared" si="363"/>
        <v>73.14</v>
      </c>
      <c r="AB288">
        <v>4800</v>
      </c>
      <c r="AC288">
        <f t="shared" si="364"/>
        <v>4800</v>
      </c>
      <c r="AD288">
        <v>36</v>
      </c>
      <c r="AE288">
        <f t="shared" si="365"/>
        <v>54</v>
      </c>
      <c r="AF288" t="s">
        <v>73</v>
      </c>
      <c r="AG288" t="e">
        <f t="shared" si="366"/>
        <v>#VALUE!</v>
      </c>
      <c r="AH288">
        <v>6</v>
      </c>
      <c r="AI288">
        <f t="shared" si="367"/>
        <v>7.1999999999999993</v>
      </c>
      <c r="AJ288">
        <v>73</v>
      </c>
      <c r="AK288">
        <f t="shared" si="368"/>
        <v>38.690000000000005</v>
      </c>
      <c r="AL288">
        <v>4500</v>
      </c>
      <c r="AM288">
        <f t="shared" si="369"/>
        <v>4500</v>
      </c>
      <c r="AN288">
        <v>300</v>
      </c>
      <c r="AO288">
        <f t="shared" si="370"/>
        <v>450</v>
      </c>
      <c r="AP288">
        <v>100</v>
      </c>
      <c r="AQ288">
        <f t="shared" si="371"/>
        <v>130</v>
      </c>
      <c r="AR288">
        <v>6</v>
      </c>
      <c r="AS288">
        <f t="shared" si="372"/>
        <v>7.1999999999999993</v>
      </c>
      <c r="AT288">
        <v>50</v>
      </c>
      <c r="AU288">
        <f t="shared" si="373"/>
        <v>26.5</v>
      </c>
      <c r="AV288">
        <v>5400</v>
      </c>
      <c r="AW288">
        <f t="shared" si="374"/>
        <v>5400</v>
      </c>
      <c r="AX288">
        <v>300</v>
      </c>
      <c r="AY288">
        <f t="shared" si="375"/>
        <v>450</v>
      </c>
      <c r="AZ288" t="s">
        <v>73</v>
      </c>
      <c r="BA288" t="e">
        <f t="shared" si="376"/>
        <v>#VALUE!</v>
      </c>
    </row>
    <row r="289" spans="1:53" x14ac:dyDescent="0.3">
      <c r="A289" t="s">
        <v>74</v>
      </c>
      <c r="B289" t="s">
        <v>640</v>
      </c>
      <c r="C289" t="s">
        <v>641</v>
      </c>
      <c r="D289">
        <v>351</v>
      </c>
      <c r="E289">
        <f t="shared" si="352"/>
        <v>421.2</v>
      </c>
      <c r="F289">
        <v>224</v>
      </c>
      <c r="G289">
        <f t="shared" si="353"/>
        <v>118.72</v>
      </c>
      <c r="H289">
        <v>3334</v>
      </c>
      <c r="I289">
        <f t="shared" si="354"/>
        <v>3334</v>
      </c>
      <c r="J289" t="s">
        <v>73</v>
      </c>
      <c r="K289" t="e">
        <f t="shared" si="355"/>
        <v>#VALUE!</v>
      </c>
      <c r="L289" t="s">
        <v>73</v>
      </c>
      <c r="M289" t="e">
        <f t="shared" si="356"/>
        <v>#VALUE!</v>
      </c>
      <c r="N289">
        <v>351</v>
      </c>
      <c r="O289">
        <f t="shared" si="357"/>
        <v>421.2</v>
      </c>
      <c r="P289">
        <v>224</v>
      </c>
      <c r="Q289">
        <f t="shared" si="358"/>
        <v>118.72</v>
      </c>
      <c r="R289">
        <v>3445</v>
      </c>
      <c r="S289">
        <f t="shared" si="359"/>
        <v>3445</v>
      </c>
      <c r="T289" t="s">
        <v>73</v>
      </c>
      <c r="U289" t="e">
        <f t="shared" si="360"/>
        <v>#VALUE!</v>
      </c>
      <c r="V289" t="s">
        <v>73</v>
      </c>
      <c r="W289" t="e">
        <f t="shared" ref="W289" si="404">V289*1.3</f>
        <v>#VALUE!</v>
      </c>
      <c r="X289">
        <v>351</v>
      </c>
      <c r="Y289">
        <f t="shared" si="362"/>
        <v>421.2</v>
      </c>
      <c r="Z289">
        <v>224</v>
      </c>
      <c r="AA289">
        <f t="shared" si="363"/>
        <v>118.72</v>
      </c>
      <c r="AB289">
        <v>3445</v>
      </c>
      <c r="AC289">
        <f t="shared" si="364"/>
        <v>3445</v>
      </c>
      <c r="AD289" t="s">
        <v>73</v>
      </c>
      <c r="AE289" t="e">
        <f t="shared" si="365"/>
        <v>#VALUE!</v>
      </c>
      <c r="AF289" t="s">
        <v>73</v>
      </c>
      <c r="AG289" t="e">
        <f t="shared" si="366"/>
        <v>#VALUE!</v>
      </c>
      <c r="AH289">
        <v>351</v>
      </c>
      <c r="AI289">
        <f t="shared" si="367"/>
        <v>421.2</v>
      </c>
      <c r="AJ289">
        <v>224</v>
      </c>
      <c r="AK289">
        <f t="shared" si="368"/>
        <v>118.72</v>
      </c>
      <c r="AL289">
        <v>2963</v>
      </c>
      <c r="AM289">
        <f t="shared" si="369"/>
        <v>2963</v>
      </c>
      <c r="AN289">
        <v>4</v>
      </c>
      <c r="AO289">
        <f t="shared" si="370"/>
        <v>6</v>
      </c>
      <c r="AP289" t="s">
        <v>73</v>
      </c>
      <c r="AQ289" t="e">
        <f t="shared" si="371"/>
        <v>#VALUE!</v>
      </c>
      <c r="AR289">
        <v>280</v>
      </c>
      <c r="AS289">
        <f t="shared" si="372"/>
        <v>336</v>
      </c>
      <c r="AT289">
        <v>20</v>
      </c>
      <c r="AU289">
        <f t="shared" si="373"/>
        <v>10.600000000000001</v>
      </c>
      <c r="AV289">
        <v>1200</v>
      </c>
      <c r="AW289">
        <f t="shared" si="374"/>
        <v>1200</v>
      </c>
      <c r="AX289">
        <v>105</v>
      </c>
      <c r="AY289">
        <f t="shared" si="375"/>
        <v>157.5</v>
      </c>
      <c r="AZ289" t="s">
        <v>73</v>
      </c>
      <c r="BA289" t="e">
        <f t="shared" si="376"/>
        <v>#VALUE!</v>
      </c>
    </row>
    <row r="290" spans="1:53" x14ac:dyDescent="0.3">
      <c r="A290" t="s">
        <v>74</v>
      </c>
      <c r="B290" t="s">
        <v>642</v>
      </c>
      <c r="C290" t="s">
        <v>643</v>
      </c>
      <c r="D290">
        <v>86</v>
      </c>
      <c r="E290">
        <f t="shared" si="352"/>
        <v>103.2</v>
      </c>
      <c r="F290">
        <v>5</v>
      </c>
      <c r="G290">
        <f t="shared" si="353"/>
        <v>2.6500000000000004</v>
      </c>
      <c r="H290">
        <v>24</v>
      </c>
      <c r="I290">
        <f t="shared" si="354"/>
        <v>24</v>
      </c>
      <c r="J290" t="s">
        <v>73</v>
      </c>
      <c r="K290" t="e">
        <f t="shared" si="355"/>
        <v>#VALUE!</v>
      </c>
      <c r="L290" t="s">
        <v>73</v>
      </c>
      <c r="M290" t="e">
        <f t="shared" si="356"/>
        <v>#VALUE!</v>
      </c>
      <c r="N290">
        <v>86</v>
      </c>
      <c r="O290">
        <f t="shared" si="357"/>
        <v>103.2</v>
      </c>
      <c r="P290">
        <v>5</v>
      </c>
      <c r="Q290">
        <f t="shared" si="358"/>
        <v>2.6500000000000004</v>
      </c>
      <c r="R290">
        <v>18</v>
      </c>
      <c r="S290">
        <f t="shared" si="359"/>
        <v>18</v>
      </c>
      <c r="T290" t="s">
        <v>73</v>
      </c>
      <c r="U290" t="e">
        <f t="shared" si="360"/>
        <v>#VALUE!</v>
      </c>
      <c r="V290" t="s">
        <v>73</v>
      </c>
      <c r="W290" t="e">
        <f t="shared" ref="W290" si="405">V290*1.3</f>
        <v>#VALUE!</v>
      </c>
      <c r="X290">
        <v>86</v>
      </c>
      <c r="Y290">
        <f t="shared" si="362"/>
        <v>103.2</v>
      </c>
      <c r="Z290">
        <v>5</v>
      </c>
      <c r="AA290">
        <f t="shared" si="363"/>
        <v>2.6500000000000004</v>
      </c>
      <c r="AB290">
        <v>18</v>
      </c>
      <c r="AC290">
        <f t="shared" si="364"/>
        <v>18</v>
      </c>
      <c r="AD290" t="s">
        <v>73</v>
      </c>
      <c r="AE290" t="e">
        <f t="shared" si="365"/>
        <v>#VALUE!</v>
      </c>
      <c r="AF290" t="s">
        <v>73</v>
      </c>
      <c r="AG290" t="e">
        <f t="shared" si="366"/>
        <v>#VALUE!</v>
      </c>
      <c r="AH290" t="s">
        <v>73</v>
      </c>
      <c r="AI290" t="e">
        <f t="shared" si="367"/>
        <v>#VALUE!</v>
      </c>
      <c r="AJ290">
        <v>5</v>
      </c>
      <c r="AK290">
        <f t="shared" si="368"/>
        <v>2.6500000000000004</v>
      </c>
      <c r="AL290">
        <v>18</v>
      </c>
      <c r="AM290">
        <f t="shared" si="369"/>
        <v>18</v>
      </c>
      <c r="AN290">
        <v>18</v>
      </c>
      <c r="AO290">
        <f t="shared" si="370"/>
        <v>27</v>
      </c>
      <c r="AP290" t="s">
        <v>73</v>
      </c>
      <c r="AQ290" t="e">
        <f t="shared" si="371"/>
        <v>#VALUE!</v>
      </c>
      <c r="AR290" t="s">
        <v>73</v>
      </c>
      <c r="AS290" t="e">
        <f t="shared" si="372"/>
        <v>#VALUE!</v>
      </c>
      <c r="AT290">
        <v>3</v>
      </c>
      <c r="AU290">
        <f t="shared" si="373"/>
        <v>1.59</v>
      </c>
      <c r="AV290">
        <v>8</v>
      </c>
      <c r="AW290">
        <f t="shared" si="374"/>
        <v>8</v>
      </c>
      <c r="AX290" t="s">
        <v>73</v>
      </c>
      <c r="AY290" t="e">
        <f t="shared" si="375"/>
        <v>#VALUE!</v>
      </c>
      <c r="AZ290" t="s">
        <v>73</v>
      </c>
      <c r="BA290" t="e">
        <f t="shared" si="376"/>
        <v>#VALUE!</v>
      </c>
    </row>
    <row r="291" spans="1:53" x14ac:dyDescent="0.3">
      <c r="A291" t="s">
        <v>74</v>
      </c>
      <c r="B291" t="s">
        <v>644</v>
      </c>
      <c r="C291" t="s">
        <v>645</v>
      </c>
      <c r="D291" t="s">
        <v>73</v>
      </c>
      <c r="E291" t="e">
        <f t="shared" si="352"/>
        <v>#VALUE!</v>
      </c>
      <c r="F291">
        <v>10</v>
      </c>
      <c r="G291">
        <f t="shared" si="353"/>
        <v>5.3000000000000007</v>
      </c>
      <c r="H291">
        <v>153</v>
      </c>
      <c r="I291">
        <f t="shared" si="354"/>
        <v>153</v>
      </c>
      <c r="J291" t="s">
        <v>73</v>
      </c>
      <c r="K291" t="e">
        <f t="shared" si="355"/>
        <v>#VALUE!</v>
      </c>
      <c r="L291" t="s">
        <v>73</v>
      </c>
      <c r="M291" t="e">
        <f t="shared" si="356"/>
        <v>#VALUE!</v>
      </c>
      <c r="N291" t="s">
        <v>73</v>
      </c>
      <c r="O291" t="e">
        <f t="shared" si="357"/>
        <v>#VALUE!</v>
      </c>
      <c r="P291">
        <v>5</v>
      </c>
      <c r="Q291">
        <f t="shared" si="358"/>
        <v>2.6500000000000004</v>
      </c>
      <c r="R291">
        <v>157</v>
      </c>
      <c r="S291">
        <f t="shared" si="359"/>
        <v>157</v>
      </c>
      <c r="T291" t="s">
        <v>73</v>
      </c>
      <c r="U291" t="e">
        <f t="shared" si="360"/>
        <v>#VALUE!</v>
      </c>
      <c r="V291" t="s">
        <v>73</v>
      </c>
      <c r="W291" t="e">
        <f t="shared" ref="W291" si="406">V291*1.3</f>
        <v>#VALUE!</v>
      </c>
      <c r="X291" t="s">
        <v>73</v>
      </c>
      <c r="Y291" t="e">
        <f t="shared" si="362"/>
        <v>#VALUE!</v>
      </c>
      <c r="Z291">
        <v>5</v>
      </c>
      <c r="AA291">
        <f t="shared" si="363"/>
        <v>2.6500000000000004</v>
      </c>
      <c r="AB291">
        <v>158</v>
      </c>
      <c r="AC291">
        <f t="shared" si="364"/>
        <v>158</v>
      </c>
      <c r="AD291">
        <v>85</v>
      </c>
      <c r="AE291">
        <f t="shared" si="365"/>
        <v>127.5</v>
      </c>
      <c r="AF291" t="s">
        <v>73</v>
      </c>
      <c r="AG291" t="e">
        <f t="shared" si="366"/>
        <v>#VALUE!</v>
      </c>
      <c r="AH291" t="s">
        <v>73</v>
      </c>
      <c r="AI291" t="e">
        <f t="shared" si="367"/>
        <v>#VALUE!</v>
      </c>
      <c r="AJ291">
        <v>31</v>
      </c>
      <c r="AK291">
        <f t="shared" si="368"/>
        <v>16.43</v>
      </c>
      <c r="AL291">
        <v>300</v>
      </c>
      <c r="AM291">
        <f t="shared" si="369"/>
        <v>300</v>
      </c>
      <c r="AN291" t="s">
        <v>73</v>
      </c>
      <c r="AO291" t="e">
        <f t="shared" si="370"/>
        <v>#VALUE!</v>
      </c>
      <c r="AP291" t="s">
        <v>73</v>
      </c>
      <c r="AQ291" t="e">
        <f t="shared" si="371"/>
        <v>#VALUE!</v>
      </c>
      <c r="AR291" t="s">
        <v>73</v>
      </c>
      <c r="AS291" t="e">
        <f t="shared" si="372"/>
        <v>#VALUE!</v>
      </c>
      <c r="AT291">
        <v>41</v>
      </c>
      <c r="AU291">
        <f t="shared" si="373"/>
        <v>21.73</v>
      </c>
      <c r="AV291">
        <v>150</v>
      </c>
      <c r="AW291">
        <f t="shared" si="374"/>
        <v>150</v>
      </c>
      <c r="AX291" t="s">
        <v>73</v>
      </c>
      <c r="AY291" t="e">
        <f t="shared" si="375"/>
        <v>#VALUE!</v>
      </c>
      <c r="AZ291" t="s">
        <v>73</v>
      </c>
      <c r="BA291" t="e">
        <f t="shared" si="376"/>
        <v>#VALUE!</v>
      </c>
    </row>
    <row r="292" spans="1:53" x14ac:dyDescent="0.3">
      <c r="A292" t="s">
        <v>74</v>
      </c>
      <c r="B292" t="s">
        <v>646</v>
      </c>
      <c r="C292" t="s">
        <v>647</v>
      </c>
      <c r="D292">
        <v>5000</v>
      </c>
      <c r="E292">
        <f t="shared" si="352"/>
        <v>6000</v>
      </c>
      <c r="F292" t="s">
        <v>73</v>
      </c>
      <c r="G292" t="e">
        <f t="shared" si="353"/>
        <v>#VALUE!</v>
      </c>
      <c r="H292">
        <v>192</v>
      </c>
      <c r="I292">
        <f t="shared" si="354"/>
        <v>192</v>
      </c>
      <c r="J292" t="s">
        <v>73</v>
      </c>
      <c r="K292" t="e">
        <f t="shared" si="355"/>
        <v>#VALUE!</v>
      </c>
      <c r="L292" t="s">
        <v>73</v>
      </c>
      <c r="M292" t="e">
        <f t="shared" si="356"/>
        <v>#VALUE!</v>
      </c>
      <c r="N292">
        <v>4358</v>
      </c>
      <c r="O292">
        <f t="shared" si="357"/>
        <v>5229.5999999999995</v>
      </c>
      <c r="P292" t="s">
        <v>73</v>
      </c>
      <c r="Q292" t="e">
        <f t="shared" si="358"/>
        <v>#VALUE!</v>
      </c>
      <c r="R292">
        <v>288</v>
      </c>
      <c r="S292">
        <f t="shared" si="359"/>
        <v>288</v>
      </c>
      <c r="T292" t="s">
        <v>73</v>
      </c>
      <c r="U292" t="e">
        <f t="shared" si="360"/>
        <v>#VALUE!</v>
      </c>
      <c r="V292" t="s">
        <v>73</v>
      </c>
      <c r="W292" t="e">
        <f t="shared" ref="W292" si="407">V292*1.3</f>
        <v>#VALUE!</v>
      </c>
      <c r="X292">
        <v>4411</v>
      </c>
      <c r="Y292">
        <f t="shared" si="362"/>
        <v>5293.2</v>
      </c>
      <c r="Z292" t="s">
        <v>73</v>
      </c>
      <c r="AA292" t="e">
        <f t="shared" si="363"/>
        <v>#VALUE!</v>
      </c>
      <c r="AB292">
        <v>308</v>
      </c>
      <c r="AC292">
        <f t="shared" si="364"/>
        <v>308</v>
      </c>
      <c r="AD292" t="s">
        <v>73</v>
      </c>
      <c r="AE292" t="e">
        <f t="shared" si="365"/>
        <v>#VALUE!</v>
      </c>
      <c r="AF292" t="s">
        <v>73</v>
      </c>
      <c r="AG292" t="e">
        <f t="shared" si="366"/>
        <v>#VALUE!</v>
      </c>
      <c r="AH292">
        <v>4269</v>
      </c>
      <c r="AI292">
        <f t="shared" si="367"/>
        <v>5122.8</v>
      </c>
      <c r="AJ292" t="s">
        <v>73</v>
      </c>
      <c r="AK292" t="e">
        <f t="shared" si="368"/>
        <v>#VALUE!</v>
      </c>
      <c r="AL292">
        <v>192</v>
      </c>
      <c r="AM292">
        <f t="shared" si="369"/>
        <v>192</v>
      </c>
      <c r="AN292" t="s">
        <v>73</v>
      </c>
      <c r="AO292" t="e">
        <f t="shared" si="370"/>
        <v>#VALUE!</v>
      </c>
      <c r="AP292" t="s">
        <v>73</v>
      </c>
      <c r="AQ292" t="e">
        <f t="shared" si="371"/>
        <v>#VALUE!</v>
      </c>
      <c r="AR292">
        <v>4269</v>
      </c>
      <c r="AS292">
        <f t="shared" si="372"/>
        <v>5122.8</v>
      </c>
      <c r="AT292" t="s">
        <v>73</v>
      </c>
      <c r="AU292" t="e">
        <f t="shared" si="373"/>
        <v>#VALUE!</v>
      </c>
      <c r="AV292">
        <v>192</v>
      </c>
      <c r="AW292">
        <f t="shared" si="374"/>
        <v>192</v>
      </c>
      <c r="AX292" t="s">
        <v>73</v>
      </c>
      <c r="AY292" t="e">
        <f t="shared" si="375"/>
        <v>#VALUE!</v>
      </c>
      <c r="AZ292" t="s">
        <v>73</v>
      </c>
      <c r="BA292" t="e">
        <f t="shared" si="376"/>
        <v>#VALUE!</v>
      </c>
    </row>
    <row r="293" spans="1:53" x14ac:dyDescent="0.3">
      <c r="A293" t="s">
        <v>74</v>
      </c>
      <c r="B293" t="s">
        <v>648</v>
      </c>
      <c r="C293" t="s">
        <v>649</v>
      </c>
      <c r="D293">
        <v>4</v>
      </c>
      <c r="E293">
        <f t="shared" si="352"/>
        <v>4.8</v>
      </c>
      <c r="F293">
        <v>7</v>
      </c>
      <c r="G293">
        <f t="shared" si="353"/>
        <v>3.71</v>
      </c>
      <c r="H293">
        <v>408</v>
      </c>
      <c r="I293">
        <f t="shared" si="354"/>
        <v>408</v>
      </c>
      <c r="J293" t="s">
        <v>73</v>
      </c>
      <c r="K293" t="e">
        <f t="shared" si="355"/>
        <v>#VALUE!</v>
      </c>
      <c r="L293" t="s">
        <v>73</v>
      </c>
      <c r="M293" t="e">
        <f t="shared" si="356"/>
        <v>#VALUE!</v>
      </c>
      <c r="N293">
        <v>3</v>
      </c>
      <c r="O293">
        <f t="shared" si="357"/>
        <v>3.5999999999999996</v>
      </c>
      <c r="P293">
        <v>7</v>
      </c>
      <c r="Q293">
        <f t="shared" si="358"/>
        <v>3.71</v>
      </c>
      <c r="R293">
        <v>392</v>
      </c>
      <c r="S293">
        <f t="shared" si="359"/>
        <v>392</v>
      </c>
      <c r="T293" t="s">
        <v>73</v>
      </c>
      <c r="U293" t="e">
        <f t="shared" si="360"/>
        <v>#VALUE!</v>
      </c>
      <c r="V293" t="s">
        <v>73</v>
      </c>
      <c r="W293" t="e">
        <f t="shared" ref="W293" si="408">V293*1.3</f>
        <v>#VALUE!</v>
      </c>
      <c r="X293">
        <v>3</v>
      </c>
      <c r="Y293">
        <f t="shared" si="362"/>
        <v>3.5999999999999996</v>
      </c>
      <c r="Z293">
        <v>7</v>
      </c>
      <c r="AA293">
        <f t="shared" si="363"/>
        <v>3.71</v>
      </c>
      <c r="AB293">
        <v>403</v>
      </c>
      <c r="AC293">
        <f t="shared" si="364"/>
        <v>403</v>
      </c>
      <c r="AD293" t="s">
        <v>73</v>
      </c>
      <c r="AE293" t="e">
        <f t="shared" si="365"/>
        <v>#VALUE!</v>
      </c>
      <c r="AF293" t="s">
        <v>73</v>
      </c>
      <c r="AG293" t="e">
        <f t="shared" si="366"/>
        <v>#VALUE!</v>
      </c>
      <c r="AH293">
        <v>2</v>
      </c>
      <c r="AI293">
        <f t="shared" si="367"/>
        <v>2.4</v>
      </c>
      <c r="AJ293">
        <v>10</v>
      </c>
      <c r="AK293">
        <f t="shared" si="368"/>
        <v>5.3000000000000007</v>
      </c>
      <c r="AL293">
        <v>300</v>
      </c>
      <c r="AM293">
        <f t="shared" si="369"/>
        <v>300</v>
      </c>
      <c r="AN293" t="s">
        <v>73</v>
      </c>
      <c r="AO293" t="e">
        <f t="shared" si="370"/>
        <v>#VALUE!</v>
      </c>
      <c r="AP293" t="s">
        <v>73</v>
      </c>
      <c r="AQ293" t="e">
        <f t="shared" si="371"/>
        <v>#VALUE!</v>
      </c>
      <c r="AR293">
        <v>1</v>
      </c>
      <c r="AS293">
        <f t="shared" si="372"/>
        <v>1.2</v>
      </c>
      <c r="AT293">
        <v>10</v>
      </c>
      <c r="AU293">
        <f t="shared" si="373"/>
        <v>5.3000000000000007</v>
      </c>
      <c r="AV293">
        <v>250</v>
      </c>
      <c r="AW293">
        <f t="shared" si="374"/>
        <v>250</v>
      </c>
      <c r="AX293" t="s">
        <v>73</v>
      </c>
      <c r="AY293" t="e">
        <f t="shared" si="375"/>
        <v>#VALUE!</v>
      </c>
      <c r="AZ293" t="s">
        <v>73</v>
      </c>
      <c r="BA293" t="e">
        <f t="shared" si="376"/>
        <v>#VALUE!</v>
      </c>
    </row>
    <row r="294" spans="1:53" x14ac:dyDescent="0.3">
      <c r="A294" t="s">
        <v>74</v>
      </c>
      <c r="B294" t="s">
        <v>650</v>
      </c>
      <c r="C294" t="s">
        <v>651</v>
      </c>
      <c r="D294" t="s">
        <v>73</v>
      </c>
      <c r="E294" t="e">
        <f t="shared" si="352"/>
        <v>#VALUE!</v>
      </c>
      <c r="F294">
        <v>21</v>
      </c>
      <c r="G294">
        <f t="shared" si="353"/>
        <v>11.13</v>
      </c>
      <c r="H294">
        <v>427</v>
      </c>
      <c r="I294">
        <f t="shared" si="354"/>
        <v>427</v>
      </c>
      <c r="J294" t="s">
        <v>73</v>
      </c>
      <c r="K294" t="e">
        <f t="shared" si="355"/>
        <v>#VALUE!</v>
      </c>
      <c r="L294" t="s">
        <v>73</v>
      </c>
      <c r="M294" t="e">
        <f t="shared" si="356"/>
        <v>#VALUE!</v>
      </c>
      <c r="N294" t="s">
        <v>73</v>
      </c>
      <c r="O294" t="e">
        <f t="shared" si="357"/>
        <v>#VALUE!</v>
      </c>
      <c r="P294">
        <v>21</v>
      </c>
      <c r="Q294">
        <f t="shared" si="358"/>
        <v>11.13</v>
      </c>
      <c r="R294">
        <v>420</v>
      </c>
      <c r="S294">
        <f t="shared" si="359"/>
        <v>420</v>
      </c>
      <c r="T294" t="s">
        <v>73</v>
      </c>
      <c r="U294" t="e">
        <f t="shared" si="360"/>
        <v>#VALUE!</v>
      </c>
      <c r="V294" t="s">
        <v>73</v>
      </c>
      <c r="W294" t="e">
        <f t="shared" ref="W294" si="409">V294*1.3</f>
        <v>#VALUE!</v>
      </c>
      <c r="X294" t="s">
        <v>73</v>
      </c>
      <c r="Y294" t="e">
        <f t="shared" si="362"/>
        <v>#VALUE!</v>
      </c>
      <c r="Z294">
        <v>21</v>
      </c>
      <c r="AA294">
        <f t="shared" si="363"/>
        <v>11.13</v>
      </c>
      <c r="AB294">
        <v>426</v>
      </c>
      <c r="AC294">
        <f t="shared" si="364"/>
        <v>426</v>
      </c>
      <c r="AD294" t="s">
        <v>73</v>
      </c>
      <c r="AE294" t="e">
        <f t="shared" si="365"/>
        <v>#VALUE!</v>
      </c>
      <c r="AF294" t="s">
        <v>73</v>
      </c>
      <c r="AG294" t="e">
        <f t="shared" si="366"/>
        <v>#VALUE!</v>
      </c>
      <c r="AH294" t="s">
        <v>73</v>
      </c>
      <c r="AI294" t="e">
        <f t="shared" si="367"/>
        <v>#VALUE!</v>
      </c>
      <c r="AJ294">
        <v>100</v>
      </c>
      <c r="AK294">
        <f t="shared" si="368"/>
        <v>53</v>
      </c>
      <c r="AL294">
        <v>426</v>
      </c>
      <c r="AM294">
        <f t="shared" si="369"/>
        <v>426</v>
      </c>
      <c r="AN294" t="s">
        <v>73</v>
      </c>
      <c r="AO294" t="e">
        <f t="shared" si="370"/>
        <v>#VALUE!</v>
      </c>
      <c r="AP294" t="s">
        <v>73</v>
      </c>
      <c r="AQ294" t="e">
        <f t="shared" si="371"/>
        <v>#VALUE!</v>
      </c>
      <c r="AR294" t="s">
        <v>73</v>
      </c>
      <c r="AS294" t="e">
        <f t="shared" si="372"/>
        <v>#VALUE!</v>
      </c>
      <c r="AT294">
        <v>26</v>
      </c>
      <c r="AU294">
        <f t="shared" si="373"/>
        <v>13.780000000000001</v>
      </c>
      <c r="AV294">
        <v>304</v>
      </c>
      <c r="AW294">
        <f t="shared" si="374"/>
        <v>304</v>
      </c>
      <c r="AX294" t="s">
        <v>73</v>
      </c>
      <c r="AY294" t="e">
        <f t="shared" si="375"/>
        <v>#VALUE!</v>
      </c>
      <c r="AZ294" t="s">
        <v>73</v>
      </c>
      <c r="BA294" t="e">
        <f t="shared" si="376"/>
        <v>#VALUE!</v>
      </c>
    </row>
    <row r="295" spans="1:53" x14ac:dyDescent="0.3">
      <c r="A295" t="s">
        <v>74</v>
      </c>
      <c r="B295" t="s">
        <v>652</v>
      </c>
      <c r="C295" t="s">
        <v>653</v>
      </c>
      <c r="D295" t="s">
        <v>73</v>
      </c>
      <c r="E295" t="e">
        <f t="shared" si="352"/>
        <v>#VALUE!</v>
      </c>
      <c r="F295">
        <v>118</v>
      </c>
      <c r="G295">
        <f t="shared" si="353"/>
        <v>62.540000000000006</v>
      </c>
      <c r="H295">
        <v>600</v>
      </c>
      <c r="I295">
        <f t="shared" si="354"/>
        <v>600</v>
      </c>
      <c r="J295" t="s">
        <v>73</v>
      </c>
      <c r="K295" t="e">
        <f t="shared" si="355"/>
        <v>#VALUE!</v>
      </c>
      <c r="L295" t="s">
        <v>73</v>
      </c>
      <c r="M295" t="e">
        <f t="shared" si="356"/>
        <v>#VALUE!</v>
      </c>
      <c r="N295" t="s">
        <v>73</v>
      </c>
      <c r="O295" t="e">
        <f t="shared" si="357"/>
        <v>#VALUE!</v>
      </c>
      <c r="P295">
        <v>119</v>
      </c>
      <c r="Q295">
        <f t="shared" si="358"/>
        <v>63.07</v>
      </c>
      <c r="R295">
        <v>600</v>
      </c>
      <c r="S295">
        <f t="shared" si="359"/>
        <v>600</v>
      </c>
      <c r="T295" t="s">
        <v>73</v>
      </c>
      <c r="U295" t="e">
        <f t="shared" si="360"/>
        <v>#VALUE!</v>
      </c>
      <c r="V295" t="s">
        <v>73</v>
      </c>
      <c r="W295" t="e">
        <f t="shared" ref="W295" si="410">V295*1.3</f>
        <v>#VALUE!</v>
      </c>
      <c r="X295" t="s">
        <v>73</v>
      </c>
      <c r="Y295" t="e">
        <f t="shared" si="362"/>
        <v>#VALUE!</v>
      </c>
      <c r="Z295">
        <v>119</v>
      </c>
      <c r="AA295">
        <f t="shared" si="363"/>
        <v>63.07</v>
      </c>
      <c r="AB295">
        <v>600</v>
      </c>
      <c r="AC295">
        <f t="shared" si="364"/>
        <v>600</v>
      </c>
      <c r="AD295" t="s">
        <v>73</v>
      </c>
      <c r="AE295" t="e">
        <f t="shared" si="365"/>
        <v>#VALUE!</v>
      </c>
      <c r="AF295" t="s">
        <v>73</v>
      </c>
      <c r="AG295" t="e">
        <f t="shared" si="366"/>
        <v>#VALUE!</v>
      </c>
      <c r="AH295" t="s">
        <v>73</v>
      </c>
      <c r="AI295" t="e">
        <f t="shared" si="367"/>
        <v>#VALUE!</v>
      </c>
      <c r="AJ295">
        <v>120</v>
      </c>
      <c r="AK295">
        <f t="shared" si="368"/>
        <v>63.6</v>
      </c>
      <c r="AL295">
        <v>780</v>
      </c>
      <c r="AM295">
        <f t="shared" si="369"/>
        <v>780</v>
      </c>
      <c r="AN295" t="s">
        <v>73</v>
      </c>
      <c r="AO295" t="e">
        <f t="shared" si="370"/>
        <v>#VALUE!</v>
      </c>
      <c r="AP295" t="s">
        <v>73</v>
      </c>
      <c r="AQ295" t="e">
        <f t="shared" si="371"/>
        <v>#VALUE!</v>
      </c>
      <c r="AR295" t="s">
        <v>73</v>
      </c>
      <c r="AS295" t="e">
        <f t="shared" si="372"/>
        <v>#VALUE!</v>
      </c>
      <c r="AT295">
        <v>120</v>
      </c>
      <c r="AU295">
        <f t="shared" si="373"/>
        <v>63.6</v>
      </c>
      <c r="AV295">
        <v>300</v>
      </c>
      <c r="AW295">
        <f t="shared" si="374"/>
        <v>300</v>
      </c>
      <c r="AX295" t="s">
        <v>73</v>
      </c>
      <c r="AY295" t="e">
        <f t="shared" si="375"/>
        <v>#VALUE!</v>
      </c>
      <c r="AZ295" t="s">
        <v>73</v>
      </c>
      <c r="BA295" t="e">
        <f t="shared" si="376"/>
        <v>#VALUE!</v>
      </c>
    </row>
    <row r="296" spans="1:53" x14ac:dyDescent="0.3">
      <c r="A296" t="s">
        <v>74</v>
      </c>
      <c r="B296" t="s">
        <v>654</v>
      </c>
      <c r="C296" t="s">
        <v>655</v>
      </c>
      <c r="D296">
        <v>8343</v>
      </c>
      <c r="E296">
        <f t="shared" si="352"/>
        <v>10011.6</v>
      </c>
      <c r="F296">
        <v>144</v>
      </c>
      <c r="G296">
        <f t="shared" si="353"/>
        <v>76.320000000000007</v>
      </c>
      <c r="H296">
        <v>6289</v>
      </c>
      <c r="I296">
        <f t="shared" si="354"/>
        <v>6289</v>
      </c>
      <c r="J296">
        <v>254</v>
      </c>
      <c r="K296">
        <f t="shared" si="355"/>
        <v>381</v>
      </c>
      <c r="L296" t="s">
        <v>73</v>
      </c>
      <c r="M296" t="e">
        <f t="shared" si="356"/>
        <v>#VALUE!</v>
      </c>
      <c r="N296">
        <v>6767</v>
      </c>
      <c r="O296">
        <f t="shared" si="357"/>
        <v>8120.4</v>
      </c>
      <c r="P296">
        <v>144</v>
      </c>
      <c r="Q296">
        <f t="shared" si="358"/>
        <v>76.320000000000007</v>
      </c>
      <c r="R296">
        <v>6052</v>
      </c>
      <c r="S296">
        <f t="shared" si="359"/>
        <v>6052</v>
      </c>
      <c r="T296">
        <v>254</v>
      </c>
      <c r="U296">
        <f t="shared" si="360"/>
        <v>381</v>
      </c>
      <c r="V296" t="s">
        <v>73</v>
      </c>
      <c r="W296" t="e">
        <f t="shared" ref="W296" si="411">V296*1.3</f>
        <v>#VALUE!</v>
      </c>
      <c r="X296">
        <v>6767</v>
      </c>
      <c r="Y296">
        <f t="shared" si="362"/>
        <v>8120.4</v>
      </c>
      <c r="Z296">
        <v>144</v>
      </c>
      <c r="AA296">
        <f t="shared" si="363"/>
        <v>76.320000000000007</v>
      </c>
      <c r="AB296">
        <v>5914</v>
      </c>
      <c r="AC296">
        <f t="shared" si="364"/>
        <v>5914</v>
      </c>
      <c r="AD296">
        <v>235</v>
      </c>
      <c r="AE296">
        <f t="shared" si="365"/>
        <v>352.5</v>
      </c>
      <c r="AF296">
        <v>375</v>
      </c>
      <c r="AG296">
        <f t="shared" si="366"/>
        <v>487.5</v>
      </c>
      <c r="AH296">
        <v>6767</v>
      </c>
      <c r="AI296">
        <f t="shared" si="367"/>
        <v>8120.4</v>
      </c>
      <c r="AJ296">
        <v>84</v>
      </c>
      <c r="AK296">
        <f t="shared" si="368"/>
        <v>44.52</v>
      </c>
      <c r="AL296">
        <v>8400</v>
      </c>
      <c r="AM296">
        <f t="shared" si="369"/>
        <v>8400</v>
      </c>
      <c r="AN296">
        <v>968</v>
      </c>
      <c r="AO296">
        <f t="shared" si="370"/>
        <v>1452</v>
      </c>
      <c r="AP296">
        <v>625</v>
      </c>
      <c r="AQ296">
        <f t="shared" si="371"/>
        <v>812.5</v>
      </c>
      <c r="AR296">
        <v>7650</v>
      </c>
      <c r="AS296">
        <f t="shared" si="372"/>
        <v>9180</v>
      </c>
      <c r="AT296">
        <v>60</v>
      </c>
      <c r="AU296">
        <f t="shared" si="373"/>
        <v>31.8</v>
      </c>
      <c r="AV296">
        <v>3810</v>
      </c>
      <c r="AW296">
        <f t="shared" si="374"/>
        <v>3810</v>
      </c>
      <c r="AX296">
        <v>1440</v>
      </c>
      <c r="AY296">
        <f t="shared" si="375"/>
        <v>2160</v>
      </c>
      <c r="AZ296">
        <v>625</v>
      </c>
      <c r="BA296">
        <f t="shared" si="376"/>
        <v>812.5</v>
      </c>
    </row>
    <row r="297" spans="1:53" x14ac:dyDescent="0.3">
      <c r="A297" t="s">
        <v>74</v>
      </c>
      <c r="B297" t="s">
        <v>656</v>
      </c>
      <c r="C297" t="s">
        <v>657</v>
      </c>
      <c r="D297">
        <v>37827</v>
      </c>
      <c r="E297">
        <f t="shared" si="352"/>
        <v>45392.4</v>
      </c>
      <c r="F297">
        <v>84</v>
      </c>
      <c r="G297">
        <f t="shared" si="353"/>
        <v>44.52</v>
      </c>
      <c r="H297">
        <v>1470</v>
      </c>
      <c r="I297">
        <f t="shared" si="354"/>
        <v>1470</v>
      </c>
      <c r="J297">
        <v>1221</v>
      </c>
      <c r="K297">
        <f t="shared" si="355"/>
        <v>1831.5</v>
      </c>
      <c r="L297" t="s">
        <v>73</v>
      </c>
      <c r="M297" t="e">
        <f t="shared" si="356"/>
        <v>#VALUE!</v>
      </c>
      <c r="N297">
        <v>28800</v>
      </c>
      <c r="O297">
        <f t="shared" si="357"/>
        <v>34560</v>
      </c>
      <c r="P297">
        <v>84</v>
      </c>
      <c r="Q297">
        <f t="shared" si="358"/>
        <v>44.52</v>
      </c>
      <c r="R297">
        <v>4200</v>
      </c>
      <c r="S297">
        <f t="shared" si="359"/>
        <v>4200</v>
      </c>
      <c r="T297">
        <v>2970</v>
      </c>
      <c r="U297">
        <f t="shared" si="360"/>
        <v>4455</v>
      </c>
      <c r="V297" t="s">
        <v>73</v>
      </c>
      <c r="W297" t="e">
        <f t="shared" ref="W297" si="412">V297*1.3</f>
        <v>#VALUE!</v>
      </c>
      <c r="X297">
        <v>33600</v>
      </c>
      <c r="Y297">
        <f t="shared" si="362"/>
        <v>40320</v>
      </c>
      <c r="Z297">
        <v>90</v>
      </c>
      <c r="AA297">
        <f t="shared" si="363"/>
        <v>47.7</v>
      </c>
      <c r="AB297">
        <v>10000</v>
      </c>
      <c r="AC297">
        <f t="shared" si="364"/>
        <v>10000</v>
      </c>
      <c r="AD297">
        <v>1920</v>
      </c>
      <c r="AE297">
        <f t="shared" si="365"/>
        <v>2880</v>
      </c>
      <c r="AF297" t="s">
        <v>73</v>
      </c>
      <c r="AG297" t="e">
        <f t="shared" si="366"/>
        <v>#VALUE!</v>
      </c>
      <c r="AH297">
        <v>16965</v>
      </c>
      <c r="AI297">
        <f t="shared" si="367"/>
        <v>20358</v>
      </c>
      <c r="AJ297">
        <v>110</v>
      </c>
      <c r="AK297">
        <f t="shared" si="368"/>
        <v>58.300000000000004</v>
      </c>
      <c r="AL297">
        <v>10763</v>
      </c>
      <c r="AM297">
        <f t="shared" si="369"/>
        <v>10763</v>
      </c>
      <c r="AN297">
        <v>4452</v>
      </c>
      <c r="AO297">
        <f t="shared" si="370"/>
        <v>6678</v>
      </c>
      <c r="AP297" t="s">
        <v>73</v>
      </c>
      <c r="AQ297" t="e">
        <f t="shared" si="371"/>
        <v>#VALUE!</v>
      </c>
      <c r="AR297">
        <v>24990</v>
      </c>
      <c r="AS297">
        <f t="shared" si="372"/>
        <v>29988</v>
      </c>
      <c r="AT297">
        <v>58</v>
      </c>
      <c r="AU297">
        <f t="shared" si="373"/>
        <v>30.740000000000002</v>
      </c>
      <c r="AV297">
        <v>4767</v>
      </c>
      <c r="AW297">
        <f t="shared" si="374"/>
        <v>4767</v>
      </c>
      <c r="AX297">
        <v>3579</v>
      </c>
      <c r="AY297">
        <f t="shared" si="375"/>
        <v>5368.5</v>
      </c>
      <c r="AZ297" t="s">
        <v>73</v>
      </c>
      <c r="BA297" t="e">
        <f t="shared" si="376"/>
        <v>#VALUE!</v>
      </c>
    </row>
    <row r="298" spans="1:53" x14ac:dyDescent="0.3">
      <c r="A298" t="s">
        <v>70</v>
      </c>
      <c r="B298" t="s">
        <v>658</v>
      </c>
      <c r="C298" t="s">
        <v>659</v>
      </c>
      <c r="D298">
        <v>188866</v>
      </c>
      <c r="E298">
        <f t="shared" si="352"/>
        <v>226639.19999999998</v>
      </c>
      <c r="F298">
        <v>1207</v>
      </c>
      <c r="G298">
        <f t="shared" si="353"/>
        <v>639.71</v>
      </c>
      <c r="H298">
        <v>51272</v>
      </c>
      <c r="I298">
        <f t="shared" si="354"/>
        <v>51272</v>
      </c>
      <c r="J298">
        <v>10772</v>
      </c>
      <c r="K298">
        <f t="shared" si="355"/>
        <v>16158</v>
      </c>
      <c r="L298" t="s">
        <v>73</v>
      </c>
      <c r="M298" t="e">
        <f t="shared" si="356"/>
        <v>#VALUE!</v>
      </c>
      <c r="N298">
        <v>189090</v>
      </c>
      <c r="O298">
        <f t="shared" si="357"/>
        <v>226908</v>
      </c>
      <c r="P298">
        <v>1461</v>
      </c>
      <c r="Q298">
        <f t="shared" si="358"/>
        <v>774.33</v>
      </c>
      <c r="R298">
        <v>59414</v>
      </c>
      <c r="S298">
        <f t="shared" si="359"/>
        <v>59414</v>
      </c>
      <c r="T298">
        <v>14728</v>
      </c>
      <c r="U298">
        <f t="shared" si="360"/>
        <v>22092</v>
      </c>
      <c r="V298" t="s">
        <v>73</v>
      </c>
      <c r="W298" t="e">
        <f t="shared" ref="W298" si="413">V298*1.3</f>
        <v>#VALUE!</v>
      </c>
      <c r="X298">
        <v>181779</v>
      </c>
      <c r="Y298">
        <f t="shared" si="362"/>
        <v>218134.8</v>
      </c>
      <c r="Z298">
        <v>1082</v>
      </c>
      <c r="AA298">
        <f t="shared" si="363"/>
        <v>573.46</v>
      </c>
      <c r="AB298">
        <v>65522</v>
      </c>
      <c r="AC298">
        <f t="shared" si="364"/>
        <v>65522</v>
      </c>
      <c r="AD298">
        <v>17871</v>
      </c>
      <c r="AE298">
        <f t="shared" si="365"/>
        <v>26806.5</v>
      </c>
      <c r="AF298">
        <v>210</v>
      </c>
      <c r="AG298">
        <f t="shared" si="366"/>
        <v>273</v>
      </c>
      <c r="AH298">
        <v>166656</v>
      </c>
      <c r="AI298">
        <f t="shared" si="367"/>
        <v>199987.19999999998</v>
      </c>
      <c r="AJ298">
        <v>275</v>
      </c>
      <c r="AK298">
        <f t="shared" si="368"/>
        <v>145.75</v>
      </c>
      <c r="AL298">
        <v>30179</v>
      </c>
      <c r="AM298">
        <f t="shared" si="369"/>
        <v>30179</v>
      </c>
      <c r="AN298">
        <v>22389</v>
      </c>
      <c r="AO298">
        <f t="shared" si="370"/>
        <v>33583.5</v>
      </c>
      <c r="AP298">
        <v>490</v>
      </c>
      <c r="AQ298">
        <f t="shared" si="371"/>
        <v>637</v>
      </c>
      <c r="AR298">
        <v>182415</v>
      </c>
      <c r="AS298">
        <f t="shared" si="372"/>
        <v>218898</v>
      </c>
      <c r="AT298">
        <v>241</v>
      </c>
      <c r="AU298">
        <f t="shared" si="373"/>
        <v>127.73</v>
      </c>
      <c r="AV298">
        <v>50933</v>
      </c>
      <c r="AW298">
        <f t="shared" si="374"/>
        <v>50933</v>
      </c>
      <c r="AX298">
        <v>20659</v>
      </c>
      <c r="AY298">
        <f t="shared" si="375"/>
        <v>30988.5</v>
      </c>
      <c r="AZ298">
        <v>351</v>
      </c>
      <c r="BA298">
        <f t="shared" si="376"/>
        <v>456.3</v>
      </c>
    </row>
    <row r="299" spans="1:53" x14ac:dyDescent="0.3">
      <c r="A299" t="s">
        <v>74</v>
      </c>
      <c r="B299" t="s">
        <v>660</v>
      </c>
      <c r="C299" t="s">
        <v>661</v>
      </c>
      <c r="D299" t="s">
        <v>73</v>
      </c>
      <c r="E299" t="e">
        <f t="shared" si="352"/>
        <v>#VALUE!</v>
      </c>
      <c r="F299" t="s">
        <v>73</v>
      </c>
      <c r="G299" t="e">
        <f t="shared" si="353"/>
        <v>#VALUE!</v>
      </c>
      <c r="H299" t="s">
        <v>73</v>
      </c>
      <c r="I299" t="str">
        <f t="shared" si="354"/>
        <v>-</v>
      </c>
      <c r="J299" t="s">
        <v>73</v>
      </c>
      <c r="K299" t="e">
        <f t="shared" si="355"/>
        <v>#VALUE!</v>
      </c>
      <c r="L299" t="s">
        <v>73</v>
      </c>
      <c r="M299" t="e">
        <f t="shared" si="356"/>
        <v>#VALUE!</v>
      </c>
      <c r="N299" t="s">
        <v>73</v>
      </c>
      <c r="O299" t="e">
        <f t="shared" si="357"/>
        <v>#VALUE!</v>
      </c>
      <c r="P299" t="s">
        <v>73</v>
      </c>
      <c r="Q299" t="e">
        <f t="shared" si="358"/>
        <v>#VALUE!</v>
      </c>
      <c r="R299" t="s">
        <v>73</v>
      </c>
      <c r="S299" t="str">
        <f t="shared" si="359"/>
        <v>-</v>
      </c>
      <c r="T299" t="s">
        <v>73</v>
      </c>
      <c r="U299" t="e">
        <f t="shared" si="360"/>
        <v>#VALUE!</v>
      </c>
      <c r="V299" t="s">
        <v>73</v>
      </c>
      <c r="W299" t="e">
        <f t="shared" ref="W299" si="414">V299*1.3</f>
        <v>#VALUE!</v>
      </c>
      <c r="X299" t="s">
        <v>73</v>
      </c>
      <c r="Y299" t="e">
        <f t="shared" si="362"/>
        <v>#VALUE!</v>
      </c>
      <c r="Z299" t="s">
        <v>73</v>
      </c>
      <c r="AA299" t="e">
        <f t="shared" si="363"/>
        <v>#VALUE!</v>
      </c>
      <c r="AB299">
        <v>42</v>
      </c>
      <c r="AC299">
        <f t="shared" si="364"/>
        <v>42</v>
      </c>
      <c r="AD299">
        <v>6</v>
      </c>
      <c r="AE299">
        <f t="shared" si="365"/>
        <v>9</v>
      </c>
      <c r="AF299" t="s">
        <v>73</v>
      </c>
      <c r="AG299" t="e">
        <f t="shared" si="366"/>
        <v>#VALUE!</v>
      </c>
      <c r="AH299" t="s">
        <v>73</v>
      </c>
      <c r="AI299" t="e">
        <f t="shared" si="367"/>
        <v>#VALUE!</v>
      </c>
      <c r="AJ299" t="s">
        <v>73</v>
      </c>
      <c r="AK299" t="e">
        <f t="shared" si="368"/>
        <v>#VALUE!</v>
      </c>
      <c r="AL299">
        <v>16</v>
      </c>
      <c r="AM299">
        <f t="shared" si="369"/>
        <v>16</v>
      </c>
      <c r="AN299" t="s">
        <v>73</v>
      </c>
      <c r="AO299" t="e">
        <f t="shared" si="370"/>
        <v>#VALUE!</v>
      </c>
      <c r="AP299" t="s">
        <v>73</v>
      </c>
      <c r="AQ299" t="e">
        <f t="shared" si="371"/>
        <v>#VALUE!</v>
      </c>
      <c r="AR299" t="s">
        <v>73</v>
      </c>
      <c r="AS299" t="e">
        <f t="shared" si="372"/>
        <v>#VALUE!</v>
      </c>
      <c r="AT299" t="s">
        <v>73</v>
      </c>
      <c r="AU299" t="e">
        <f t="shared" si="373"/>
        <v>#VALUE!</v>
      </c>
      <c r="AV299">
        <v>18</v>
      </c>
      <c r="AW299">
        <f t="shared" si="374"/>
        <v>18</v>
      </c>
      <c r="AX299" t="s">
        <v>73</v>
      </c>
      <c r="AY299" t="e">
        <f t="shared" si="375"/>
        <v>#VALUE!</v>
      </c>
      <c r="AZ299" t="s">
        <v>73</v>
      </c>
      <c r="BA299" t="e">
        <f t="shared" si="376"/>
        <v>#VALUE!</v>
      </c>
    </row>
    <row r="300" spans="1:53" x14ac:dyDescent="0.3">
      <c r="A300" t="s">
        <v>74</v>
      </c>
      <c r="B300" t="s">
        <v>662</v>
      </c>
      <c r="C300" t="s">
        <v>663</v>
      </c>
      <c r="D300">
        <v>750</v>
      </c>
      <c r="E300">
        <f t="shared" si="352"/>
        <v>900</v>
      </c>
      <c r="F300">
        <v>140</v>
      </c>
      <c r="G300">
        <f t="shared" si="353"/>
        <v>74.2</v>
      </c>
      <c r="H300">
        <v>1890</v>
      </c>
      <c r="I300">
        <f t="shared" si="354"/>
        <v>1890</v>
      </c>
      <c r="J300">
        <v>54</v>
      </c>
      <c r="K300">
        <f t="shared" si="355"/>
        <v>81</v>
      </c>
      <c r="L300" t="s">
        <v>73</v>
      </c>
      <c r="M300" t="e">
        <f t="shared" si="356"/>
        <v>#VALUE!</v>
      </c>
      <c r="N300">
        <v>617</v>
      </c>
      <c r="O300">
        <f t="shared" si="357"/>
        <v>740.4</v>
      </c>
      <c r="P300">
        <v>152</v>
      </c>
      <c r="Q300">
        <f t="shared" si="358"/>
        <v>80.56</v>
      </c>
      <c r="R300">
        <v>2574</v>
      </c>
      <c r="S300">
        <f t="shared" si="359"/>
        <v>2574</v>
      </c>
      <c r="T300">
        <v>90</v>
      </c>
      <c r="U300">
        <f t="shared" si="360"/>
        <v>135</v>
      </c>
      <c r="V300" t="s">
        <v>73</v>
      </c>
      <c r="W300" t="e">
        <f t="shared" ref="W300" si="415">V300*1.3</f>
        <v>#VALUE!</v>
      </c>
      <c r="X300">
        <v>760</v>
      </c>
      <c r="Y300">
        <f t="shared" si="362"/>
        <v>912</v>
      </c>
      <c r="Z300">
        <v>210</v>
      </c>
      <c r="AA300">
        <f t="shared" si="363"/>
        <v>111.30000000000001</v>
      </c>
      <c r="AB300">
        <v>4950</v>
      </c>
      <c r="AC300">
        <f t="shared" si="364"/>
        <v>4950</v>
      </c>
      <c r="AD300">
        <v>240</v>
      </c>
      <c r="AE300">
        <f t="shared" si="365"/>
        <v>360</v>
      </c>
      <c r="AF300" t="s">
        <v>73</v>
      </c>
      <c r="AG300" t="e">
        <f t="shared" si="366"/>
        <v>#VALUE!</v>
      </c>
      <c r="AH300">
        <v>600</v>
      </c>
      <c r="AI300">
        <f t="shared" si="367"/>
        <v>720</v>
      </c>
      <c r="AJ300">
        <v>12</v>
      </c>
      <c r="AK300">
        <f t="shared" si="368"/>
        <v>6.36</v>
      </c>
      <c r="AL300">
        <v>2226</v>
      </c>
      <c r="AM300">
        <f t="shared" si="369"/>
        <v>2226</v>
      </c>
      <c r="AN300">
        <v>750</v>
      </c>
      <c r="AO300">
        <f t="shared" si="370"/>
        <v>1125</v>
      </c>
      <c r="AP300">
        <v>49</v>
      </c>
      <c r="AQ300">
        <f t="shared" si="371"/>
        <v>63.7</v>
      </c>
      <c r="AR300">
        <v>600</v>
      </c>
      <c r="AS300">
        <f t="shared" si="372"/>
        <v>720</v>
      </c>
      <c r="AT300">
        <v>32</v>
      </c>
      <c r="AU300">
        <f t="shared" si="373"/>
        <v>16.96</v>
      </c>
      <c r="AV300">
        <v>2975</v>
      </c>
      <c r="AW300">
        <f t="shared" si="374"/>
        <v>2975</v>
      </c>
      <c r="AX300">
        <v>1080</v>
      </c>
      <c r="AY300">
        <f t="shared" si="375"/>
        <v>1620</v>
      </c>
      <c r="AZ300">
        <v>140</v>
      </c>
      <c r="BA300">
        <f t="shared" si="376"/>
        <v>182</v>
      </c>
    </row>
    <row r="301" spans="1:53" x14ac:dyDescent="0.3">
      <c r="A301" t="s">
        <v>74</v>
      </c>
      <c r="B301" t="s">
        <v>664</v>
      </c>
      <c r="C301" t="s">
        <v>665</v>
      </c>
      <c r="D301">
        <v>1950</v>
      </c>
      <c r="E301">
        <f t="shared" si="352"/>
        <v>2340</v>
      </c>
      <c r="F301">
        <v>290</v>
      </c>
      <c r="G301">
        <f t="shared" si="353"/>
        <v>153.70000000000002</v>
      </c>
      <c r="H301">
        <v>7200</v>
      </c>
      <c r="I301">
        <f t="shared" si="354"/>
        <v>7200</v>
      </c>
      <c r="J301">
        <v>3240</v>
      </c>
      <c r="K301">
        <f t="shared" si="355"/>
        <v>4860</v>
      </c>
      <c r="L301" t="s">
        <v>73</v>
      </c>
      <c r="M301" t="e">
        <f t="shared" si="356"/>
        <v>#VALUE!</v>
      </c>
      <c r="N301">
        <v>1993</v>
      </c>
      <c r="O301">
        <f t="shared" si="357"/>
        <v>2391.6</v>
      </c>
      <c r="P301">
        <v>277</v>
      </c>
      <c r="Q301">
        <f t="shared" si="358"/>
        <v>146.81</v>
      </c>
      <c r="R301">
        <v>9600</v>
      </c>
      <c r="S301">
        <f t="shared" si="359"/>
        <v>9600</v>
      </c>
      <c r="T301">
        <v>4680</v>
      </c>
      <c r="U301">
        <f t="shared" si="360"/>
        <v>7020</v>
      </c>
      <c r="V301" t="s">
        <v>73</v>
      </c>
      <c r="W301" t="e">
        <f t="shared" ref="W301" si="416">V301*1.3</f>
        <v>#VALUE!</v>
      </c>
      <c r="X301">
        <v>1979</v>
      </c>
      <c r="Y301">
        <f t="shared" si="362"/>
        <v>2374.7999999999997</v>
      </c>
      <c r="Z301">
        <v>189</v>
      </c>
      <c r="AA301">
        <f t="shared" si="363"/>
        <v>100.17</v>
      </c>
      <c r="AB301">
        <v>9600</v>
      </c>
      <c r="AC301">
        <f t="shared" si="364"/>
        <v>9600</v>
      </c>
      <c r="AD301">
        <v>5400</v>
      </c>
      <c r="AE301">
        <f t="shared" si="365"/>
        <v>8100</v>
      </c>
      <c r="AF301">
        <v>210</v>
      </c>
      <c r="AG301">
        <f t="shared" si="366"/>
        <v>273</v>
      </c>
      <c r="AH301">
        <v>1800</v>
      </c>
      <c r="AI301">
        <f t="shared" si="367"/>
        <v>2160</v>
      </c>
      <c r="AJ301">
        <v>68</v>
      </c>
      <c r="AK301">
        <f t="shared" si="368"/>
        <v>36.04</v>
      </c>
      <c r="AL301">
        <v>5880</v>
      </c>
      <c r="AM301">
        <f t="shared" si="369"/>
        <v>5880</v>
      </c>
      <c r="AN301">
        <v>5400</v>
      </c>
      <c r="AO301">
        <f t="shared" si="370"/>
        <v>8100</v>
      </c>
      <c r="AP301">
        <v>112</v>
      </c>
      <c r="AQ301">
        <f t="shared" si="371"/>
        <v>145.6</v>
      </c>
      <c r="AR301">
        <v>3626</v>
      </c>
      <c r="AS301">
        <f t="shared" si="372"/>
        <v>4351.2</v>
      </c>
      <c r="AT301">
        <v>7</v>
      </c>
      <c r="AU301">
        <f t="shared" si="373"/>
        <v>3.71</v>
      </c>
      <c r="AV301">
        <v>7800</v>
      </c>
      <c r="AW301">
        <f t="shared" si="374"/>
        <v>7800</v>
      </c>
      <c r="AX301">
        <v>5400</v>
      </c>
      <c r="AY301">
        <f t="shared" si="375"/>
        <v>8100</v>
      </c>
      <c r="AZ301">
        <v>10</v>
      </c>
      <c r="BA301">
        <f t="shared" si="376"/>
        <v>13</v>
      </c>
    </row>
    <row r="302" spans="1:53" x14ac:dyDescent="0.3">
      <c r="A302" t="s">
        <v>74</v>
      </c>
      <c r="B302" t="s">
        <v>666</v>
      </c>
      <c r="C302" t="s">
        <v>667</v>
      </c>
      <c r="D302">
        <v>94000</v>
      </c>
      <c r="E302">
        <f t="shared" si="352"/>
        <v>112800</v>
      </c>
      <c r="F302">
        <v>162</v>
      </c>
      <c r="G302">
        <f t="shared" si="353"/>
        <v>85.86</v>
      </c>
      <c r="H302">
        <v>9100</v>
      </c>
      <c r="I302">
        <f t="shared" si="354"/>
        <v>9100</v>
      </c>
      <c r="J302">
        <v>2990</v>
      </c>
      <c r="K302">
        <f t="shared" si="355"/>
        <v>4485</v>
      </c>
      <c r="L302" t="s">
        <v>73</v>
      </c>
      <c r="M302" t="e">
        <f t="shared" si="356"/>
        <v>#VALUE!</v>
      </c>
      <c r="N302">
        <v>93930</v>
      </c>
      <c r="O302">
        <f t="shared" si="357"/>
        <v>112716</v>
      </c>
      <c r="P302">
        <v>112</v>
      </c>
      <c r="Q302">
        <f t="shared" si="358"/>
        <v>59.36</v>
      </c>
      <c r="R302">
        <v>10500</v>
      </c>
      <c r="S302">
        <f t="shared" si="359"/>
        <v>10500</v>
      </c>
      <c r="T302">
        <v>3960</v>
      </c>
      <c r="U302">
        <f t="shared" si="360"/>
        <v>5940</v>
      </c>
      <c r="V302" t="s">
        <v>73</v>
      </c>
      <c r="W302" t="e">
        <f t="shared" ref="W302" si="417">V302*1.3</f>
        <v>#VALUE!</v>
      </c>
      <c r="X302">
        <v>87750</v>
      </c>
      <c r="Y302">
        <f t="shared" si="362"/>
        <v>105300</v>
      </c>
      <c r="Z302">
        <v>24</v>
      </c>
      <c r="AA302">
        <f t="shared" si="363"/>
        <v>12.72</v>
      </c>
      <c r="AB302">
        <v>10625</v>
      </c>
      <c r="AC302">
        <f t="shared" si="364"/>
        <v>10625</v>
      </c>
      <c r="AD302">
        <v>2625</v>
      </c>
      <c r="AE302">
        <f t="shared" si="365"/>
        <v>3937.5</v>
      </c>
      <c r="AF302" t="s">
        <v>73</v>
      </c>
      <c r="AG302" t="e">
        <f t="shared" si="366"/>
        <v>#VALUE!</v>
      </c>
      <c r="AH302">
        <v>78000</v>
      </c>
      <c r="AI302">
        <f t="shared" si="367"/>
        <v>93600</v>
      </c>
      <c r="AJ302">
        <v>8</v>
      </c>
      <c r="AK302">
        <f t="shared" si="368"/>
        <v>4.24</v>
      </c>
      <c r="AL302">
        <v>5320</v>
      </c>
      <c r="AM302">
        <f t="shared" si="369"/>
        <v>5320</v>
      </c>
      <c r="AN302">
        <v>3750</v>
      </c>
      <c r="AO302">
        <f t="shared" si="370"/>
        <v>5625</v>
      </c>
      <c r="AP302" t="s">
        <v>73</v>
      </c>
      <c r="AQ302" t="e">
        <f t="shared" si="371"/>
        <v>#VALUE!</v>
      </c>
      <c r="AR302">
        <v>81413</v>
      </c>
      <c r="AS302">
        <f t="shared" si="372"/>
        <v>97695.599999999991</v>
      </c>
      <c r="AT302" t="s">
        <v>73</v>
      </c>
      <c r="AU302" t="e">
        <f t="shared" si="373"/>
        <v>#VALUE!</v>
      </c>
      <c r="AV302">
        <v>11200</v>
      </c>
      <c r="AW302">
        <f t="shared" si="374"/>
        <v>11200</v>
      </c>
      <c r="AX302">
        <v>3600</v>
      </c>
      <c r="AY302">
        <f t="shared" si="375"/>
        <v>5400</v>
      </c>
      <c r="AZ302" t="s">
        <v>73</v>
      </c>
      <c r="BA302" t="e">
        <f t="shared" si="376"/>
        <v>#VALUE!</v>
      </c>
    </row>
    <row r="303" spans="1:53" x14ac:dyDescent="0.3">
      <c r="A303" t="s">
        <v>74</v>
      </c>
      <c r="B303" t="s">
        <v>668</v>
      </c>
      <c r="C303" t="s">
        <v>669</v>
      </c>
      <c r="D303">
        <v>13860</v>
      </c>
      <c r="E303">
        <f t="shared" si="352"/>
        <v>16632</v>
      </c>
      <c r="F303">
        <v>360</v>
      </c>
      <c r="G303">
        <f t="shared" si="353"/>
        <v>190.8</v>
      </c>
      <c r="H303">
        <v>17100</v>
      </c>
      <c r="I303">
        <f t="shared" si="354"/>
        <v>17100</v>
      </c>
      <c r="J303">
        <v>3300</v>
      </c>
      <c r="K303">
        <f t="shared" si="355"/>
        <v>4950</v>
      </c>
      <c r="L303" t="s">
        <v>73</v>
      </c>
      <c r="M303" t="e">
        <f t="shared" si="356"/>
        <v>#VALUE!</v>
      </c>
      <c r="N303">
        <v>12650</v>
      </c>
      <c r="O303">
        <f t="shared" si="357"/>
        <v>15180</v>
      </c>
      <c r="P303">
        <v>480</v>
      </c>
      <c r="Q303">
        <f t="shared" si="358"/>
        <v>254.4</v>
      </c>
      <c r="R303">
        <v>20400</v>
      </c>
      <c r="S303">
        <f t="shared" si="359"/>
        <v>20400</v>
      </c>
      <c r="T303">
        <v>4680</v>
      </c>
      <c r="U303">
        <f t="shared" si="360"/>
        <v>7020</v>
      </c>
      <c r="V303" t="s">
        <v>73</v>
      </c>
      <c r="W303" t="e">
        <f t="shared" ref="W303" si="418">V303*1.3</f>
        <v>#VALUE!</v>
      </c>
      <c r="X303">
        <v>12100</v>
      </c>
      <c r="Y303">
        <f t="shared" si="362"/>
        <v>14520</v>
      </c>
      <c r="Z303">
        <v>370</v>
      </c>
      <c r="AA303">
        <f t="shared" si="363"/>
        <v>196.10000000000002</v>
      </c>
      <c r="AB303">
        <v>20160</v>
      </c>
      <c r="AC303">
        <f t="shared" si="364"/>
        <v>20160</v>
      </c>
      <c r="AD303">
        <v>7920</v>
      </c>
      <c r="AE303">
        <f t="shared" si="365"/>
        <v>11880</v>
      </c>
      <c r="AF303" t="s">
        <v>73</v>
      </c>
      <c r="AG303" t="e">
        <f t="shared" si="366"/>
        <v>#VALUE!</v>
      </c>
      <c r="AH303">
        <v>12100</v>
      </c>
      <c r="AI303">
        <f t="shared" si="367"/>
        <v>14520</v>
      </c>
      <c r="AJ303">
        <v>90</v>
      </c>
      <c r="AK303">
        <f t="shared" si="368"/>
        <v>47.7</v>
      </c>
      <c r="AL303">
        <v>6000</v>
      </c>
      <c r="AM303">
        <f t="shared" si="369"/>
        <v>6000</v>
      </c>
      <c r="AN303">
        <v>10800</v>
      </c>
      <c r="AO303">
        <f t="shared" si="370"/>
        <v>16200</v>
      </c>
      <c r="AP303">
        <v>83</v>
      </c>
      <c r="AQ303">
        <f t="shared" si="371"/>
        <v>107.9</v>
      </c>
      <c r="AR303">
        <v>13200</v>
      </c>
      <c r="AS303">
        <f t="shared" si="372"/>
        <v>15840</v>
      </c>
      <c r="AT303">
        <v>120</v>
      </c>
      <c r="AU303">
        <f t="shared" si="373"/>
        <v>63.6</v>
      </c>
      <c r="AV303">
        <v>14000</v>
      </c>
      <c r="AW303">
        <f t="shared" si="374"/>
        <v>14000</v>
      </c>
      <c r="AX303">
        <v>9000</v>
      </c>
      <c r="AY303">
        <f t="shared" si="375"/>
        <v>13500</v>
      </c>
      <c r="AZ303">
        <v>75</v>
      </c>
      <c r="BA303">
        <f t="shared" si="376"/>
        <v>97.5</v>
      </c>
    </row>
    <row r="304" spans="1:53" x14ac:dyDescent="0.3">
      <c r="A304" t="s">
        <v>74</v>
      </c>
      <c r="B304" t="s">
        <v>670</v>
      </c>
      <c r="C304" t="s">
        <v>671</v>
      </c>
      <c r="D304">
        <v>10</v>
      </c>
      <c r="E304">
        <f t="shared" si="352"/>
        <v>12</v>
      </c>
      <c r="F304">
        <v>22</v>
      </c>
      <c r="G304">
        <f t="shared" si="353"/>
        <v>11.66</v>
      </c>
      <c r="H304">
        <v>1100</v>
      </c>
      <c r="I304">
        <f t="shared" si="354"/>
        <v>1100</v>
      </c>
      <c r="J304" t="s">
        <v>73</v>
      </c>
      <c r="K304" t="e">
        <f t="shared" si="355"/>
        <v>#VALUE!</v>
      </c>
      <c r="L304" t="s">
        <v>73</v>
      </c>
      <c r="M304" t="e">
        <f t="shared" si="356"/>
        <v>#VALUE!</v>
      </c>
      <c r="N304">
        <v>10</v>
      </c>
      <c r="O304">
        <f t="shared" si="357"/>
        <v>12</v>
      </c>
      <c r="P304">
        <v>30</v>
      </c>
      <c r="Q304">
        <f t="shared" si="358"/>
        <v>15.9</v>
      </c>
      <c r="R304">
        <v>1000</v>
      </c>
      <c r="S304">
        <f t="shared" si="359"/>
        <v>1000</v>
      </c>
      <c r="T304" t="s">
        <v>73</v>
      </c>
      <c r="U304" t="e">
        <f t="shared" si="360"/>
        <v>#VALUE!</v>
      </c>
      <c r="V304" t="s">
        <v>73</v>
      </c>
      <c r="W304" t="e">
        <f t="shared" ref="W304" si="419">V304*1.3</f>
        <v>#VALUE!</v>
      </c>
      <c r="X304">
        <v>10</v>
      </c>
      <c r="Y304">
        <f t="shared" si="362"/>
        <v>12</v>
      </c>
      <c r="Z304">
        <v>52</v>
      </c>
      <c r="AA304">
        <f t="shared" si="363"/>
        <v>27.560000000000002</v>
      </c>
      <c r="AB304">
        <v>1375</v>
      </c>
      <c r="AC304">
        <f t="shared" si="364"/>
        <v>1375</v>
      </c>
      <c r="AD304" t="s">
        <v>73</v>
      </c>
      <c r="AE304" t="e">
        <f t="shared" si="365"/>
        <v>#VALUE!</v>
      </c>
      <c r="AF304" t="s">
        <v>73</v>
      </c>
      <c r="AG304" t="e">
        <f t="shared" si="366"/>
        <v>#VALUE!</v>
      </c>
      <c r="AH304">
        <v>10</v>
      </c>
      <c r="AI304">
        <f t="shared" si="367"/>
        <v>12</v>
      </c>
      <c r="AJ304">
        <v>20</v>
      </c>
      <c r="AK304">
        <f t="shared" si="368"/>
        <v>10.600000000000001</v>
      </c>
      <c r="AL304">
        <v>1482</v>
      </c>
      <c r="AM304">
        <f t="shared" si="369"/>
        <v>1482</v>
      </c>
      <c r="AN304" t="s">
        <v>73</v>
      </c>
      <c r="AO304" t="e">
        <f t="shared" si="370"/>
        <v>#VALUE!</v>
      </c>
      <c r="AP304" t="s">
        <v>73</v>
      </c>
      <c r="AQ304" t="e">
        <f t="shared" si="371"/>
        <v>#VALUE!</v>
      </c>
      <c r="AR304" t="s">
        <v>73</v>
      </c>
      <c r="AS304" t="e">
        <f t="shared" si="372"/>
        <v>#VALUE!</v>
      </c>
      <c r="AT304">
        <v>14</v>
      </c>
      <c r="AU304">
        <f t="shared" si="373"/>
        <v>7.42</v>
      </c>
      <c r="AV304">
        <v>1200</v>
      </c>
      <c r="AW304">
        <f t="shared" si="374"/>
        <v>1200</v>
      </c>
      <c r="AX304" t="s">
        <v>73</v>
      </c>
      <c r="AY304" t="e">
        <f t="shared" si="375"/>
        <v>#VALUE!</v>
      </c>
      <c r="AZ304" t="s">
        <v>73</v>
      </c>
      <c r="BA304" t="e">
        <f t="shared" si="376"/>
        <v>#VALUE!</v>
      </c>
    </row>
    <row r="305" spans="1:53" x14ac:dyDescent="0.3">
      <c r="A305" t="s">
        <v>74</v>
      </c>
      <c r="B305" t="s">
        <v>672</v>
      </c>
      <c r="C305" t="s">
        <v>673</v>
      </c>
      <c r="D305">
        <v>2602</v>
      </c>
      <c r="E305">
        <f t="shared" si="352"/>
        <v>3122.4</v>
      </c>
      <c r="F305">
        <v>66</v>
      </c>
      <c r="G305">
        <f t="shared" si="353"/>
        <v>34.980000000000004</v>
      </c>
      <c r="H305">
        <v>1716</v>
      </c>
      <c r="I305">
        <f t="shared" si="354"/>
        <v>1716</v>
      </c>
      <c r="J305">
        <v>912</v>
      </c>
      <c r="K305">
        <f t="shared" si="355"/>
        <v>1368</v>
      </c>
      <c r="L305" t="s">
        <v>73</v>
      </c>
      <c r="M305" t="e">
        <f t="shared" si="356"/>
        <v>#VALUE!</v>
      </c>
      <c r="N305">
        <v>3024</v>
      </c>
      <c r="O305">
        <f t="shared" si="357"/>
        <v>3628.7999999999997</v>
      </c>
      <c r="P305">
        <v>171</v>
      </c>
      <c r="Q305">
        <f t="shared" si="358"/>
        <v>90.63000000000001</v>
      </c>
      <c r="R305">
        <v>2550</v>
      </c>
      <c r="S305">
        <f t="shared" si="359"/>
        <v>2550</v>
      </c>
      <c r="T305">
        <v>1102</v>
      </c>
      <c r="U305">
        <f t="shared" si="360"/>
        <v>1653</v>
      </c>
      <c r="V305" t="s">
        <v>73</v>
      </c>
      <c r="W305" t="e">
        <f t="shared" ref="W305" si="420">V305*1.3</f>
        <v>#VALUE!</v>
      </c>
      <c r="X305">
        <v>2324</v>
      </c>
      <c r="Y305">
        <f t="shared" si="362"/>
        <v>2788.7999999999997</v>
      </c>
      <c r="Z305">
        <v>45</v>
      </c>
      <c r="AA305">
        <f t="shared" si="363"/>
        <v>23.85</v>
      </c>
      <c r="AB305">
        <v>2412</v>
      </c>
      <c r="AC305">
        <f t="shared" si="364"/>
        <v>2412</v>
      </c>
      <c r="AD305">
        <v>750</v>
      </c>
      <c r="AE305">
        <f t="shared" si="365"/>
        <v>1125</v>
      </c>
      <c r="AF305" t="s">
        <v>73</v>
      </c>
      <c r="AG305" t="e">
        <f t="shared" si="366"/>
        <v>#VALUE!</v>
      </c>
      <c r="AH305">
        <v>2964</v>
      </c>
      <c r="AI305">
        <f t="shared" si="367"/>
        <v>3556.7999999999997</v>
      </c>
      <c r="AJ305">
        <v>9</v>
      </c>
      <c r="AK305">
        <f t="shared" si="368"/>
        <v>4.7700000000000005</v>
      </c>
      <c r="AL305">
        <v>1554</v>
      </c>
      <c r="AM305">
        <f t="shared" si="369"/>
        <v>1554</v>
      </c>
      <c r="AN305">
        <v>1050</v>
      </c>
      <c r="AO305">
        <f t="shared" si="370"/>
        <v>1575</v>
      </c>
      <c r="AP305">
        <v>216</v>
      </c>
      <c r="AQ305">
        <f t="shared" si="371"/>
        <v>280.8</v>
      </c>
      <c r="AR305">
        <v>3268</v>
      </c>
      <c r="AS305">
        <f t="shared" si="372"/>
        <v>3921.6</v>
      </c>
      <c r="AT305" t="s">
        <v>73</v>
      </c>
      <c r="AU305" t="e">
        <f t="shared" si="373"/>
        <v>#VALUE!</v>
      </c>
      <c r="AV305">
        <v>2376</v>
      </c>
      <c r="AW305">
        <f t="shared" si="374"/>
        <v>2376</v>
      </c>
      <c r="AX305">
        <v>1134</v>
      </c>
      <c r="AY305">
        <f t="shared" si="375"/>
        <v>1701</v>
      </c>
      <c r="AZ305">
        <v>96</v>
      </c>
      <c r="BA305">
        <f t="shared" si="376"/>
        <v>124.80000000000001</v>
      </c>
    </row>
    <row r="306" spans="1:53" x14ac:dyDescent="0.3">
      <c r="A306" t="s">
        <v>74</v>
      </c>
      <c r="B306" t="s">
        <v>674</v>
      </c>
      <c r="C306" t="s">
        <v>675</v>
      </c>
      <c r="D306">
        <v>74656</v>
      </c>
      <c r="E306">
        <f t="shared" si="352"/>
        <v>89587.199999999997</v>
      </c>
      <c r="F306">
        <v>52</v>
      </c>
      <c r="G306">
        <f t="shared" si="353"/>
        <v>27.560000000000002</v>
      </c>
      <c r="H306">
        <v>8970</v>
      </c>
      <c r="I306">
        <f t="shared" si="354"/>
        <v>8970</v>
      </c>
      <c r="J306">
        <v>60</v>
      </c>
      <c r="K306">
        <f t="shared" si="355"/>
        <v>90</v>
      </c>
      <c r="L306" t="s">
        <v>73</v>
      </c>
      <c r="M306" t="e">
        <f t="shared" si="356"/>
        <v>#VALUE!</v>
      </c>
      <c r="N306">
        <v>75650</v>
      </c>
      <c r="O306">
        <f t="shared" si="357"/>
        <v>90780</v>
      </c>
      <c r="P306">
        <v>60</v>
      </c>
      <c r="Q306">
        <f t="shared" si="358"/>
        <v>31.8</v>
      </c>
      <c r="R306">
        <v>7590</v>
      </c>
      <c r="S306">
        <f t="shared" si="359"/>
        <v>7590</v>
      </c>
      <c r="T306" t="s">
        <v>73</v>
      </c>
      <c r="U306" t="e">
        <f t="shared" si="360"/>
        <v>#VALUE!</v>
      </c>
      <c r="V306" t="s">
        <v>73</v>
      </c>
      <c r="W306" t="e">
        <f t="shared" ref="W306" si="421">V306*1.3</f>
        <v>#VALUE!</v>
      </c>
      <c r="X306">
        <v>75680</v>
      </c>
      <c r="Y306">
        <f t="shared" si="362"/>
        <v>90816</v>
      </c>
      <c r="Z306">
        <v>38</v>
      </c>
      <c r="AA306">
        <f t="shared" si="363"/>
        <v>20.14</v>
      </c>
      <c r="AB306">
        <v>10350</v>
      </c>
      <c r="AC306">
        <f t="shared" si="364"/>
        <v>10350</v>
      </c>
      <c r="AD306">
        <v>720</v>
      </c>
      <c r="AE306">
        <f t="shared" si="365"/>
        <v>1080</v>
      </c>
      <c r="AF306" t="s">
        <v>73</v>
      </c>
      <c r="AG306" t="e">
        <f t="shared" si="366"/>
        <v>#VALUE!</v>
      </c>
      <c r="AH306">
        <v>70400</v>
      </c>
      <c r="AI306">
        <f t="shared" si="367"/>
        <v>84480</v>
      </c>
      <c r="AJ306">
        <v>36</v>
      </c>
      <c r="AK306">
        <f t="shared" si="368"/>
        <v>19.080000000000002</v>
      </c>
      <c r="AL306">
        <v>4830</v>
      </c>
      <c r="AM306">
        <f t="shared" si="369"/>
        <v>4830</v>
      </c>
      <c r="AN306">
        <v>540</v>
      </c>
      <c r="AO306">
        <f t="shared" si="370"/>
        <v>810</v>
      </c>
      <c r="AP306" t="s">
        <v>73</v>
      </c>
      <c r="AQ306" t="e">
        <f t="shared" si="371"/>
        <v>#VALUE!</v>
      </c>
      <c r="AR306">
        <v>79200</v>
      </c>
      <c r="AS306">
        <f t="shared" si="372"/>
        <v>95040</v>
      </c>
      <c r="AT306">
        <v>36</v>
      </c>
      <c r="AU306">
        <f t="shared" si="373"/>
        <v>19.080000000000002</v>
      </c>
      <c r="AV306">
        <v>6480</v>
      </c>
      <c r="AW306">
        <f t="shared" si="374"/>
        <v>6480</v>
      </c>
      <c r="AX306">
        <v>180</v>
      </c>
      <c r="AY306">
        <f t="shared" si="375"/>
        <v>270</v>
      </c>
      <c r="AZ306" t="s">
        <v>73</v>
      </c>
      <c r="BA306" t="e">
        <f t="shared" si="376"/>
        <v>#VALUE!</v>
      </c>
    </row>
    <row r="307" spans="1:53" x14ac:dyDescent="0.3">
      <c r="A307" t="s">
        <v>74</v>
      </c>
      <c r="B307" t="s">
        <v>676</v>
      </c>
      <c r="C307" t="s">
        <v>677</v>
      </c>
      <c r="D307">
        <v>690</v>
      </c>
      <c r="E307">
        <f t="shared" si="352"/>
        <v>828</v>
      </c>
      <c r="F307">
        <v>38</v>
      </c>
      <c r="G307">
        <f t="shared" si="353"/>
        <v>20.14</v>
      </c>
      <c r="H307">
        <v>1700</v>
      </c>
      <c r="I307">
        <f t="shared" si="354"/>
        <v>1700</v>
      </c>
      <c r="J307" t="s">
        <v>73</v>
      </c>
      <c r="K307" t="e">
        <f t="shared" si="355"/>
        <v>#VALUE!</v>
      </c>
      <c r="L307" t="s">
        <v>73</v>
      </c>
      <c r="M307" t="e">
        <f t="shared" si="356"/>
        <v>#VALUE!</v>
      </c>
      <c r="N307">
        <v>825</v>
      </c>
      <c r="O307">
        <f t="shared" si="357"/>
        <v>990</v>
      </c>
      <c r="P307">
        <v>67</v>
      </c>
      <c r="Q307">
        <f t="shared" si="358"/>
        <v>35.510000000000005</v>
      </c>
      <c r="R307">
        <v>2250</v>
      </c>
      <c r="S307">
        <f t="shared" si="359"/>
        <v>2250</v>
      </c>
      <c r="T307" t="s">
        <v>73</v>
      </c>
      <c r="U307" t="e">
        <f t="shared" si="360"/>
        <v>#VALUE!</v>
      </c>
      <c r="V307" t="s">
        <v>73</v>
      </c>
      <c r="W307" t="e">
        <f t="shared" ref="W307" si="422">V307*1.3</f>
        <v>#VALUE!</v>
      </c>
      <c r="X307">
        <v>781</v>
      </c>
      <c r="Y307">
        <f t="shared" si="362"/>
        <v>937.19999999999993</v>
      </c>
      <c r="Z307">
        <v>68</v>
      </c>
      <c r="AA307">
        <f t="shared" si="363"/>
        <v>36.04</v>
      </c>
      <c r="AB307">
        <v>2560</v>
      </c>
      <c r="AC307">
        <f t="shared" si="364"/>
        <v>2560</v>
      </c>
      <c r="AD307" t="s">
        <v>73</v>
      </c>
      <c r="AE307" t="e">
        <f t="shared" si="365"/>
        <v>#VALUE!</v>
      </c>
      <c r="AF307" t="s">
        <v>73</v>
      </c>
      <c r="AG307" t="e">
        <f t="shared" si="366"/>
        <v>#VALUE!</v>
      </c>
      <c r="AH307">
        <v>523</v>
      </c>
      <c r="AI307">
        <f t="shared" si="367"/>
        <v>627.6</v>
      </c>
      <c r="AJ307">
        <v>24</v>
      </c>
      <c r="AK307">
        <f t="shared" si="368"/>
        <v>12.72</v>
      </c>
      <c r="AL307">
        <v>891</v>
      </c>
      <c r="AM307">
        <f t="shared" si="369"/>
        <v>891</v>
      </c>
      <c r="AN307">
        <v>12</v>
      </c>
      <c r="AO307">
        <f t="shared" si="370"/>
        <v>18</v>
      </c>
      <c r="AP307" t="s">
        <v>73</v>
      </c>
      <c r="AQ307" t="e">
        <f t="shared" si="371"/>
        <v>#VALUE!</v>
      </c>
      <c r="AR307">
        <v>825</v>
      </c>
      <c r="AS307">
        <f t="shared" si="372"/>
        <v>990</v>
      </c>
      <c r="AT307">
        <v>18</v>
      </c>
      <c r="AU307">
        <f t="shared" si="373"/>
        <v>9.5400000000000009</v>
      </c>
      <c r="AV307">
        <v>1944</v>
      </c>
      <c r="AW307">
        <f t="shared" si="374"/>
        <v>1944</v>
      </c>
      <c r="AX307">
        <v>100</v>
      </c>
      <c r="AY307">
        <f t="shared" si="375"/>
        <v>150</v>
      </c>
      <c r="AZ307" t="s">
        <v>73</v>
      </c>
      <c r="BA307" t="e">
        <f t="shared" si="376"/>
        <v>#VALUE!</v>
      </c>
    </row>
    <row r="308" spans="1:53" x14ac:dyDescent="0.3">
      <c r="A308" t="s">
        <v>74</v>
      </c>
      <c r="B308" t="s">
        <v>678</v>
      </c>
      <c r="C308" t="s">
        <v>679</v>
      </c>
      <c r="D308">
        <v>70</v>
      </c>
      <c r="E308">
        <f t="shared" si="352"/>
        <v>84</v>
      </c>
      <c r="F308">
        <v>6</v>
      </c>
      <c r="G308">
        <f t="shared" si="353"/>
        <v>3.18</v>
      </c>
      <c r="H308">
        <v>144</v>
      </c>
      <c r="I308">
        <f t="shared" si="354"/>
        <v>144</v>
      </c>
      <c r="J308" t="s">
        <v>73</v>
      </c>
      <c r="K308" t="e">
        <f t="shared" si="355"/>
        <v>#VALUE!</v>
      </c>
      <c r="L308" t="s">
        <v>73</v>
      </c>
      <c r="M308" t="e">
        <f t="shared" si="356"/>
        <v>#VALUE!</v>
      </c>
      <c r="N308">
        <v>65</v>
      </c>
      <c r="O308">
        <f t="shared" si="357"/>
        <v>78</v>
      </c>
      <c r="P308">
        <v>6</v>
      </c>
      <c r="Q308">
        <f t="shared" si="358"/>
        <v>3.18</v>
      </c>
      <c r="R308">
        <v>150</v>
      </c>
      <c r="S308">
        <f t="shared" si="359"/>
        <v>150</v>
      </c>
      <c r="T308" t="s">
        <v>73</v>
      </c>
      <c r="U308" t="e">
        <f t="shared" si="360"/>
        <v>#VALUE!</v>
      </c>
      <c r="V308" t="s">
        <v>73</v>
      </c>
      <c r="W308" t="e">
        <f t="shared" ref="W308" si="423">V308*1.3</f>
        <v>#VALUE!</v>
      </c>
      <c r="X308">
        <v>75</v>
      </c>
      <c r="Y308">
        <f t="shared" si="362"/>
        <v>90</v>
      </c>
      <c r="Z308">
        <v>4</v>
      </c>
      <c r="AA308">
        <f t="shared" si="363"/>
        <v>2.12</v>
      </c>
      <c r="AB308">
        <v>198</v>
      </c>
      <c r="AC308">
        <f t="shared" si="364"/>
        <v>198</v>
      </c>
      <c r="AD308" t="s">
        <v>73</v>
      </c>
      <c r="AE308" t="e">
        <f t="shared" si="365"/>
        <v>#VALUE!</v>
      </c>
      <c r="AF308" t="s">
        <v>73</v>
      </c>
      <c r="AG308" t="e">
        <f t="shared" si="366"/>
        <v>#VALUE!</v>
      </c>
      <c r="AH308">
        <v>75</v>
      </c>
      <c r="AI308">
        <f t="shared" si="367"/>
        <v>90</v>
      </c>
      <c r="AJ308">
        <v>3</v>
      </c>
      <c r="AK308">
        <f t="shared" si="368"/>
        <v>1.59</v>
      </c>
      <c r="AL308">
        <v>180</v>
      </c>
      <c r="AM308">
        <f t="shared" si="369"/>
        <v>180</v>
      </c>
      <c r="AN308" t="s">
        <v>73</v>
      </c>
      <c r="AO308" t="e">
        <f t="shared" si="370"/>
        <v>#VALUE!</v>
      </c>
      <c r="AP308" t="s">
        <v>73</v>
      </c>
      <c r="AQ308" t="e">
        <f t="shared" si="371"/>
        <v>#VALUE!</v>
      </c>
      <c r="AR308">
        <v>80</v>
      </c>
      <c r="AS308">
        <f t="shared" si="372"/>
        <v>96</v>
      </c>
      <c r="AT308">
        <v>2</v>
      </c>
      <c r="AU308">
        <f t="shared" si="373"/>
        <v>1.06</v>
      </c>
      <c r="AV308">
        <v>240</v>
      </c>
      <c r="AW308">
        <f t="shared" si="374"/>
        <v>240</v>
      </c>
      <c r="AX308" t="s">
        <v>73</v>
      </c>
      <c r="AY308" t="e">
        <f t="shared" si="375"/>
        <v>#VALUE!</v>
      </c>
      <c r="AZ308" t="s">
        <v>73</v>
      </c>
      <c r="BA308" t="e">
        <f t="shared" si="376"/>
        <v>#VALUE!</v>
      </c>
    </row>
    <row r="309" spans="1:53" x14ac:dyDescent="0.3">
      <c r="A309" t="s">
        <v>74</v>
      </c>
      <c r="B309" t="s">
        <v>680</v>
      </c>
      <c r="C309" t="s">
        <v>681</v>
      </c>
      <c r="D309">
        <v>278</v>
      </c>
      <c r="E309">
        <f t="shared" si="352"/>
        <v>333.59999999999997</v>
      </c>
      <c r="F309">
        <v>71</v>
      </c>
      <c r="G309">
        <f t="shared" si="353"/>
        <v>37.630000000000003</v>
      </c>
      <c r="H309">
        <v>2352</v>
      </c>
      <c r="I309">
        <f t="shared" si="354"/>
        <v>2352</v>
      </c>
      <c r="J309">
        <v>216</v>
      </c>
      <c r="K309">
        <f t="shared" si="355"/>
        <v>324</v>
      </c>
      <c r="L309" t="s">
        <v>73</v>
      </c>
      <c r="M309" t="e">
        <f t="shared" si="356"/>
        <v>#VALUE!</v>
      </c>
      <c r="N309">
        <v>326</v>
      </c>
      <c r="O309">
        <f t="shared" si="357"/>
        <v>391.2</v>
      </c>
      <c r="P309">
        <v>106</v>
      </c>
      <c r="Q309">
        <f t="shared" si="358"/>
        <v>56.18</v>
      </c>
      <c r="R309">
        <v>2800</v>
      </c>
      <c r="S309">
        <f t="shared" si="359"/>
        <v>2800</v>
      </c>
      <c r="T309">
        <v>216</v>
      </c>
      <c r="U309">
        <f t="shared" si="360"/>
        <v>324</v>
      </c>
      <c r="V309" t="s">
        <v>73</v>
      </c>
      <c r="W309" t="e">
        <f t="shared" ref="W309" si="424">V309*1.3</f>
        <v>#VALUE!</v>
      </c>
      <c r="X309">
        <v>320</v>
      </c>
      <c r="Y309">
        <f t="shared" si="362"/>
        <v>384</v>
      </c>
      <c r="Z309">
        <v>82</v>
      </c>
      <c r="AA309">
        <f t="shared" si="363"/>
        <v>43.46</v>
      </c>
      <c r="AB309">
        <v>3250</v>
      </c>
      <c r="AC309">
        <f t="shared" si="364"/>
        <v>3250</v>
      </c>
      <c r="AD309">
        <v>210</v>
      </c>
      <c r="AE309">
        <f t="shared" si="365"/>
        <v>315</v>
      </c>
      <c r="AF309" t="s">
        <v>73</v>
      </c>
      <c r="AG309" t="e">
        <f t="shared" si="366"/>
        <v>#VALUE!</v>
      </c>
      <c r="AH309">
        <v>184</v>
      </c>
      <c r="AI309">
        <f t="shared" si="367"/>
        <v>220.79999999999998</v>
      </c>
      <c r="AJ309">
        <v>5</v>
      </c>
      <c r="AK309">
        <f t="shared" si="368"/>
        <v>2.6500000000000004</v>
      </c>
      <c r="AL309">
        <v>1800</v>
      </c>
      <c r="AM309">
        <f t="shared" si="369"/>
        <v>1800</v>
      </c>
      <c r="AN309">
        <v>87</v>
      </c>
      <c r="AO309">
        <f t="shared" si="370"/>
        <v>130.5</v>
      </c>
      <c r="AP309">
        <v>30</v>
      </c>
      <c r="AQ309">
        <f t="shared" si="371"/>
        <v>39</v>
      </c>
      <c r="AR309">
        <v>203</v>
      </c>
      <c r="AS309">
        <f t="shared" si="372"/>
        <v>243.6</v>
      </c>
      <c r="AT309">
        <v>12</v>
      </c>
      <c r="AU309">
        <f t="shared" si="373"/>
        <v>6.36</v>
      </c>
      <c r="AV309">
        <v>2700</v>
      </c>
      <c r="AW309">
        <f t="shared" si="374"/>
        <v>2700</v>
      </c>
      <c r="AX309">
        <v>165</v>
      </c>
      <c r="AY309">
        <f t="shared" si="375"/>
        <v>247.5</v>
      </c>
      <c r="AZ309">
        <v>30</v>
      </c>
      <c r="BA309">
        <f t="shared" si="376"/>
        <v>39</v>
      </c>
    </row>
    <row r="310" spans="1:53" x14ac:dyDescent="0.3">
      <c r="A310" t="s">
        <v>70</v>
      </c>
      <c r="B310" t="s">
        <v>682</v>
      </c>
      <c r="C310" t="s">
        <v>683</v>
      </c>
      <c r="D310">
        <v>494702</v>
      </c>
      <c r="E310">
        <f t="shared" si="352"/>
        <v>593642.4</v>
      </c>
      <c r="F310">
        <v>454</v>
      </c>
      <c r="G310">
        <f t="shared" si="353"/>
        <v>240.62</v>
      </c>
      <c r="H310">
        <v>52050</v>
      </c>
      <c r="I310">
        <f t="shared" si="354"/>
        <v>52050</v>
      </c>
      <c r="J310">
        <v>1509</v>
      </c>
      <c r="K310">
        <f t="shared" si="355"/>
        <v>2263.5</v>
      </c>
      <c r="L310" t="s">
        <v>73</v>
      </c>
      <c r="M310" t="e">
        <f t="shared" si="356"/>
        <v>#VALUE!</v>
      </c>
      <c r="N310">
        <v>499406</v>
      </c>
      <c r="O310">
        <f t="shared" si="357"/>
        <v>599287.19999999995</v>
      </c>
      <c r="P310">
        <v>505</v>
      </c>
      <c r="Q310">
        <f t="shared" si="358"/>
        <v>267.65000000000003</v>
      </c>
      <c r="R310">
        <v>42635</v>
      </c>
      <c r="S310">
        <f t="shared" si="359"/>
        <v>42635</v>
      </c>
      <c r="T310">
        <v>1547</v>
      </c>
      <c r="U310">
        <f t="shared" si="360"/>
        <v>2320.5</v>
      </c>
      <c r="V310" t="s">
        <v>73</v>
      </c>
      <c r="W310" t="e">
        <f t="shared" ref="W310" si="425">V310*1.3</f>
        <v>#VALUE!</v>
      </c>
      <c r="X310">
        <v>494241</v>
      </c>
      <c r="Y310">
        <f t="shared" si="362"/>
        <v>593089.19999999995</v>
      </c>
      <c r="Z310">
        <v>528</v>
      </c>
      <c r="AA310">
        <f t="shared" si="363"/>
        <v>279.84000000000003</v>
      </c>
      <c r="AB310">
        <v>65174</v>
      </c>
      <c r="AC310">
        <f t="shared" si="364"/>
        <v>65174</v>
      </c>
      <c r="AD310">
        <v>7877</v>
      </c>
      <c r="AE310">
        <f t="shared" si="365"/>
        <v>11815.5</v>
      </c>
      <c r="AF310">
        <v>345</v>
      </c>
      <c r="AG310">
        <f t="shared" si="366"/>
        <v>448.5</v>
      </c>
      <c r="AH310">
        <v>524727</v>
      </c>
      <c r="AI310">
        <f t="shared" si="367"/>
        <v>629672.4</v>
      </c>
      <c r="AJ310">
        <v>414</v>
      </c>
      <c r="AK310">
        <f t="shared" si="368"/>
        <v>219.42000000000002</v>
      </c>
      <c r="AL310">
        <v>65586</v>
      </c>
      <c r="AM310">
        <f t="shared" si="369"/>
        <v>65586</v>
      </c>
      <c r="AN310">
        <v>10896</v>
      </c>
      <c r="AO310">
        <f t="shared" si="370"/>
        <v>16344</v>
      </c>
      <c r="AP310">
        <v>480</v>
      </c>
      <c r="AQ310">
        <f t="shared" si="371"/>
        <v>624</v>
      </c>
      <c r="AR310">
        <v>457445</v>
      </c>
      <c r="AS310">
        <f t="shared" si="372"/>
        <v>548934</v>
      </c>
      <c r="AT310">
        <v>52</v>
      </c>
      <c r="AU310">
        <f t="shared" si="373"/>
        <v>27.560000000000002</v>
      </c>
      <c r="AV310">
        <v>31816</v>
      </c>
      <c r="AW310">
        <f t="shared" si="374"/>
        <v>31816</v>
      </c>
      <c r="AX310">
        <v>5829</v>
      </c>
      <c r="AY310">
        <f t="shared" si="375"/>
        <v>8743.5</v>
      </c>
      <c r="AZ310">
        <v>288</v>
      </c>
      <c r="BA310">
        <f t="shared" si="376"/>
        <v>374.40000000000003</v>
      </c>
    </row>
    <row r="311" spans="1:53" x14ac:dyDescent="0.3">
      <c r="A311" t="s">
        <v>74</v>
      </c>
      <c r="B311" t="s">
        <v>684</v>
      </c>
      <c r="C311" t="s">
        <v>685</v>
      </c>
      <c r="D311">
        <v>41452</v>
      </c>
      <c r="E311">
        <f t="shared" si="352"/>
        <v>49742.400000000001</v>
      </c>
      <c r="F311">
        <v>48</v>
      </c>
      <c r="G311">
        <f t="shared" si="353"/>
        <v>25.44</v>
      </c>
      <c r="H311">
        <v>6000</v>
      </c>
      <c r="I311">
        <f t="shared" si="354"/>
        <v>6000</v>
      </c>
      <c r="J311">
        <v>972</v>
      </c>
      <c r="K311">
        <f t="shared" si="355"/>
        <v>1458</v>
      </c>
      <c r="L311" t="s">
        <v>73</v>
      </c>
      <c r="M311" t="e">
        <f t="shared" si="356"/>
        <v>#VALUE!</v>
      </c>
      <c r="N311">
        <v>48637</v>
      </c>
      <c r="O311">
        <f t="shared" si="357"/>
        <v>58364.4</v>
      </c>
      <c r="P311">
        <v>48</v>
      </c>
      <c r="Q311">
        <f t="shared" si="358"/>
        <v>25.44</v>
      </c>
      <c r="R311">
        <v>6000</v>
      </c>
      <c r="S311">
        <f t="shared" si="359"/>
        <v>6000</v>
      </c>
      <c r="T311">
        <v>1031</v>
      </c>
      <c r="U311">
        <f t="shared" si="360"/>
        <v>1546.5</v>
      </c>
      <c r="V311" t="s">
        <v>73</v>
      </c>
      <c r="W311" t="e">
        <f t="shared" ref="W311" si="426">V311*1.3</f>
        <v>#VALUE!</v>
      </c>
      <c r="X311">
        <v>45500</v>
      </c>
      <c r="Y311">
        <f t="shared" si="362"/>
        <v>54600</v>
      </c>
      <c r="Z311">
        <v>30</v>
      </c>
      <c r="AA311">
        <f t="shared" si="363"/>
        <v>15.9</v>
      </c>
      <c r="AB311">
        <v>6555</v>
      </c>
      <c r="AC311">
        <f t="shared" si="364"/>
        <v>6555</v>
      </c>
      <c r="AD311">
        <v>1200</v>
      </c>
      <c r="AE311">
        <f t="shared" si="365"/>
        <v>1800</v>
      </c>
      <c r="AF311">
        <v>345</v>
      </c>
      <c r="AG311">
        <f t="shared" si="366"/>
        <v>448.5</v>
      </c>
      <c r="AH311">
        <v>44216</v>
      </c>
      <c r="AI311">
        <f t="shared" si="367"/>
        <v>53059.199999999997</v>
      </c>
      <c r="AJ311">
        <v>30</v>
      </c>
      <c r="AK311">
        <f t="shared" si="368"/>
        <v>15.9</v>
      </c>
      <c r="AL311">
        <v>6840</v>
      </c>
      <c r="AM311">
        <f t="shared" si="369"/>
        <v>6840</v>
      </c>
      <c r="AN311">
        <v>1440</v>
      </c>
      <c r="AO311">
        <f t="shared" si="370"/>
        <v>2160</v>
      </c>
      <c r="AP311">
        <v>480</v>
      </c>
      <c r="AQ311">
        <f t="shared" si="371"/>
        <v>624</v>
      </c>
      <c r="AR311">
        <v>40347</v>
      </c>
      <c r="AS311">
        <f t="shared" si="372"/>
        <v>48416.4</v>
      </c>
      <c r="AT311" t="s">
        <v>73</v>
      </c>
      <c r="AU311" t="e">
        <f t="shared" si="373"/>
        <v>#VALUE!</v>
      </c>
      <c r="AV311">
        <v>3990</v>
      </c>
      <c r="AW311">
        <f t="shared" si="374"/>
        <v>3990</v>
      </c>
      <c r="AX311">
        <v>1404</v>
      </c>
      <c r="AY311">
        <f t="shared" si="375"/>
        <v>2106</v>
      </c>
      <c r="AZ311">
        <v>288</v>
      </c>
      <c r="BA311">
        <f t="shared" si="376"/>
        <v>374.40000000000003</v>
      </c>
    </row>
    <row r="312" spans="1:53" x14ac:dyDescent="0.3">
      <c r="A312" t="s">
        <v>74</v>
      </c>
      <c r="B312" t="s">
        <v>686</v>
      </c>
      <c r="C312" t="s">
        <v>687</v>
      </c>
      <c r="D312" t="s">
        <v>525</v>
      </c>
      <c r="E312" t="e">
        <f t="shared" si="352"/>
        <v>#VALUE!</v>
      </c>
      <c r="F312" t="s">
        <v>525</v>
      </c>
      <c r="G312" t="e">
        <f t="shared" si="353"/>
        <v>#VALUE!</v>
      </c>
      <c r="H312" t="s">
        <v>525</v>
      </c>
      <c r="I312" t="str">
        <f t="shared" si="354"/>
        <v>...</v>
      </c>
      <c r="J312" t="s">
        <v>525</v>
      </c>
      <c r="K312" t="e">
        <f t="shared" si="355"/>
        <v>#VALUE!</v>
      </c>
      <c r="L312" t="s">
        <v>525</v>
      </c>
      <c r="M312" t="e">
        <f t="shared" si="356"/>
        <v>#VALUE!</v>
      </c>
      <c r="N312" t="s">
        <v>525</v>
      </c>
      <c r="O312" t="e">
        <f t="shared" si="357"/>
        <v>#VALUE!</v>
      </c>
      <c r="P312" t="s">
        <v>525</v>
      </c>
      <c r="Q312" t="e">
        <f t="shared" si="358"/>
        <v>#VALUE!</v>
      </c>
      <c r="R312" t="s">
        <v>525</v>
      </c>
      <c r="S312" t="str">
        <f t="shared" si="359"/>
        <v>...</v>
      </c>
      <c r="T312" t="s">
        <v>525</v>
      </c>
      <c r="U312" t="e">
        <f t="shared" si="360"/>
        <v>#VALUE!</v>
      </c>
      <c r="V312" t="s">
        <v>525</v>
      </c>
      <c r="W312" t="e">
        <f t="shared" ref="W312" si="427">V312*1.3</f>
        <v>#VALUE!</v>
      </c>
      <c r="X312" t="s">
        <v>525</v>
      </c>
      <c r="Y312" t="e">
        <f t="shared" si="362"/>
        <v>#VALUE!</v>
      </c>
      <c r="Z312" t="s">
        <v>525</v>
      </c>
      <c r="AA312" t="e">
        <f t="shared" si="363"/>
        <v>#VALUE!</v>
      </c>
      <c r="AB312" t="s">
        <v>525</v>
      </c>
      <c r="AC312" t="str">
        <f t="shared" si="364"/>
        <v>...</v>
      </c>
      <c r="AD312" t="s">
        <v>525</v>
      </c>
      <c r="AE312" t="e">
        <f t="shared" si="365"/>
        <v>#VALUE!</v>
      </c>
      <c r="AF312" t="s">
        <v>525</v>
      </c>
      <c r="AG312" t="e">
        <f t="shared" si="366"/>
        <v>#VALUE!</v>
      </c>
      <c r="AH312" t="s">
        <v>525</v>
      </c>
      <c r="AI312" t="e">
        <f t="shared" si="367"/>
        <v>#VALUE!</v>
      </c>
      <c r="AJ312" t="s">
        <v>525</v>
      </c>
      <c r="AK312" t="e">
        <f t="shared" si="368"/>
        <v>#VALUE!</v>
      </c>
      <c r="AL312" t="s">
        <v>525</v>
      </c>
      <c r="AM312" t="str">
        <f t="shared" si="369"/>
        <v>...</v>
      </c>
      <c r="AN312" t="s">
        <v>525</v>
      </c>
      <c r="AO312" t="e">
        <f t="shared" si="370"/>
        <v>#VALUE!</v>
      </c>
      <c r="AP312" t="s">
        <v>525</v>
      </c>
      <c r="AQ312" t="e">
        <f t="shared" si="371"/>
        <v>#VALUE!</v>
      </c>
      <c r="AR312" t="s">
        <v>525</v>
      </c>
      <c r="AS312" t="e">
        <f t="shared" si="372"/>
        <v>#VALUE!</v>
      </c>
      <c r="AT312" t="s">
        <v>525</v>
      </c>
      <c r="AU312" t="e">
        <f t="shared" si="373"/>
        <v>#VALUE!</v>
      </c>
      <c r="AV312" t="s">
        <v>525</v>
      </c>
      <c r="AW312" t="str">
        <f t="shared" si="374"/>
        <v>...</v>
      </c>
      <c r="AX312" t="s">
        <v>525</v>
      </c>
      <c r="AY312" t="e">
        <f t="shared" si="375"/>
        <v>#VALUE!</v>
      </c>
      <c r="AZ312" t="s">
        <v>525</v>
      </c>
      <c r="BA312" t="e">
        <f t="shared" si="376"/>
        <v>#VALUE!</v>
      </c>
    </row>
    <row r="313" spans="1:53" x14ac:dyDescent="0.3">
      <c r="A313" t="s">
        <v>74</v>
      </c>
      <c r="B313" t="s">
        <v>688</v>
      </c>
      <c r="C313" t="s">
        <v>689</v>
      </c>
      <c r="D313" t="s">
        <v>73</v>
      </c>
      <c r="E313" t="e">
        <f t="shared" si="352"/>
        <v>#VALUE!</v>
      </c>
      <c r="F313">
        <v>10</v>
      </c>
      <c r="G313">
        <f t="shared" si="353"/>
        <v>5.3000000000000007</v>
      </c>
      <c r="H313" t="s">
        <v>73</v>
      </c>
      <c r="I313" t="str">
        <f t="shared" si="354"/>
        <v>-</v>
      </c>
      <c r="J313" t="s">
        <v>73</v>
      </c>
      <c r="K313" t="e">
        <f t="shared" si="355"/>
        <v>#VALUE!</v>
      </c>
      <c r="L313" t="s">
        <v>73</v>
      </c>
      <c r="M313" t="e">
        <f t="shared" si="356"/>
        <v>#VALUE!</v>
      </c>
      <c r="N313" t="s">
        <v>73</v>
      </c>
      <c r="O313" t="e">
        <f t="shared" si="357"/>
        <v>#VALUE!</v>
      </c>
      <c r="P313">
        <v>13</v>
      </c>
      <c r="Q313">
        <f t="shared" si="358"/>
        <v>6.8900000000000006</v>
      </c>
      <c r="R313" t="s">
        <v>73</v>
      </c>
      <c r="S313" t="str">
        <f t="shared" si="359"/>
        <v>-</v>
      </c>
      <c r="T313" t="s">
        <v>73</v>
      </c>
      <c r="U313" t="e">
        <f t="shared" si="360"/>
        <v>#VALUE!</v>
      </c>
      <c r="V313" t="s">
        <v>73</v>
      </c>
      <c r="W313" t="e">
        <f t="shared" ref="W313" si="428">V313*1.3</f>
        <v>#VALUE!</v>
      </c>
      <c r="X313" t="s">
        <v>73</v>
      </c>
      <c r="Y313" t="e">
        <f t="shared" si="362"/>
        <v>#VALUE!</v>
      </c>
      <c r="Z313">
        <v>10</v>
      </c>
      <c r="AA313">
        <f t="shared" si="363"/>
        <v>5.3000000000000007</v>
      </c>
      <c r="AB313">
        <v>900</v>
      </c>
      <c r="AC313">
        <f t="shared" si="364"/>
        <v>900</v>
      </c>
      <c r="AD313">
        <v>522</v>
      </c>
      <c r="AE313">
        <f t="shared" si="365"/>
        <v>783</v>
      </c>
      <c r="AF313" t="s">
        <v>73</v>
      </c>
      <c r="AG313" t="e">
        <f t="shared" si="366"/>
        <v>#VALUE!</v>
      </c>
      <c r="AH313" t="s">
        <v>73</v>
      </c>
      <c r="AI313" t="e">
        <f t="shared" si="367"/>
        <v>#VALUE!</v>
      </c>
      <c r="AJ313">
        <v>10</v>
      </c>
      <c r="AK313">
        <f t="shared" si="368"/>
        <v>5.3000000000000007</v>
      </c>
      <c r="AL313">
        <v>900</v>
      </c>
      <c r="AM313">
        <f t="shared" si="369"/>
        <v>900</v>
      </c>
      <c r="AN313">
        <v>450</v>
      </c>
      <c r="AO313">
        <f t="shared" si="370"/>
        <v>675</v>
      </c>
      <c r="AP313" t="s">
        <v>73</v>
      </c>
      <c r="AQ313" t="e">
        <f t="shared" si="371"/>
        <v>#VALUE!</v>
      </c>
      <c r="AR313" t="s">
        <v>73</v>
      </c>
      <c r="AS313" t="e">
        <f t="shared" si="372"/>
        <v>#VALUE!</v>
      </c>
      <c r="AT313" t="s">
        <v>73</v>
      </c>
      <c r="AU313" t="e">
        <f t="shared" si="373"/>
        <v>#VALUE!</v>
      </c>
      <c r="AV313">
        <v>165</v>
      </c>
      <c r="AW313">
        <f t="shared" si="374"/>
        <v>165</v>
      </c>
      <c r="AX313">
        <v>306</v>
      </c>
      <c r="AY313">
        <f t="shared" si="375"/>
        <v>459</v>
      </c>
      <c r="AZ313" t="s">
        <v>73</v>
      </c>
      <c r="BA313" t="e">
        <f t="shared" si="376"/>
        <v>#VALUE!</v>
      </c>
    </row>
    <row r="314" spans="1:53" x14ac:dyDescent="0.3">
      <c r="A314" t="s">
        <v>74</v>
      </c>
      <c r="B314" t="s">
        <v>690</v>
      </c>
      <c r="C314" t="s">
        <v>691</v>
      </c>
      <c r="D314">
        <v>30816</v>
      </c>
      <c r="E314">
        <f t="shared" si="352"/>
        <v>36979.199999999997</v>
      </c>
      <c r="F314">
        <v>25</v>
      </c>
      <c r="G314">
        <f t="shared" si="353"/>
        <v>13.25</v>
      </c>
      <c r="H314">
        <v>3240</v>
      </c>
      <c r="I314">
        <f t="shared" si="354"/>
        <v>3240</v>
      </c>
      <c r="J314">
        <v>246</v>
      </c>
      <c r="K314">
        <f t="shared" si="355"/>
        <v>369</v>
      </c>
      <c r="L314" t="s">
        <v>73</v>
      </c>
      <c r="M314" t="e">
        <f t="shared" si="356"/>
        <v>#VALUE!</v>
      </c>
      <c r="N314">
        <v>27392</v>
      </c>
      <c r="O314">
        <f t="shared" si="357"/>
        <v>32870.400000000001</v>
      </c>
      <c r="P314">
        <v>27</v>
      </c>
      <c r="Q314">
        <f t="shared" si="358"/>
        <v>14.31</v>
      </c>
      <c r="R314">
        <v>2031</v>
      </c>
      <c r="S314">
        <f t="shared" si="359"/>
        <v>2031</v>
      </c>
      <c r="T314">
        <v>162</v>
      </c>
      <c r="U314">
        <f t="shared" si="360"/>
        <v>243</v>
      </c>
      <c r="V314" t="s">
        <v>73</v>
      </c>
      <c r="W314" t="e">
        <f t="shared" ref="W314" si="429">V314*1.3</f>
        <v>#VALUE!</v>
      </c>
      <c r="X314">
        <v>30900</v>
      </c>
      <c r="Y314">
        <f t="shared" si="362"/>
        <v>37080</v>
      </c>
      <c r="Z314">
        <v>126</v>
      </c>
      <c r="AA314">
        <f t="shared" si="363"/>
        <v>66.78</v>
      </c>
      <c r="AB314">
        <v>3630</v>
      </c>
      <c r="AC314">
        <f t="shared" si="364"/>
        <v>3630</v>
      </c>
      <c r="AD314">
        <v>792</v>
      </c>
      <c r="AE314">
        <f t="shared" si="365"/>
        <v>1188</v>
      </c>
      <c r="AF314" t="s">
        <v>73</v>
      </c>
      <c r="AG314" t="e">
        <f t="shared" si="366"/>
        <v>#VALUE!</v>
      </c>
      <c r="AH314">
        <v>30248</v>
      </c>
      <c r="AI314">
        <f t="shared" si="367"/>
        <v>36297.599999999999</v>
      </c>
      <c r="AJ314">
        <v>90</v>
      </c>
      <c r="AK314">
        <f t="shared" si="368"/>
        <v>47.7</v>
      </c>
      <c r="AL314">
        <v>3240</v>
      </c>
      <c r="AM314">
        <f t="shared" si="369"/>
        <v>3240</v>
      </c>
      <c r="AN314">
        <v>972</v>
      </c>
      <c r="AO314">
        <f t="shared" si="370"/>
        <v>1458</v>
      </c>
      <c r="AP314" t="s">
        <v>73</v>
      </c>
      <c r="AQ314" t="e">
        <f t="shared" si="371"/>
        <v>#VALUE!</v>
      </c>
      <c r="AR314">
        <v>26592</v>
      </c>
      <c r="AS314">
        <f t="shared" si="372"/>
        <v>31910.399999999998</v>
      </c>
      <c r="AT314" t="s">
        <v>73</v>
      </c>
      <c r="AU314" t="e">
        <f t="shared" si="373"/>
        <v>#VALUE!</v>
      </c>
      <c r="AV314">
        <v>1620</v>
      </c>
      <c r="AW314">
        <f t="shared" si="374"/>
        <v>1620</v>
      </c>
      <c r="AX314">
        <v>450</v>
      </c>
      <c r="AY314">
        <f t="shared" si="375"/>
        <v>675</v>
      </c>
      <c r="AZ314" t="s">
        <v>73</v>
      </c>
      <c r="BA314" t="e">
        <f t="shared" si="376"/>
        <v>#VALUE!</v>
      </c>
    </row>
    <row r="315" spans="1:53" x14ac:dyDescent="0.3">
      <c r="A315" t="s">
        <v>74</v>
      </c>
      <c r="B315" t="s">
        <v>692</v>
      </c>
      <c r="C315" t="s">
        <v>693</v>
      </c>
      <c r="D315">
        <v>66462</v>
      </c>
      <c r="E315">
        <f t="shared" si="352"/>
        <v>79754.399999999994</v>
      </c>
      <c r="F315">
        <v>15</v>
      </c>
      <c r="G315">
        <f t="shared" si="353"/>
        <v>7.95</v>
      </c>
      <c r="H315">
        <v>6480</v>
      </c>
      <c r="I315">
        <f t="shared" si="354"/>
        <v>6480</v>
      </c>
      <c r="J315" t="s">
        <v>73</v>
      </c>
      <c r="K315" t="e">
        <f t="shared" si="355"/>
        <v>#VALUE!</v>
      </c>
      <c r="L315" t="s">
        <v>73</v>
      </c>
      <c r="M315" t="e">
        <f t="shared" si="356"/>
        <v>#VALUE!</v>
      </c>
      <c r="N315">
        <v>66865</v>
      </c>
      <c r="O315">
        <f t="shared" si="357"/>
        <v>80238</v>
      </c>
      <c r="P315">
        <v>15</v>
      </c>
      <c r="Q315">
        <f t="shared" si="358"/>
        <v>7.95</v>
      </c>
      <c r="R315">
        <v>4125</v>
      </c>
      <c r="S315">
        <f t="shared" si="359"/>
        <v>4125</v>
      </c>
      <c r="T315" t="s">
        <v>73</v>
      </c>
      <c r="U315" t="e">
        <f t="shared" si="360"/>
        <v>#VALUE!</v>
      </c>
      <c r="V315" t="s">
        <v>73</v>
      </c>
      <c r="W315" t="e">
        <f t="shared" ref="W315" si="430">V315*1.3</f>
        <v>#VALUE!</v>
      </c>
      <c r="X315">
        <v>64448</v>
      </c>
      <c r="Y315">
        <f t="shared" si="362"/>
        <v>77337.599999999991</v>
      </c>
      <c r="Z315">
        <v>11</v>
      </c>
      <c r="AA315">
        <f t="shared" si="363"/>
        <v>5.83</v>
      </c>
      <c r="AB315">
        <v>7134</v>
      </c>
      <c r="AC315">
        <f t="shared" si="364"/>
        <v>7134</v>
      </c>
      <c r="AD315">
        <v>144</v>
      </c>
      <c r="AE315">
        <f t="shared" si="365"/>
        <v>216</v>
      </c>
      <c r="AF315" t="s">
        <v>73</v>
      </c>
      <c r="AG315" t="e">
        <f t="shared" si="366"/>
        <v>#VALUE!</v>
      </c>
      <c r="AH315">
        <v>67670</v>
      </c>
      <c r="AI315">
        <f t="shared" si="367"/>
        <v>81204</v>
      </c>
      <c r="AJ315">
        <v>16</v>
      </c>
      <c r="AK315">
        <f t="shared" si="368"/>
        <v>8.48</v>
      </c>
      <c r="AL315">
        <v>7830</v>
      </c>
      <c r="AM315">
        <f t="shared" si="369"/>
        <v>7830</v>
      </c>
      <c r="AN315">
        <v>225</v>
      </c>
      <c r="AO315">
        <f t="shared" si="370"/>
        <v>337.5</v>
      </c>
      <c r="AP315" t="s">
        <v>73</v>
      </c>
      <c r="AQ315" t="e">
        <f t="shared" si="371"/>
        <v>#VALUE!</v>
      </c>
      <c r="AR315">
        <v>66462</v>
      </c>
      <c r="AS315">
        <f t="shared" si="372"/>
        <v>79754.399999999994</v>
      </c>
      <c r="AT315" t="s">
        <v>73</v>
      </c>
      <c r="AU315" t="e">
        <f t="shared" si="373"/>
        <v>#VALUE!</v>
      </c>
      <c r="AV315">
        <v>4698</v>
      </c>
      <c r="AW315">
        <f t="shared" si="374"/>
        <v>4698</v>
      </c>
      <c r="AX315">
        <v>90</v>
      </c>
      <c r="AY315">
        <f t="shared" si="375"/>
        <v>135</v>
      </c>
      <c r="AZ315" t="s">
        <v>73</v>
      </c>
      <c r="BA315" t="e">
        <f t="shared" si="376"/>
        <v>#VALUE!</v>
      </c>
    </row>
    <row r="316" spans="1:53" x14ac:dyDescent="0.3">
      <c r="A316" t="s">
        <v>74</v>
      </c>
      <c r="B316" t="s">
        <v>694</v>
      </c>
      <c r="C316" t="s">
        <v>695</v>
      </c>
      <c r="D316">
        <v>14800</v>
      </c>
      <c r="E316">
        <f t="shared" si="352"/>
        <v>17760</v>
      </c>
      <c r="F316">
        <v>20</v>
      </c>
      <c r="G316">
        <f t="shared" si="353"/>
        <v>10.600000000000001</v>
      </c>
      <c r="H316">
        <v>1080</v>
      </c>
      <c r="I316">
        <f t="shared" si="354"/>
        <v>1080</v>
      </c>
      <c r="J316">
        <v>36</v>
      </c>
      <c r="K316">
        <f t="shared" si="355"/>
        <v>54</v>
      </c>
      <c r="L316" t="s">
        <v>73</v>
      </c>
      <c r="M316" t="e">
        <f t="shared" si="356"/>
        <v>#VALUE!</v>
      </c>
      <c r="N316">
        <v>16280</v>
      </c>
      <c r="O316">
        <f t="shared" si="357"/>
        <v>19536</v>
      </c>
      <c r="P316">
        <v>19</v>
      </c>
      <c r="Q316">
        <f t="shared" si="358"/>
        <v>10.07</v>
      </c>
      <c r="R316">
        <v>1215</v>
      </c>
      <c r="S316">
        <f t="shared" si="359"/>
        <v>1215</v>
      </c>
      <c r="T316" t="s">
        <v>73</v>
      </c>
      <c r="U316" t="e">
        <f t="shared" si="360"/>
        <v>#VALUE!</v>
      </c>
      <c r="V316" t="s">
        <v>73</v>
      </c>
      <c r="W316" t="e">
        <f t="shared" ref="W316" si="431">V316*1.3</f>
        <v>#VALUE!</v>
      </c>
      <c r="X316">
        <v>15355</v>
      </c>
      <c r="Y316">
        <f t="shared" si="362"/>
        <v>18426</v>
      </c>
      <c r="Z316">
        <v>15</v>
      </c>
      <c r="AA316">
        <f t="shared" si="363"/>
        <v>7.95</v>
      </c>
      <c r="AB316">
        <v>1950</v>
      </c>
      <c r="AC316">
        <f t="shared" si="364"/>
        <v>1950</v>
      </c>
      <c r="AD316">
        <v>252</v>
      </c>
      <c r="AE316">
        <f t="shared" si="365"/>
        <v>378</v>
      </c>
      <c r="AF316" t="s">
        <v>73</v>
      </c>
      <c r="AG316" t="e">
        <f t="shared" si="366"/>
        <v>#VALUE!</v>
      </c>
      <c r="AH316">
        <v>17482</v>
      </c>
      <c r="AI316">
        <f t="shared" si="367"/>
        <v>20978.399999999998</v>
      </c>
      <c r="AJ316">
        <v>20</v>
      </c>
      <c r="AK316">
        <f t="shared" si="368"/>
        <v>10.600000000000001</v>
      </c>
      <c r="AL316">
        <v>1800</v>
      </c>
      <c r="AM316">
        <f t="shared" si="369"/>
        <v>1800</v>
      </c>
      <c r="AN316">
        <v>564</v>
      </c>
      <c r="AO316">
        <f t="shared" si="370"/>
        <v>846</v>
      </c>
      <c r="AP316" t="s">
        <v>73</v>
      </c>
      <c r="AQ316" t="e">
        <f t="shared" si="371"/>
        <v>#VALUE!</v>
      </c>
      <c r="AR316">
        <v>13875</v>
      </c>
      <c r="AS316">
        <f t="shared" si="372"/>
        <v>16650</v>
      </c>
      <c r="AT316" t="s">
        <v>73</v>
      </c>
      <c r="AU316" t="e">
        <f t="shared" si="373"/>
        <v>#VALUE!</v>
      </c>
      <c r="AV316">
        <v>1260</v>
      </c>
      <c r="AW316">
        <f t="shared" si="374"/>
        <v>1260</v>
      </c>
      <c r="AX316">
        <v>420</v>
      </c>
      <c r="AY316">
        <f t="shared" si="375"/>
        <v>630</v>
      </c>
      <c r="AZ316" t="s">
        <v>73</v>
      </c>
      <c r="BA316" t="e">
        <f t="shared" si="376"/>
        <v>#VALUE!</v>
      </c>
    </row>
    <row r="317" spans="1:53" x14ac:dyDescent="0.3">
      <c r="A317" t="s">
        <v>74</v>
      </c>
      <c r="B317" t="s">
        <v>696</v>
      </c>
      <c r="C317" t="s">
        <v>697</v>
      </c>
      <c r="D317">
        <v>90543</v>
      </c>
      <c r="E317">
        <f t="shared" si="352"/>
        <v>108651.59999999999</v>
      </c>
      <c r="F317">
        <v>90</v>
      </c>
      <c r="G317">
        <f t="shared" si="353"/>
        <v>47.7</v>
      </c>
      <c r="H317">
        <v>5937</v>
      </c>
      <c r="I317">
        <f t="shared" si="354"/>
        <v>5937</v>
      </c>
      <c r="J317">
        <v>150</v>
      </c>
      <c r="K317">
        <f t="shared" si="355"/>
        <v>225</v>
      </c>
      <c r="L317" t="s">
        <v>73</v>
      </c>
      <c r="M317" t="e">
        <f t="shared" si="356"/>
        <v>#VALUE!</v>
      </c>
      <c r="N317">
        <v>90543</v>
      </c>
      <c r="O317">
        <f t="shared" si="357"/>
        <v>108651.59999999999</v>
      </c>
      <c r="P317">
        <v>120</v>
      </c>
      <c r="Q317">
        <f t="shared" si="358"/>
        <v>63.6</v>
      </c>
      <c r="R317">
        <v>6270</v>
      </c>
      <c r="S317">
        <f t="shared" si="359"/>
        <v>6270</v>
      </c>
      <c r="T317">
        <v>150</v>
      </c>
      <c r="U317">
        <f t="shared" si="360"/>
        <v>225</v>
      </c>
      <c r="V317" t="s">
        <v>73</v>
      </c>
      <c r="W317" t="e">
        <f t="shared" ref="W317" si="432">V317*1.3</f>
        <v>#VALUE!</v>
      </c>
      <c r="X317">
        <v>93836</v>
      </c>
      <c r="Y317">
        <f t="shared" si="362"/>
        <v>112603.2</v>
      </c>
      <c r="Z317">
        <v>60</v>
      </c>
      <c r="AA317">
        <f t="shared" si="363"/>
        <v>31.8</v>
      </c>
      <c r="AB317">
        <v>5760</v>
      </c>
      <c r="AC317">
        <f t="shared" si="364"/>
        <v>5760</v>
      </c>
      <c r="AD317">
        <v>1560</v>
      </c>
      <c r="AE317">
        <f t="shared" si="365"/>
        <v>2340</v>
      </c>
      <c r="AF317" t="s">
        <v>73</v>
      </c>
      <c r="AG317" t="e">
        <f t="shared" si="366"/>
        <v>#VALUE!</v>
      </c>
      <c r="AH317">
        <v>96580</v>
      </c>
      <c r="AI317">
        <f t="shared" si="367"/>
        <v>115896</v>
      </c>
      <c r="AJ317">
        <v>60</v>
      </c>
      <c r="AK317">
        <f t="shared" si="368"/>
        <v>31.8</v>
      </c>
      <c r="AL317">
        <v>6120</v>
      </c>
      <c r="AM317">
        <f t="shared" si="369"/>
        <v>6120</v>
      </c>
      <c r="AN317">
        <v>1920</v>
      </c>
      <c r="AO317">
        <f t="shared" si="370"/>
        <v>2880</v>
      </c>
      <c r="AP317" t="s">
        <v>73</v>
      </c>
      <c r="AQ317" t="e">
        <f t="shared" si="371"/>
        <v>#VALUE!</v>
      </c>
      <c r="AR317">
        <v>92739</v>
      </c>
      <c r="AS317">
        <f t="shared" si="372"/>
        <v>111286.8</v>
      </c>
      <c r="AT317">
        <v>50</v>
      </c>
      <c r="AU317">
        <f t="shared" si="373"/>
        <v>26.5</v>
      </c>
      <c r="AV317">
        <v>6720</v>
      </c>
      <c r="AW317">
        <f t="shared" si="374"/>
        <v>6720</v>
      </c>
      <c r="AX317">
        <v>840</v>
      </c>
      <c r="AY317">
        <f t="shared" si="375"/>
        <v>1260</v>
      </c>
      <c r="AZ317" t="s">
        <v>73</v>
      </c>
      <c r="BA317" t="e">
        <f t="shared" si="376"/>
        <v>#VALUE!</v>
      </c>
    </row>
    <row r="318" spans="1:53" x14ac:dyDescent="0.3">
      <c r="A318" t="s">
        <v>74</v>
      </c>
      <c r="B318" t="s">
        <v>698</v>
      </c>
      <c r="C318" t="s">
        <v>699</v>
      </c>
      <c r="D318">
        <v>25509</v>
      </c>
      <c r="E318">
        <f t="shared" si="352"/>
        <v>30610.799999999999</v>
      </c>
      <c r="F318">
        <v>25</v>
      </c>
      <c r="G318">
        <f t="shared" si="353"/>
        <v>13.25</v>
      </c>
      <c r="H318">
        <v>3360</v>
      </c>
      <c r="I318">
        <f t="shared" si="354"/>
        <v>3360</v>
      </c>
      <c r="J318" t="s">
        <v>73</v>
      </c>
      <c r="K318" t="e">
        <f t="shared" si="355"/>
        <v>#VALUE!</v>
      </c>
      <c r="L318" t="s">
        <v>73</v>
      </c>
      <c r="M318" t="e">
        <f t="shared" si="356"/>
        <v>#VALUE!</v>
      </c>
      <c r="N318">
        <v>25663</v>
      </c>
      <c r="O318">
        <f t="shared" si="357"/>
        <v>30795.599999999999</v>
      </c>
      <c r="P318">
        <v>25</v>
      </c>
      <c r="Q318">
        <f t="shared" si="358"/>
        <v>13.25</v>
      </c>
      <c r="R318">
        <v>2208</v>
      </c>
      <c r="S318">
        <f t="shared" si="359"/>
        <v>2208</v>
      </c>
      <c r="T318" t="s">
        <v>73</v>
      </c>
      <c r="U318" t="e">
        <f t="shared" si="360"/>
        <v>#VALUE!</v>
      </c>
      <c r="V318" t="s">
        <v>73</v>
      </c>
      <c r="W318" t="e">
        <f t="shared" ref="W318" si="433">V318*1.3</f>
        <v>#VALUE!</v>
      </c>
      <c r="X318">
        <v>26505</v>
      </c>
      <c r="Y318">
        <f t="shared" si="362"/>
        <v>31806</v>
      </c>
      <c r="Z318">
        <v>15</v>
      </c>
      <c r="AA318">
        <f t="shared" si="363"/>
        <v>7.95</v>
      </c>
      <c r="AB318">
        <v>5265</v>
      </c>
      <c r="AC318">
        <f t="shared" si="364"/>
        <v>5265</v>
      </c>
      <c r="AD318">
        <v>108</v>
      </c>
      <c r="AE318">
        <f t="shared" si="365"/>
        <v>162</v>
      </c>
      <c r="AF318" t="s">
        <v>73</v>
      </c>
      <c r="AG318" t="e">
        <f t="shared" si="366"/>
        <v>#VALUE!</v>
      </c>
      <c r="AH318">
        <v>27125</v>
      </c>
      <c r="AI318">
        <f t="shared" si="367"/>
        <v>32550</v>
      </c>
      <c r="AJ318">
        <v>15</v>
      </c>
      <c r="AK318">
        <f t="shared" si="368"/>
        <v>7.95</v>
      </c>
      <c r="AL318">
        <v>4680</v>
      </c>
      <c r="AM318">
        <f t="shared" si="369"/>
        <v>4680</v>
      </c>
      <c r="AN318">
        <v>108</v>
      </c>
      <c r="AO318">
        <f t="shared" si="370"/>
        <v>162</v>
      </c>
      <c r="AP318" t="s">
        <v>73</v>
      </c>
      <c r="AQ318" t="e">
        <f t="shared" si="371"/>
        <v>#VALUE!</v>
      </c>
      <c r="AR318">
        <v>25265</v>
      </c>
      <c r="AS318">
        <f t="shared" si="372"/>
        <v>30318</v>
      </c>
      <c r="AT318" t="s">
        <v>73</v>
      </c>
      <c r="AU318" t="e">
        <f t="shared" si="373"/>
        <v>#VALUE!</v>
      </c>
      <c r="AV318">
        <v>1650</v>
      </c>
      <c r="AW318">
        <f t="shared" si="374"/>
        <v>1650</v>
      </c>
      <c r="AX318">
        <v>168</v>
      </c>
      <c r="AY318">
        <f t="shared" si="375"/>
        <v>252</v>
      </c>
      <c r="AZ318" t="s">
        <v>73</v>
      </c>
      <c r="BA318" t="e">
        <f t="shared" si="376"/>
        <v>#VALUE!</v>
      </c>
    </row>
    <row r="319" spans="1:53" x14ac:dyDescent="0.3">
      <c r="A319" t="s">
        <v>74</v>
      </c>
      <c r="B319" t="s">
        <v>700</v>
      </c>
      <c r="C319" t="s">
        <v>701</v>
      </c>
      <c r="D319">
        <v>4152</v>
      </c>
      <c r="E319">
        <f t="shared" si="352"/>
        <v>4982.3999999999996</v>
      </c>
      <c r="F319" t="s">
        <v>73</v>
      </c>
      <c r="G319" t="e">
        <f t="shared" si="353"/>
        <v>#VALUE!</v>
      </c>
      <c r="H319">
        <v>120</v>
      </c>
      <c r="I319">
        <f t="shared" si="354"/>
        <v>120</v>
      </c>
      <c r="J319" t="s">
        <v>73</v>
      </c>
      <c r="K319" t="e">
        <f t="shared" si="355"/>
        <v>#VALUE!</v>
      </c>
      <c r="L319" t="s">
        <v>73</v>
      </c>
      <c r="M319" t="e">
        <f t="shared" si="356"/>
        <v>#VALUE!</v>
      </c>
      <c r="N319">
        <v>4152</v>
      </c>
      <c r="O319">
        <f t="shared" si="357"/>
        <v>4982.3999999999996</v>
      </c>
      <c r="P319" t="s">
        <v>73</v>
      </c>
      <c r="Q319" t="e">
        <f t="shared" si="358"/>
        <v>#VALUE!</v>
      </c>
      <c r="R319">
        <v>120</v>
      </c>
      <c r="S319">
        <f t="shared" si="359"/>
        <v>120</v>
      </c>
      <c r="T319" t="s">
        <v>73</v>
      </c>
      <c r="U319" t="e">
        <f t="shared" si="360"/>
        <v>#VALUE!</v>
      </c>
      <c r="V319" t="s">
        <v>73</v>
      </c>
      <c r="W319" t="e">
        <f t="shared" ref="W319" si="434">V319*1.3</f>
        <v>#VALUE!</v>
      </c>
      <c r="X319">
        <v>4498</v>
      </c>
      <c r="Y319">
        <f t="shared" si="362"/>
        <v>5397.5999999999995</v>
      </c>
      <c r="Z319" t="s">
        <v>73</v>
      </c>
      <c r="AA319" t="e">
        <f t="shared" si="363"/>
        <v>#VALUE!</v>
      </c>
      <c r="AB319">
        <v>375</v>
      </c>
      <c r="AC319">
        <f t="shared" si="364"/>
        <v>375</v>
      </c>
      <c r="AD319">
        <v>495</v>
      </c>
      <c r="AE319">
        <f t="shared" si="365"/>
        <v>742.5</v>
      </c>
      <c r="AF319" t="s">
        <v>73</v>
      </c>
      <c r="AG319" t="e">
        <f t="shared" si="366"/>
        <v>#VALUE!</v>
      </c>
      <c r="AH319">
        <v>4982</v>
      </c>
      <c r="AI319">
        <f t="shared" si="367"/>
        <v>5978.4</v>
      </c>
      <c r="AJ319" t="s">
        <v>73</v>
      </c>
      <c r="AK319" t="e">
        <f t="shared" si="368"/>
        <v>#VALUE!</v>
      </c>
      <c r="AL319">
        <v>900</v>
      </c>
      <c r="AM319">
        <f t="shared" si="369"/>
        <v>900</v>
      </c>
      <c r="AN319">
        <v>558</v>
      </c>
      <c r="AO319">
        <f t="shared" si="370"/>
        <v>837</v>
      </c>
      <c r="AP319" t="s">
        <v>73</v>
      </c>
      <c r="AQ319" t="e">
        <f t="shared" si="371"/>
        <v>#VALUE!</v>
      </c>
      <c r="AR319">
        <v>4498</v>
      </c>
      <c r="AS319">
        <f t="shared" si="372"/>
        <v>5397.5999999999995</v>
      </c>
      <c r="AT319" t="s">
        <v>73</v>
      </c>
      <c r="AU319" t="e">
        <f t="shared" si="373"/>
        <v>#VALUE!</v>
      </c>
      <c r="AV319">
        <v>517</v>
      </c>
      <c r="AW319">
        <f t="shared" si="374"/>
        <v>517</v>
      </c>
      <c r="AX319">
        <v>558</v>
      </c>
      <c r="AY319">
        <f t="shared" si="375"/>
        <v>837</v>
      </c>
      <c r="AZ319" t="s">
        <v>73</v>
      </c>
      <c r="BA319" t="e">
        <f t="shared" si="376"/>
        <v>#VALUE!</v>
      </c>
    </row>
    <row r="320" spans="1:53" x14ac:dyDescent="0.3">
      <c r="A320" t="s">
        <v>74</v>
      </c>
      <c r="B320" t="s">
        <v>702</v>
      </c>
      <c r="C320" t="s">
        <v>703</v>
      </c>
      <c r="D320">
        <v>34020</v>
      </c>
      <c r="E320">
        <f t="shared" si="352"/>
        <v>40824</v>
      </c>
      <c r="F320">
        <v>10</v>
      </c>
      <c r="G320">
        <f t="shared" si="353"/>
        <v>5.3000000000000007</v>
      </c>
      <c r="H320">
        <v>1980</v>
      </c>
      <c r="I320">
        <f t="shared" si="354"/>
        <v>1980</v>
      </c>
      <c r="J320" t="s">
        <v>73</v>
      </c>
      <c r="K320" t="e">
        <f t="shared" si="355"/>
        <v>#VALUE!</v>
      </c>
      <c r="L320" t="s">
        <v>73</v>
      </c>
      <c r="M320" t="e">
        <f t="shared" si="356"/>
        <v>#VALUE!</v>
      </c>
      <c r="N320">
        <v>36515</v>
      </c>
      <c r="O320">
        <f t="shared" si="357"/>
        <v>43818</v>
      </c>
      <c r="P320">
        <v>10</v>
      </c>
      <c r="Q320">
        <f t="shared" si="358"/>
        <v>5.3000000000000007</v>
      </c>
      <c r="R320">
        <v>1800</v>
      </c>
      <c r="S320">
        <f t="shared" si="359"/>
        <v>1800</v>
      </c>
      <c r="T320" t="s">
        <v>73</v>
      </c>
      <c r="U320" t="e">
        <f t="shared" si="360"/>
        <v>#VALUE!</v>
      </c>
      <c r="V320" t="s">
        <v>73</v>
      </c>
      <c r="W320" t="e">
        <f t="shared" ref="W320" si="435">V320*1.3</f>
        <v>#VALUE!</v>
      </c>
      <c r="X320">
        <v>31752</v>
      </c>
      <c r="Y320">
        <f t="shared" si="362"/>
        <v>38102.400000000001</v>
      </c>
      <c r="Z320">
        <v>6</v>
      </c>
      <c r="AA320">
        <f t="shared" si="363"/>
        <v>3.18</v>
      </c>
      <c r="AB320">
        <v>3780</v>
      </c>
      <c r="AC320">
        <f t="shared" si="364"/>
        <v>3780</v>
      </c>
      <c r="AD320">
        <v>32</v>
      </c>
      <c r="AE320">
        <f t="shared" si="365"/>
        <v>48</v>
      </c>
      <c r="AF320" t="s">
        <v>73</v>
      </c>
      <c r="AG320" t="e">
        <f t="shared" si="366"/>
        <v>#VALUE!</v>
      </c>
      <c r="AH320">
        <v>40597</v>
      </c>
      <c r="AI320">
        <f t="shared" si="367"/>
        <v>48716.4</v>
      </c>
      <c r="AJ320">
        <v>10</v>
      </c>
      <c r="AK320">
        <f t="shared" si="368"/>
        <v>5.3000000000000007</v>
      </c>
      <c r="AL320">
        <v>2772</v>
      </c>
      <c r="AM320">
        <f t="shared" si="369"/>
        <v>2772</v>
      </c>
      <c r="AN320">
        <v>126</v>
      </c>
      <c r="AO320">
        <f t="shared" si="370"/>
        <v>189</v>
      </c>
      <c r="AP320" t="s">
        <v>73</v>
      </c>
      <c r="AQ320" t="e">
        <f t="shared" si="371"/>
        <v>#VALUE!</v>
      </c>
      <c r="AR320">
        <v>31752</v>
      </c>
      <c r="AS320">
        <f t="shared" si="372"/>
        <v>38102.400000000001</v>
      </c>
      <c r="AT320" t="s">
        <v>73</v>
      </c>
      <c r="AU320" t="e">
        <f t="shared" si="373"/>
        <v>#VALUE!</v>
      </c>
      <c r="AV320">
        <v>450</v>
      </c>
      <c r="AW320">
        <f t="shared" si="374"/>
        <v>450</v>
      </c>
      <c r="AX320">
        <v>54</v>
      </c>
      <c r="AY320">
        <f t="shared" si="375"/>
        <v>81</v>
      </c>
      <c r="AZ320" t="s">
        <v>73</v>
      </c>
      <c r="BA320" t="e">
        <f t="shared" si="376"/>
        <v>#VALUE!</v>
      </c>
    </row>
    <row r="321" spans="1:53" x14ac:dyDescent="0.3">
      <c r="A321" t="s">
        <v>74</v>
      </c>
      <c r="B321" t="s">
        <v>704</v>
      </c>
      <c r="C321" t="s">
        <v>705</v>
      </c>
      <c r="D321">
        <v>5535</v>
      </c>
      <c r="E321">
        <f t="shared" si="352"/>
        <v>6642</v>
      </c>
      <c r="F321">
        <v>25</v>
      </c>
      <c r="G321">
        <f t="shared" si="353"/>
        <v>13.25</v>
      </c>
      <c r="H321">
        <v>720</v>
      </c>
      <c r="I321">
        <f t="shared" si="354"/>
        <v>720</v>
      </c>
      <c r="J321" t="s">
        <v>73</v>
      </c>
      <c r="K321" t="e">
        <f t="shared" si="355"/>
        <v>#VALUE!</v>
      </c>
      <c r="L321" t="s">
        <v>73</v>
      </c>
      <c r="M321" t="e">
        <f t="shared" si="356"/>
        <v>#VALUE!</v>
      </c>
      <c r="N321">
        <v>6847</v>
      </c>
      <c r="O321">
        <f t="shared" si="357"/>
        <v>8216.4</v>
      </c>
      <c r="P321">
        <v>25</v>
      </c>
      <c r="Q321">
        <f t="shared" si="358"/>
        <v>13.25</v>
      </c>
      <c r="R321">
        <v>450</v>
      </c>
      <c r="S321">
        <f t="shared" si="359"/>
        <v>450</v>
      </c>
      <c r="T321" t="s">
        <v>73</v>
      </c>
      <c r="U321" t="e">
        <f t="shared" si="360"/>
        <v>#VALUE!</v>
      </c>
      <c r="V321" t="s">
        <v>73</v>
      </c>
      <c r="W321" t="e">
        <f t="shared" ref="W321" si="436">V321*1.3</f>
        <v>#VALUE!</v>
      </c>
      <c r="X321">
        <v>6396</v>
      </c>
      <c r="Y321">
        <f t="shared" si="362"/>
        <v>7675.2</v>
      </c>
      <c r="Z321">
        <v>15</v>
      </c>
      <c r="AA321">
        <f t="shared" si="363"/>
        <v>7.95</v>
      </c>
      <c r="AB321">
        <v>780</v>
      </c>
      <c r="AC321">
        <f t="shared" si="364"/>
        <v>780</v>
      </c>
      <c r="AD321">
        <v>120</v>
      </c>
      <c r="AE321">
        <f t="shared" si="365"/>
        <v>180</v>
      </c>
      <c r="AF321" t="s">
        <v>73</v>
      </c>
      <c r="AG321" t="e">
        <f t="shared" si="366"/>
        <v>#VALUE!</v>
      </c>
      <c r="AH321">
        <v>7380</v>
      </c>
      <c r="AI321">
        <f t="shared" si="367"/>
        <v>8856</v>
      </c>
      <c r="AJ321">
        <v>37</v>
      </c>
      <c r="AK321">
        <f t="shared" si="368"/>
        <v>19.61</v>
      </c>
      <c r="AL321">
        <v>780</v>
      </c>
      <c r="AM321">
        <f t="shared" si="369"/>
        <v>780</v>
      </c>
      <c r="AN321">
        <v>600</v>
      </c>
      <c r="AO321">
        <f t="shared" si="370"/>
        <v>900</v>
      </c>
      <c r="AP321" t="s">
        <v>73</v>
      </c>
      <c r="AQ321" t="e">
        <f t="shared" si="371"/>
        <v>#VALUE!</v>
      </c>
      <c r="AR321">
        <v>5800</v>
      </c>
      <c r="AS321">
        <f t="shared" si="372"/>
        <v>6960</v>
      </c>
      <c r="AT321" t="s">
        <v>73</v>
      </c>
      <c r="AU321" t="e">
        <f t="shared" si="373"/>
        <v>#VALUE!</v>
      </c>
      <c r="AV321">
        <v>390</v>
      </c>
      <c r="AW321">
        <f t="shared" si="374"/>
        <v>390</v>
      </c>
      <c r="AX321">
        <v>180</v>
      </c>
      <c r="AY321">
        <f t="shared" si="375"/>
        <v>270</v>
      </c>
      <c r="AZ321" t="s">
        <v>73</v>
      </c>
      <c r="BA321" t="e">
        <f t="shared" si="376"/>
        <v>#VALUE!</v>
      </c>
    </row>
    <row r="322" spans="1:53" x14ac:dyDescent="0.3">
      <c r="A322" t="s">
        <v>74</v>
      </c>
      <c r="B322" t="s">
        <v>706</v>
      </c>
      <c r="C322" t="s">
        <v>707</v>
      </c>
      <c r="D322">
        <v>39510</v>
      </c>
      <c r="E322">
        <f t="shared" si="352"/>
        <v>47412</v>
      </c>
      <c r="F322">
        <v>20</v>
      </c>
      <c r="G322">
        <f t="shared" si="353"/>
        <v>10.600000000000001</v>
      </c>
      <c r="H322">
        <v>3456</v>
      </c>
      <c r="I322">
        <f t="shared" si="354"/>
        <v>3456</v>
      </c>
      <c r="J322" t="s">
        <v>73</v>
      </c>
      <c r="K322" t="e">
        <f t="shared" si="355"/>
        <v>#VALUE!</v>
      </c>
      <c r="L322" t="s">
        <v>73</v>
      </c>
      <c r="M322" t="e">
        <f t="shared" si="356"/>
        <v>#VALUE!</v>
      </c>
      <c r="N322">
        <v>32024</v>
      </c>
      <c r="O322">
        <f t="shared" si="357"/>
        <v>38428.799999999996</v>
      </c>
      <c r="P322">
        <v>20</v>
      </c>
      <c r="Q322">
        <f t="shared" si="358"/>
        <v>10.600000000000001</v>
      </c>
      <c r="R322">
        <v>3648</v>
      </c>
      <c r="S322">
        <f t="shared" si="359"/>
        <v>3648</v>
      </c>
      <c r="T322" t="s">
        <v>73</v>
      </c>
      <c r="U322" t="e">
        <f t="shared" si="360"/>
        <v>#VALUE!</v>
      </c>
      <c r="V322" t="s">
        <v>73</v>
      </c>
      <c r="W322" t="e">
        <f t="shared" ref="W322" si="437">V322*1.3</f>
        <v>#VALUE!</v>
      </c>
      <c r="X322">
        <v>38470</v>
      </c>
      <c r="Y322">
        <f t="shared" si="362"/>
        <v>46164</v>
      </c>
      <c r="Z322">
        <v>25</v>
      </c>
      <c r="AA322">
        <f t="shared" si="363"/>
        <v>13.25</v>
      </c>
      <c r="AB322">
        <v>4163</v>
      </c>
      <c r="AC322">
        <f t="shared" si="364"/>
        <v>4163</v>
      </c>
      <c r="AD322">
        <v>900</v>
      </c>
      <c r="AE322">
        <f t="shared" si="365"/>
        <v>1350</v>
      </c>
      <c r="AF322" t="s">
        <v>73</v>
      </c>
      <c r="AG322" t="e">
        <f t="shared" si="366"/>
        <v>#VALUE!</v>
      </c>
      <c r="AH322">
        <v>41590</v>
      </c>
      <c r="AI322">
        <f t="shared" si="367"/>
        <v>49908</v>
      </c>
      <c r="AJ322">
        <v>15</v>
      </c>
      <c r="AK322">
        <f t="shared" si="368"/>
        <v>7.95</v>
      </c>
      <c r="AL322">
        <v>3960</v>
      </c>
      <c r="AM322">
        <f t="shared" si="369"/>
        <v>3960</v>
      </c>
      <c r="AN322">
        <v>900</v>
      </c>
      <c r="AO322">
        <f t="shared" si="370"/>
        <v>1350</v>
      </c>
      <c r="AP322" t="s">
        <v>73</v>
      </c>
      <c r="AQ322" t="e">
        <f t="shared" si="371"/>
        <v>#VALUE!</v>
      </c>
      <c r="AR322">
        <v>31793</v>
      </c>
      <c r="AS322">
        <f t="shared" si="372"/>
        <v>38151.599999999999</v>
      </c>
      <c r="AT322" t="s">
        <v>73</v>
      </c>
      <c r="AU322" t="e">
        <f t="shared" si="373"/>
        <v>#VALUE!</v>
      </c>
      <c r="AV322">
        <v>900</v>
      </c>
      <c r="AW322">
        <f t="shared" si="374"/>
        <v>900</v>
      </c>
      <c r="AX322">
        <v>180</v>
      </c>
      <c r="AY322">
        <f t="shared" si="375"/>
        <v>270</v>
      </c>
      <c r="AZ322" t="s">
        <v>73</v>
      </c>
      <c r="BA322" t="e">
        <f t="shared" si="376"/>
        <v>#VALUE!</v>
      </c>
    </row>
    <row r="323" spans="1:53" x14ac:dyDescent="0.3">
      <c r="A323" t="s">
        <v>74</v>
      </c>
      <c r="B323" t="s">
        <v>708</v>
      </c>
      <c r="C323" t="s">
        <v>709</v>
      </c>
      <c r="D323">
        <v>12571</v>
      </c>
      <c r="E323">
        <f t="shared" si="352"/>
        <v>15085.199999999999</v>
      </c>
      <c r="F323">
        <v>20</v>
      </c>
      <c r="G323">
        <f t="shared" si="353"/>
        <v>10.600000000000001</v>
      </c>
      <c r="H323">
        <v>4080</v>
      </c>
      <c r="I323">
        <f t="shared" si="354"/>
        <v>4080</v>
      </c>
      <c r="J323" t="s">
        <v>73</v>
      </c>
      <c r="K323" t="e">
        <f t="shared" si="355"/>
        <v>#VALUE!</v>
      </c>
      <c r="L323" t="s">
        <v>73</v>
      </c>
      <c r="M323" t="e">
        <f t="shared" si="356"/>
        <v>#VALUE!</v>
      </c>
      <c r="N323">
        <v>12202</v>
      </c>
      <c r="O323">
        <f t="shared" si="357"/>
        <v>14642.4</v>
      </c>
      <c r="P323">
        <v>25</v>
      </c>
      <c r="Q323">
        <f t="shared" si="358"/>
        <v>13.25</v>
      </c>
      <c r="R323">
        <v>4335</v>
      </c>
      <c r="S323">
        <f t="shared" si="359"/>
        <v>4335</v>
      </c>
      <c r="T323">
        <v>75</v>
      </c>
      <c r="U323">
        <f t="shared" si="360"/>
        <v>112.5</v>
      </c>
      <c r="V323" t="s">
        <v>73</v>
      </c>
      <c r="W323" t="e">
        <f t="shared" ref="W323" si="438">V323*1.3</f>
        <v>#VALUE!</v>
      </c>
      <c r="X323">
        <v>12201</v>
      </c>
      <c r="Y323">
        <f t="shared" si="362"/>
        <v>14641.199999999999</v>
      </c>
      <c r="Z323">
        <v>125</v>
      </c>
      <c r="AA323">
        <f t="shared" si="363"/>
        <v>66.25</v>
      </c>
      <c r="AB323">
        <v>11760</v>
      </c>
      <c r="AC323">
        <f t="shared" si="364"/>
        <v>11760</v>
      </c>
      <c r="AD323">
        <v>450</v>
      </c>
      <c r="AE323">
        <f t="shared" si="365"/>
        <v>675</v>
      </c>
      <c r="AF323" t="s">
        <v>73</v>
      </c>
      <c r="AG323" t="e">
        <f t="shared" si="366"/>
        <v>#VALUE!</v>
      </c>
      <c r="AH323">
        <v>13465</v>
      </c>
      <c r="AI323">
        <f t="shared" si="367"/>
        <v>16158</v>
      </c>
      <c r="AJ323">
        <v>21</v>
      </c>
      <c r="AK323">
        <f t="shared" si="368"/>
        <v>11.13</v>
      </c>
      <c r="AL323">
        <v>12735</v>
      </c>
      <c r="AM323">
        <f t="shared" si="369"/>
        <v>12735</v>
      </c>
      <c r="AN323">
        <v>1113</v>
      </c>
      <c r="AO323">
        <f t="shared" si="370"/>
        <v>1669.5</v>
      </c>
      <c r="AP323" t="s">
        <v>73</v>
      </c>
      <c r="AQ323" t="e">
        <f t="shared" si="371"/>
        <v>#VALUE!</v>
      </c>
      <c r="AR323">
        <v>10720</v>
      </c>
      <c r="AS323">
        <f t="shared" si="372"/>
        <v>12864</v>
      </c>
      <c r="AT323" t="s">
        <v>73</v>
      </c>
      <c r="AU323" t="e">
        <f t="shared" si="373"/>
        <v>#VALUE!</v>
      </c>
      <c r="AV323">
        <v>4290</v>
      </c>
      <c r="AW323">
        <f t="shared" si="374"/>
        <v>4290</v>
      </c>
      <c r="AX323">
        <v>342</v>
      </c>
      <c r="AY323">
        <f t="shared" si="375"/>
        <v>513</v>
      </c>
      <c r="AZ323" t="s">
        <v>73</v>
      </c>
      <c r="BA323" t="e">
        <f t="shared" si="376"/>
        <v>#VALUE!</v>
      </c>
    </row>
    <row r="324" spans="1:53" x14ac:dyDescent="0.3">
      <c r="A324" t="s">
        <v>74</v>
      </c>
      <c r="B324" t="s">
        <v>710</v>
      </c>
      <c r="C324" t="s">
        <v>711</v>
      </c>
      <c r="D324">
        <v>21051</v>
      </c>
      <c r="E324">
        <f t="shared" si="352"/>
        <v>25261.200000000001</v>
      </c>
      <c r="F324">
        <v>58</v>
      </c>
      <c r="G324">
        <f t="shared" si="353"/>
        <v>30.740000000000002</v>
      </c>
      <c r="H324">
        <v>4797</v>
      </c>
      <c r="I324">
        <f t="shared" si="354"/>
        <v>4797</v>
      </c>
      <c r="J324" t="s">
        <v>73</v>
      </c>
      <c r="K324" t="e">
        <f t="shared" si="355"/>
        <v>#VALUE!</v>
      </c>
      <c r="L324" t="s">
        <v>73</v>
      </c>
      <c r="M324" t="e">
        <f t="shared" si="356"/>
        <v>#VALUE!</v>
      </c>
      <c r="N324">
        <v>22220</v>
      </c>
      <c r="O324">
        <f t="shared" si="357"/>
        <v>26664</v>
      </c>
      <c r="P324">
        <v>100</v>
      </c>
      <c r="Q324">
        <f t="shared" si="358"/>
        <v>53</v>
      </c>
      <c r="R324">
        <v>2153</v>
      </c>
      <c r="S324">
        <f t="shared" si="359"/>
        <v>2153</v>
      </c>
      <c r="T324" t="s">
        <v>73</v>
      </c>
      <c r="U324" t="e">
        <f t="shared" si="360"/>
        <v>#VALUE!</v>
      </c>
      <c r="V324" t="s">
        <v>73</v>
      </c>
      <c r="W324" t="e">
        <f t="shared" ref="W324" si="439">V324*1.3</f>
        <v>#VALUE!</v>
      </c>
      <c r="X324">
        <v>20100</v>
      </c>
      <c r="Y324">
        <f t="shared" si="362"/>
        <v>24120</v>
      </c>
      <c r="Z324">
        <v>50</v>
      </c>
      <c r="AA324">
        <f t="shared" si="363"/>
        <v>26.5</v>
      </c>
      <c r="AB324">
        <v>5166</v>
      </c>
      <c r="AC324">
        <f t="shared" si="364"/>
        <v>5166</v>
      </c>
      <c r="AD324" t="s">
        <v>73</v>
      </c>
      <c r="AE324" t="e">
        <f t="shared" si="365"/>
        <v>#VALUE!</v>
      </c>
      <c r="AF324" t="s">
        <v>73</v>
      </c>
      <c r="AG324" t="e">
        <f t="shared" si="366"/>
        <v>#VALUE!</v>
      </c>
      <c r="AH324">
        <v>20817</v>
      </c>
      <c r="AI324">
        <f t="shared" si="367"/>
        <v>24980.399999999998</v>
      </c>
      <c r="AJ324">
        <v>50</v>
      </c>
      <c r="AK324">
        <f t="shared" si="368"/>
        <v>26.5</v>
      </c>
      <c r="AL324">
        <v>5073</v>
      </c>
      <c r="AM324">
        <f t="shared" si="369"/>
        <v>5073</v>
      </c>
      <c r="AN324">
        <v>36</v>
      </c>
      <c r="AO324">
        <f t="shared" si="370"/>
        <v>54</v>
      </c>
      <c r="AP324" t="s">
        <v>73</v>
      </c>
      <c r="AQ324" t="e">
        <f t="shared" si="371"/>
        <v>#VALUE!</v>
      </c>
      <c r="AR324">
        <v>17542</v>
      </c>
      <c r="AS324">
        <f t="shared" si="372"/>
        <v>21050.399999999998</v>
      </c>
      <c r="AT324" t="s">
        <v>73</v>
      </c>
      <c r="AU324" t="e">
        <f t="shared" si="373"/>
        <v>#VALUE!</v>
      </c>
      <c r="AV324">
        <v>1890</v>
      </c>
      <c r="AW324">
        <f t="shared" si="374"/>
        <v>1890</v>
      </c>
      <c r="AX324">
        <v>27</v>
      </c>
      <c r="AY324">
        <f t="shared" si="375"/>
        <v>40.5</v>
      </c>
      <c r="AZ324" t="s">
        <v>73</v>
      </c>
      <c r="BA324" t="e">
        <f t="shared" si="376"/>
        <v>#VALUE!</v>
      </c>
    </row>
    <row r="325" spans="1:53" x14ac:dyDescent="0.3">
      <c r="A325" t="s">
        <v>74</v>
      </c>
      <c r="B325" t="s">
        <v>712</v>
      </c>
      <c r="C325" t="s">
        <v>713</v>
      </c>
      <c r="D325">
        <v>108281</v>
      </c>
      <c r="E325">
        <f t="shared" ref="E325" si="440">D325*1.2</f>
        <v>129937.2</v>
      </c>
      <c r="F325">
        <v>88</v>
      </c>
      <c r="G325">
        <f t="shared" ref="G325" si="441">F325*0.53</f>
        <v>46.64</v>
      </c>
      <c r="H325">
        <v>10800</v>
      </c>
      <c r="I325">
        <f t="shared" ref="I325" si="442">H325</f>
        <v>10800</v>
      </c>
      <c r="J325">
        <v>105</v>
      </c>
      <c r="K325">
        <f t="shared" ref="K325" si="443">J325*1.5</f>
        <v>157.5</v>
      </c>
      <c r="L325" t="s">
        <v>73</v>
      </c>
      <c r="M325" t="e">
        <f t="shared" ref="M325" si="444">L325*1.3</f>
        <v>#VALUE!</v>
      </c>
      <c r="N325">
        <v>110066</v>
      </c>
      <c r="O325">
        <f t="shared" ref="O325" si="445">N325*1.2</f>
        <v>132079.19999999998</v>
      </c>
      <c r="P325">
        <v>58</v>
      </c>
      <c r="Q325">
        <f t="shared" ref="Q325" si="446">P325*0.53</f>
        <v>30.740000000000002</v>
      </c>
      <c r="R325">
        <v>8280</v>
      </c>
      <c r="S325">
        <f t="shared" ref="S325" si="447">R325</f>
        <v>8280</v>
      </c>
      <c r="T325">
        <v>129</v>
      </c>
      <c r="U325">
        <f t="shared" ref="U325" si="448">T325*1.5</f>
        <v>193.5</v>
      </c>
      <c r="V325" t="s">
        <v>73</v>
      </c>
      <c r="W325" t="e">
        <f t="shared" ref="W325" si="449">V325*1.3</f>
        <v>#VALUE!</v>
      </c>
      <c r="X325">
        <v>104280</v>
      </c>
      <c r="Y325">
        <f t="shared" ref="Y325" si="450">X325*1.2</f>
        <v>125136</v>
      </c>
      <c r="Z325">
        <v>40</v>
      </c>
      <c r="AA325">
        <f t="shared" ref="AA325" si="451">Z325*0.53</f>
        <v>21.200000000000003</v>
      </c>
      <c r="AB325">
        <v>7956</v>
      </c>
      <c r="AC325">
        <f t="shared" ref="AC325" si="452">AB325</f>
        <v>7956</v>
      </c>
      <c r="AD325">
        <v>1302</v>
      </c>
      <c r="AE325">
        <f t="shared" ref="AE325" si="453">AD325*1.5</f>
        <v>1953</v>
      </c>
      <c r="AF325" t="s">
        <v>73</v>
      </c>
      <c r="AG325" t="e">
        <f t="shared" ref="AG325" si="454">AF325*1.3</f>
        <v>#VALUE!</v>
      </c>
      <c r="AH325">
        <v>112575</v>
      </c>
      <c r="AI325">
        <f t="shared" ref="AI325" si="455">AH325*1.2</f>
        <v>135090</v>
      </c>
      <c r="AJ325">
        <v>40</v>
      </c>
      <c r="AK325">
        <f t="shared" ref="AK325" si="456">AJ325*0.53</f>
        <v>21.200000000000003</v>
      </c>
      <c r="AL325">
        <v>7956</v>
      </c>
      <c r="AM325">
        <f t="shared" ref="AM325" si="457">AL325</f>
        <v>7956</v>
      </c>
      <c r="AN325">
        <v>1884</v>
      </c>
      <c r="AO325">
        <f t="shared" ref="AO325" si="458">AN325*1.5</f>
        <v>2826</v>
      </c>
      <c r="AP325" t="s">
        <v>73</v>
      </c>
      <c r="AQ325" t="e">
        <f t="shared" ref="AQ325" si="459">AP325*1.3</f>
        <v>#VALUE!</v>
      </c>
      <c r="AR325">
        <v>90060</v>
      </c>
      <c r="AS325">
        <f t="shared" ref="AS325" si="460">AR325*1.2</f>
        <v>108072</v>
      </c>
      <c r="AT325">
        <v>2</v>
      </c>
      <c r="AU325">
        <f t="shared" ref="AU325" si="461">AT325*0.53</f>
        <v>1.06</v>
      </c>
      <c r="AV325">
        <v>3276</v>
      </c>
      <c r="AW325">
        <f t="shared" ref="AW325" si="462">AV325</f>
        <v>3276</v>
      </c>
      <c r="AX325">
        <v>810</v>
      </c>
      <c r="AY325">
        <f t="shared" ref="AY325" si="463">AX325*1.5</f>
        <v>1215</v>
      </c>
      <c r="AZ325" t="s">
        <v>73</v>
      </c>
      <c r="BA325" t="e">
        <f t="shared" ref="BA325" si="464">AZ325*1.3</f>
        <v>#VALUE!</v>
      </c>
    </row>
  </sheetData>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61135A-D5A3-4531-BB17-0D0632FDF56A}">
  <dimension ref="A1:BA322"/>
  <sheetViews>
    <sheetView tabSelected="1" workbookViewId="0">
      <selection activeCell="B4" sqref="B4:B322"/>
    </sheetView>
  </sheetViews>
  <sheetFormatPr defaultRowHeight="14.4" x14ac:dyDescent="0.3"/>
  <cols>
    <col min="1" max="1" width="8.88671875" style="12"/>
    <col min="2" max="2" width="8.88671875" style="17"/>
    <col min="3" max="3" width="14.33203125" style="12" customWidth="1"/>
    <col min="4" max="4" width="9.44140625" style="12" bestFit="1" customWidth="1"/>
    <col min="5" max="5" width="13" style="13" bestFit="1" customWidth="1"/>
    <col min="6" max="7" width="9" style="12" bestFit="1" customWidth="1"/>
    <col min="8" max="11" width="10.44140625" style="12" bestFit="1" customWidth="1"/>
    <col min="12" max="12" width="9" style="12" bestFit="1" customWidth="1"/>
    <col min="13" max="15" width="9.44140625" style="12" bestFit="1" customWidth="1"/>
    <col min="16" max="17" width="9" style="12" bestFit="1" customWidth="1"/>
    <col min="18" max="19" width="9.44140625" style="12" bestFit="1" customWidth="1"/>
    <col min="20" max="21" width="10.44140625" style="12" bestFit="1" customWidth="1"/>
    <col min="22" max="25" width="9.44140625" style="12" bestFit="1" customWidth="1"/>
    <col min="26" max="27" width="9" style="12" bestFit="1" customWidth="1"/>
    <col min="28" max="29" width="10.44140625" style="12" bestFit="1" customWidth="1"/>
    <col min="30" max="30" width="9.44140625" style="12" bestFit="1" customWidth="1"/>
    <col min="31" max="31" width="10.44140625" style="12" bestFit="1" customWidth="1"/>
    <col min="32" max="35" width="9.44140625" style="12" bestFit="1" customWidth="1"/>
    <col min="36" max="37" width="9" style="12" bestFit="1" customWidth="1"/>
    <col min="38" max="41" width="10.44140625" style="12" bestFit="1" customWidth="1"/>
    <col min="42" max="45" width="9.44140625" style="12" bestFit="1" customWidth="1"/>
    <col min="46" max="47" width="9" style="12" bestFit="1" customWidth="1"/>
    <col min="48" max="49" width="9.44140625" style="12" bestFit="1" customWidth="1"/>
    <col min="50" max="51" width="10.44140625" style="12" bestFit="1" customWidth="1"/>
    <col min="52" max="53" width="9.44140625" style="12" bestFit="1" customWidth="1"/>
    <col min="54" max="16384" width="8.88671875" style="12"/>
  </cols>
  <sheetData>
    <row r="1" spans="1:53" x14ac:dyDescent="0.3">
      <c r="A1" s="12" t="s">
        <v>775</v>
      </c>
      <c r="B1" s="17" t="s">
        <v>776</v>
      </c>
      <c r="C1" s="12" t="s">
        <v>777</v>
      </c>
      <c r="D1" s="12" t="s">
        <v>721</v>
      </c>
      <c r="E1" s="13" t="s">
        <v>720</v>
      </c>
      <c r="F1" s="12" t="s">
        <v>722</v>
      </c>
      <c r="G1" s="12" t="s">
        <v>723</v>
      </c>
      <c r="H1" s="12" t="s">
        <v>724</v>
      </c>
      <c r="I1" s="12" t="s">
        <v>725</v>
      </c>
      <c r="J1" s="12" t="s">
        <v>726</v>
      </c>
      <c r="K1" s="12" t="s">
        <v>727</v>
      </c>
      <c r="L1" s="12" t="s">
        <v>728</v>
      </c>
      <c r="M1" s="12" t="s">
        <v>729</v>
      </c>
      <c r="N1" s="12" t="s">
        <v>730</v>
      </c>
      <c r="O1" s="12" t="s">
        <v>731</v>
      </c>
      <c r="P1" s="12" t="s">
        <v>732</v>
      </c>
      <c r="Q1" s="12" t="s">
        <v>733</v>
      </c>
      <c r="R1" s="12" t="s">
        <v>734</v>
      </c>
      <c r="S1" s="12" t="s">
        <v>735</v>
      </c>
      <c r="T1" s="12" t="s">
        <v>736</v>
      </c>
      <c r="U1" s="12" t="s">
        <v>737</v>
      </c>
      <c r="V1" s="12" t="s">
        <v>738</v>
      </c>
      <c r="W1" s="12" t="s">
        <v>739</v>
      </c>
      <c r="X1" s="12" t="s">
        <v>740</v>
      </c>
      <c r="Y1" s="12" t="s">
        <v>741</v>
      </c>
      <c r="Z1" s="12" t="s">
        <v>742</v>
      </c>
      <c r="AA1" s="12" t="s">
        <v>743</v>
      </c>
      <c r="AB1" s="12" t="s">
        <v>744</v>
      </c>
      <c r="AC1" s="12" t="s">
        <v>745</v>
      </c>
      <c r="AD1" s="12" t="s">
        <v>746</v>
      </c>
      <c r="AE1" s="12" t="s">
        <v>747</v>
      </c>
      <c r="AF1" s="12" t="s">
        <v>748</v>
      </c>
      <c r="AG1" s="12" t="s">
        <v>749</v>
      </c>
      <c r="AH1" s="12" t="s">
        <v>750</v>
      </c>
      <c r="AI1" s="12" t="s">
        <v>751</v>
      </c>
      <c r="AJ1" s="12" t="s">
        <v>752</v>
      </c>
      <c r="AK1" s="12" t="s">
        <v>753</v>
      </c>
      <c r="AL1" s="12" t="s">
        <v>754</v>
      </c>
      <c r="AM1" s="12" t="s">
        <v>755</v>
      </c>
      <c r="AN1" s="12" t="s">
        <v>756</v>
      </c>
      <c r="AO1" s="12" t="s">
        <v>757</v>
      </c>
      <c r="AP1" s="12" t="s">
        <v>758</v>
      </c>
      <c r="AQ1" s="12" t="s">
        <v>759</v>
      </c>
      <c r="AR1" s="12" t="s">
        <v>760</v>
      </c>
      <c r="AS1" s="12" t="s">
        <v>761</v>
      </c>
      <c r="AT1" s="12" t="s">
        <v>762</v>
      </c>
      <c r="AU1" s="12" t="s">
        <v>763</v>
      </c>
      <c r="AV1" s="12" t="s">
        <v>764</v>
      </c>
      <c r="AW1" s="12" t="s">
        <v>765</v>
      </c>
      <c r="AX1" s="12" t="s">
        <v>766</v>
      </c>
      <c r="AY1" s="12" t="s">
        <v>767</v>
      </c>
      <c r="AZ1" s="12" t="s">
        <v>768</v>
      </c>
      <c r="BA1" s="12" t="s">
        <v>769</v>
      </c>
    </row>
    <row r="2" spans="1:53" x14ac:dyDescent="0.3">
      <c r="A2" s="12" t="s">
        <v>67</v>
      </c>
      <c r="B2" s="16">
        <v>4201</v>
      </c>
      <c r="C2" s="12" t="s">
        <v>69</v>
      </c>
      <c r="D2" s="12">
        <v>53</v>
      </c>
      <c r="E2" s="13">
        <v>63.599999999999994</v>
      </c>
      <c r="F2" s="12">
        <v>51230</v>
      </c>
      <c r="G2" s="12">
        <v>27151.9</v>
      </c>
      <c r="H2" s="12">
        <v>1697196</v>
      </c>
      <c r="I2" s="12">
        <v>1697196</v>
      </c>
      <c r="J2" s="12">
        <v>1200017</v>
      </c>
      <c r="K2" s="12">
        <v>1800025.5</v>
      </c>
      <c r="L2" s="12">
        <v>96142</v>
      </c>
      <c r="M2" s="12">
        <v>124984.6</v>
      </c>
      <c r="N2" s="12">
        <v>21</v>
      </c>
      <c r="O2" s="12">
        <v>25.2</v>
      </c>
      <c r="P2" s="12">
        <v>41982</v>
      </c>
      <c r="Q2" s="12">
        <v>22250.460000000003</v>
      </c>
      <c r="R2" s="12">
        <v>872970</v>
      </c>
      <c r="S2" s="12">
        <v>872970</v>
      </c>
      <c r="T2" s="12">
        <v>1085213</v>
      </c>
      <c r="U2" s="12">
        <v>1627819.5</v>
      </c>
      <c r="V2" s="12">
        <v>171295</v>
      </c>
      <c r="W2" s="12">
        <v>222683.5</v>
      </c>
      <c r="X2" s="12">
        <v>22</v>
      </c>
      <c r="Y2" s="12">
        <v>26.4</v>
      </c>
      <c r="Z2" s="12">
        <v>60875</v>
      </c>
      <c r="AA2" s="12">
        <v>32263.75</v>
      </c>
      <c r="AB2" s="12">
        <v>1090657</v>
      </c>
      <c r="AC2" s="12">
        <v>1090657</v>
      </c>
      <c r="AD2" s="12">
        <v>912693</v>
      </c>
      <c r="AE2" s="12">
        <v>1369039.5</v>
      </c>
      <c r="AF2" s="12">
        <v>248901</v>
      </c>
      <c r="AG2" s="12">
        <v>323571.3</v>
      </c>
      <c r="AH2" s="12">
        <v>25</v>
      </c>
      <c r="AI2" s="12">
        <v>30</v>
      </c>
      <c r="AJ2" s="12">
        <v>62773</v>
      </c>
      <c r="AK2" s="12">
        <v>33269.69</v>
      </c>
      <c r="AL2" s="12">
        <v>1417442</v>
      </c>
      <c r="AM2" s="12">
        <v>1417442</v>
      </c>
      <c r="AN2" s="12">
        <v>1442457</v>
      </c>
      <c r="AO2" s="12">
        <v>2163685.5</v>
      </c>
      <c r="AP2" s="12">
        <v>196934</v>
      </c>
      <c r="AQ2" s="12">
        <v>256014.2</v>
      </c>
      <c r="AR2" s="12">
        <v>25</v>
      </c>
      <c r="AS2" s="12">
        <v>30</v>
      </c>
      <c r="AT2" s="12">
        <v>67533</v>
      </c>
      <c r="AU2" s="12">
        <v>35792.490000000005</v>
      </c>
      <c r="AV2" s="12">
        <v>996043</v>
      </c>
      <c r="AW2" s="12">
        <v>996043</v>
      </c>
      <c r="AX2" s="12">
        <v>1369528</v>
      </c>
      <c r="AY2" s="12">
        <v>2054292</v>
      </c>
      <c r="AZ2" s="12">
        <v>267335</v>
      </c>
      <c r="BA2" s="12">
        <v>347535.5</v>
      </c>
    </row>
    <row r="3" spans="1:53" x14ac:dyDescent="0.3">
      <c r="A3" s="12" t="s">
        <v>70</v>
      </c>
      <c r="B3" s="16">
        <v>42001</v>
      </c>
      <c r="C3" s="12" t="s">
        <v>72</v>
      </c>
      <c r="D3" s="12" t="s">
        <v>73</v>
      </c>
      <c r="E3" s="13">
        <v>0</v>
      </c>
      <c r="F3" s="12">
        <v>4450</v>
      </c>
      <c r="G3" s="12">
        <v>2358.5</v>
      </c>
      <c r="H3" s="12">
        <v>285343</v>
      </c>
      <c r="I3" s="12">
        <v>285343</v>
      </c>
      <c r="J3" s="12">
        <v>143465</v>
      </c>
      <c r="K3" s="12">
        <v>215197.5</v>
      </c>
      <c r="L3" s="12">
        <v>9212</v>
      </c>
      <c r="M3" s="12">
        <v>11975.6</v>
      </c>
      <c r="N3" s="12" t="s">
        <v>73</v>
      </c>
      <c r="O3" s="12">
        <v>0</v>
      </c>
      <c r="P3" s="12">
        <v>3603</v>
      </c>
      <c r="Q3" s="12">
        <v>1909.5900000000001</v>
      </c>
      <c r="R3" s="12">
        <v>95885</v>
      </c>
      <c r="S3" s="12">
        <v>95885</v>
      </c>
      <c r="T3" s="12">
        <v>123453</v>
      </c>
      <c r="U3" s="12">
        <v>185179.5</v>
      </c>
      <c r="V3" s="12">
        <v>24693</v>
      </c>
      <c r="W3" s="12">
        <v>32100.9</v>
      </c>
      <c r="X3" s="12" t="s">
        <v>73</v>
      </c>
      <c r="Y3" s="12">
        <v>0</v>
      </c>
      <c r="Z3" s="12">
        <v>6050</v>
      </c>
      <c r="AA3" s="12">
        <v>3206.5</v>
      </c>
      <c r="AB3" s="12">
        <v>129354</v>
      </c>
      <c r="AC3" s="12">
        <v>129354</v>
      </c>
      <c r="AD3" s="12">
        <v>69480</v>
      </c>
      <c r="AE3" s="12">
        <v>104220</v>
      </c>
      <c r="AF3" s="12">
        <v>27916</v>
      </c>
      <c r="AG3" s="12">
        <v>36290.800000000003</v>
      </c>
      <c r="AH3" s="12" t="s">
        <v>73</v>
      </c>
      <c r="AI3" s="12">
        <v>0</v>
      </c>
      <c r="AJ3" s="12">
        <v>5844</v>
      </c>
      <c r="AK3" s="12">
        <v>3097.32</v>
      </c>
      <c r="AL3" s="12">
        <v>208107</v>
      </c>
      <c r="AM3" s="12">
        <v>208107</v>
      </c>
      <c r="AN3" s="12">
        <v>180748</v>
      </c>
      <c r="AO3" s="12">
        <v>271122</v>
      </c>
      <c r="AP3" s="12">
        <v>31013</v>
      </c>
      <c r="AQ3" s="12">
        <v>40316.9</v>
      </c>
      <c r="AR3" s="12" t="s">
        <v>73</v>
      </c>
      <c r="AS3" s="12">
        <v>0</v>
      </c>
      <c r="AT3" s="12">
        <v>6179</v>
      </c>
      <c r="AU3" s="12">
        <v>3274.8700000000003</v>
      </c>
      <c r="AV3" s="12">
        <v>151999</v>
      </c>
      <c r="AW3" s="12">
        <v>151999</v>
      </c>
      <c r="AX3" s="12">
        <v>172261</v>
      </c>
      <c r="AY3" s="12">
        <v>258391.5</v>
      </c>
      <c r="AZ3" s="12">
        <v>36935</v>
      </c>
      <c r="BA3" s="12">
        <v>48015.5</v>
      </c>
    </row>
    <row r="4" spans="1:53" x14ac:dyDescent="0.3">
      <c r="A4" s="12" t="s">
        <v>74</v>
      </c>
      <c r="B4" s="16">
        <v>4200804</v>
      </c>
      <c r="C4" s="12" t="s">
        <v>76</v>
      </c>
      <c r="D4" s="12" t="s">
        <v>73</v>
      </c>
      <c r="E4" s="13">
        <v>0</v>
      </c>
      <c r="F4" s="12">
        <v>48</v>
      </c>
      <c r="G4" s="12">
        <v>25.44</v>
      </c>
      <c r="H4" s="12">
        <v>8700</v>
      </c>
      <c r="I4" s="12">
        <v>8700</v>
      </c>
      <c r="J4" s="12">
        <v>2792</v>
      </c>
      <c r="K4" s="12">
        <v>4188</v>
      </c>
      <c r="L4" s="12">
        <v>105</v>
      </c>
      <c r="M4" s="12">
        <v>136.5</v>
      </c>
      <c r="N4" s="12" t="s">
        <v>73</v>
      </c>
      <c r="O4" s="12">
        <v>0</v>
      </c>
      <c r="P4" s="12">
        <v>66</v>
      </c>
      <c r="Q4" s="12">
        <v>34.980000000000004</v>
      </c>
      <c r="R4" s="12">
        <v>3240</v>
      </c>
      <c r="S4" s="12">
        <v>3240</v>
      </c>
      <c r="T4" s="12">
        <v>2640</v>
      </c>
      <c r="U4" s="12">
        <v>3960</v>
      </c>
      <c r="V4" s="12">
        <v>270</v>
      </c>
      <c r="W4" s="12">
        <v>351</v>
      </c>
      <c r="X4" s="12" t="s">
        <v>73</v>
      </c>
      <c r="Y4" s="12">
        <v>0</v>
      </c>
      <c r="Z4" s="12">
        <v>47</v>
      </c>
      <c r="AA4" s="12">
        <v>24.91</v>
      </c>
      <c r="AB4" s="12">
        <v>2808</v>
      </c>
      <c r="AC4" s="12">
        <v>2808</v>
      </c>
      <c r="AD4" s="12">
        <v>2160</v>
      </c>
      <c r="AE4" s="12">
        <v>3240</v>
      </c>
      <c r="AF4" s="12">
        <v>410</v>
      </c>
      <c r="AG4" s="12">
        <v>533</v>
      </c>
      <c r="AH4" s="12" t="s">
        <v>73</v>
      </c>
      <c r="AI4" s="12">
        <v>0</v>
      </c>
      <c r="AJ4" s="12">
        <v>90</v>
      </c>
      <c r="AK4" s="12">
        <v>47.7</v>
      </c>
      <c r="AL4" s="12">
        <v>4980</v>
      </c>
      <c r="AM4" s="12">
        <v>4980</v>
      </c>
      <c r="AN4" s="12">
        <v>2880</v>
      </c>
      <c r="AO4" s="12">
        <v>4320</v>
      </c>
      <c r="AP4" s="12">
        <v>540</v>
      </c>
      <c r="AQ4" s="12">
        <v>702</v>
      </c>
      <c r="AR4" s="12" t="s">
        <v>73</v>
      </c>
      <c r="AS4" s="12">
        <v>0</v>
      </c>
      <c r="AT4" s="12">
        <v>186</v>
      </c>
      <c r="AU4" s="12">
        <v>98.58</v>
      </c>
      <c r="AV4" s="12">
        <v>3360</v>
      </c>
      <c r="AW4" s="12">
        <v>3360</v>
      </c>
      <c r="AX4" s="12">
        <v>3480</v>
      </c>
      <c r="AY4" s="12">
        <v>5220</v>
      </c>
      <c r="AZ4" s="12">
        <v>450</v>
      </c>
      <c r="BA4" s="12">
        <v>585</v>
      </c>
    </row>
    <row r="5" spans="1:53" x14ac:dyDescent="0.3">
      <c r="A5" s="12" t="s">
        <v>74</v>
      </c>
      <c r="B5" s="16">
        <v>4202081</v>
      </c>
      <c r="C5" s="12" t="s">
        <v>78</v>
      </c>
      <c r="D5" s="12" t="s">
        <v>73</v>
      </c>
      <c r="E5" s="13">
        <v>0</v>
      </c>
      <c r="F5" s="12">
        <v>32</v>
      </c>
      <c r="G5" s="12">
        <v>16.96</v>
      </c>
      <c r="H5" s="12">
        <v>9781</v>
      </c>
      <c r="I5" s="12">
        <v>9781</v>
      </c>
      <c r="J5" s="12">
        <v>2220</v>
      </c>
      <c r="K5" s="12">
        <v>3330</v>
      </c>
      <c r="L5" s="12">
        <v>240</v>
      </c>
      <c r="M5" s="12">
        <v>312</v>
      </c>
      <c r="N5" s="12" t="s">
        <v>73</v>
      </c>
      <c r="O5" s="12">
        <v>0</v>
      </c>
      <c r="P5" s="12">
        <v>15</v>
      </c>
      <c r="Q5" s="12">
        <v>7.95</v>
      </c>
      <c r="R5" s="12">
        <v>4104</v>
      </c>
      <c r="S5" s="12">
        <v>4104</v>
      </c>
      <c r="T5" s="12">
        <v>1907</v>
      </c>
      <c r="U5" s="12">
        <v>2860.5</v>
      </c>
      <c r="V5" s="12">
        <v>450</v>
      </c>
      <c r="W5" s="12">
        <v>585</v>
      </c>
      <c r="X5" s="12" t="s">
        <v>73</v>
      </c>
      <c r="Y5" s="12">
        <v>0</v>
      </c>
      <c r="Z5" s="12">
        <v>20</v>
      </c>
      <c r="AA5" s="12">
        <v>10.600000000000001</v>
      </c>
      <c r="AB5" s="12">
        <v>5400</v>
      </c>
      <c r="AC5" s="12">
        <v>5400</v>
      </c>
      <c r="AD5" s="12">
        <v>1170</v>
      </c>
      <c r="AE5" s="12">
        <v>1755</v>
      </c>
      <c r="AF5" s="12">
        <v>540</v>
      </c>
      <c r="AG5" s="12">
        <v>702</v>
      </c>
      <c r="AH5" s="12" t="s">
        <v>73</v>
      </c>
      <c r="AI5" s="12">
        <v>0</v>
      </c>
      <c r="AJ5" s="12">
        <v>39</v>
      </c>
      <c r="AK5" s="12">
        <v>20.67</v>
      </c>
      <c r="AL5" s="12">
        <v>10800</v>
      </c>
      <c r="AM5" s="12">
        <v>10800</v>
      </c>
      <c r="AN5" s="12">
        <v>2850</v>
      </c>
      <c r="AO5" s="12">
        <v>4275</v>
      </c>
      <c r="AP5" s="12">
        <v>495</v>
      </c>
      <c r="AQ5" s="12">
        <v>643.5</v>
      </c>
      <c r="AR5" s="12" t="s">
        <v>73</v>
      </c>
      <c r="AS5" s="12">
        <v>0</v>
      </c>
      <c r="AT5" s="12">
        <v>18</v>
      </c>
      <c r="AU5" s="12">
        <v>9.5400000000000009</v>
      </c>
      <c r="AV5" s="12">
        <v>2820</v>
      </c>
      <c r="AW5" s="12">
        <v>2820</v>
      </c>
      <c r="AX5" s="12">
        <v>3690</v>
      </c>
      <c r="AY5" s="12">
        <v>5535</v>
      </c>
      <c r="AZ5" s="12">
        <v>728</v>
      </c>
      <c r="BA5" s="12">
        <v>946.4</v>
      </c>
    </row>
    <row r="6" spans="1:53" x14ac:dyDescent="0.3">
      <c r="A6" s="12" t="s">
        <v>74</v>
      </c>
      <c r="B6" s="16">
        <v>4202099</v>
      </c>
      <c r="C6" s="12" t="s">
        <v>80</v>
      </c>
      <c r="D6" s="12" t="s">
        <v>73</v>
      </c>
      <c r="E6" s="13">
        <v>0</v>
      </c>
      <c r="F6" s="12">
        <v>16</v>
      </c>
      <c r="G6" s="12">
        <v>8.48</v>
      </c>
      <c r="H6" s="12">
        <v>6330</v>
      </c>
      <c r="I6" s="12">
        <v>6330</v>
      </c>
      <c r="J6" s="12">
        <v>227</v>
      </c>
      <c r="K6" s="12">
        <v>340.5</v>
      </c>
      <c r="L6" s="12" t="s">
        <v>73</v>
      </c>
      <c r="M6" s="12">
        <v>0</v>
      </c>
      <c r="N6" s="12" t="s">
        <v>73</v>
      </c>
      <c r="O6" s="12">
        <v>0</v>
      </c>
      <c r="P6" s="12">
        <v>8</v>
      </c>
      <c r="Q6" s="12">
        <v>4.24</v>
      </c>
      <c r="R6" s="12">
        <v>2005</v>
      </c>
      <c r="S6" s="12">
        <v>2005</v>
      </c>
      <c r="T6" s="12">
        <v>378</v>
      </c>
      <c r="U6" s="12">
        <v>567</v>
      </c>
      <c r="V6" s="12">
        <v>192</v>
      </c>
      <c r="W6" s="12">
        <v>249.60000000000002</v>
      </c>
      <c r="X6" s="12" t="s">
        <v>73</v>
      </c>
      <c r="Y6" s="12">
        <v>0</v>
      </c>
      <c r="Z6" s="12">
        <v>6</v>
      </c>
      <c r="AA6" s="12">
        <v>3.18</v>
      </c>
      <c r="AB6" s="12">
        <v>3654</v>
      </c>
      <c r="AC6" s="12">
        <v>3654</v>
      </c>
      <c r="AD6" s="12">
        <v>275</v>
      </c>
      <c r="AE6" s="12">
        <v>412.5</v>
      </c>
      <c r="AF6" s="12">
        <v>156</v>
      </c>
      <c r="AG6" s="12">
        <v>202.8</v>
      </c>
      <c r="AH6" s="12" t="s">
        <v>73</v>
      </c>
      <c r="AI6" s="12">
        <v>0</v>
      </c>
      <c r="AJ6" s="12">
        <v>12</v>
      </c>
      <c r="AK6" s="12">
        <v>6.36</v>
      </c>
      <c r="AL6" s="12">
        <v>5616</v>
      </c>
      <c r="AM6" s="12">
        <v>5616</v>
      </c>
      <c r="AN6" s="12">
        <v>460</v>
      </c>
      <c r="AO6" s="12">
        <v>690</v>
      </c>
      <c r="AP6" s="12">
        <v>173</v>
      </c>
      <c r="AQ6" s="12">
        <v>224.9</v>
      </c>
      <c r="AR6" s="12" t="s">
        <v>73</v>
      </c>
      <c r="AS6" s="12">
        <v>0</v>
      </c>
      <c r="AT6" s="12">
        <v>30</v>
      </c>
      <c r="AU6" s="12">
        <v>15.9</v>
      </c>
      <c r="AV6" s="12">
        <v>3024</v>
      </c>
      <c r="AW6" s="12">
        <v>3024</v>
      </c>
      <c r="AX6" s="12">
        <v>768</v>
      </c>
      <c r="AY6" s="12">
        <v>1152</v>
      </c>
      <c r="AZ6" s="12">
        <v>525</v>
      </c>
      <c r="BA6" s="12">
        <v>682.5</v>
      </c>
    </row>
    <row r="7" spans="1:53" x14ac:dyDescent="0.3">
      <c r="A7" s="12" t="s">
        <v>74</v>
      </c>
      <c r="B7" s="16">
        <v>4202156</v>
      </c>
      <c r="C7" s="12" t="s">
        <v>82</v>
      </c>
      <c r="D7" s="12" t="s">
        <v>73</v>
      </c>
      <c r="E7" s="13">
        <v>0</v>
      </c>
      <c r="F7" s="12" t="s">
        <v>73</v>
      </c>
      <c r="G7" s="12">
        <v>0</v>
      </c>
      <c r="H7" s="12">
        <v>15264</v>
      </c>
      <c r="I7" s="12">
        <v>15264</v>
      </c>
      <c r="J7" s="12">
        <v>3215</v>
      </c>
      <c r="K7" s="12">
        <v>4822.5</v>
      </c>
      <c r="L7" s="12">
        <v>42</v>
      </c>
      <c r="M7" s="12">
        <v>54.6</v>
      </c>
      <c r="N7" s="12" t="s">
        <v>73</v>
      </c>
      <c r="O7" s="12">
        <v>0</v>
      </c>
      <c r="P7" s="12" t="s">
        <v>73</v>
      </c>
      <c r="Q7" s="12">
        <v>0</v>
      </c>
      <c r="R7" s="12">
        <v>900</v>
      </c>
      <c r="S7" s="12">
        <v>900</v>
      </c>
      <c r="T7" s="12">
        <v>3114</v>
      </c>
      <c r="U7" s="12">
        <v>4671</v>
      </c>
      <c r="V7" s="12">
        <v>240</v>
      </c>
      <c r="W7" s="12">
        <v>312</v>
      </c>
      <c r="X7" s="12" t="s">
        <v>73</v>
      </c>
      <c r="Y7" s="12">
        <v>0</v>
      </c>
      <c r="Z7" s="12">
        <v>35</v>
      </c>
      <c r="AA7" s="12">
        <v>18.55</v>
      </c>
      <c r="AB7" s="12">
        <v>7140</v>
      </c>
      <c r="AC7" s="12">
        <v>7140</v>
      </c>
      <c r="AD7" s="12">
        <v>1164</v>
      </c>
      <c r="AE7" s="12">
        <v>1746</v>
      </c>
      <c r="AF7" s="12">
        <v>1008</v>
      </c>
      <c r="AG7" s="12">
        <v>1310.4000000000001</v>
      </c>
      <c r="AH7" s="12" t="s">
        <v>73</v>
      </c>
      <c r="AI7" s="12">
        <v>0</v>
      </c>
      <c r="AJ7" s="12" t="s">
        <v>73</v>
      </c>
      <c r="AK7" s="12">
        <v>0</v>
      </c>
      <c r="AL7" s="12">
        <v>8850</v>
      </c>
      <c r="AM7" s="12">
        <v>8850</v>
      </c>
      <c r="AN7" s="12">
        <v>2700</v>
      </c>
      <c r="AO7" s="12">
        <v>4050</v>
      </c>
      <c r="AP7" s="12">
        <v>588</v>
      </c>
      <c r="AQ7" s="12">
        <v>764.4</v>
      </c>
      <c r="AR7" s="12" t="s">
        <v>73</v>
      </c>
      <c r="AS7" s="12">
        <v>0</v>
      </c>
      <c r="AT7" s="12">
        <v>81</v>
      </c>
      <c r="AU7" s="12">
        <v>42.93</v>
      </c>
      <c r="AV7" s="12">
        <v>8805</v>
      </c>
      <c r="AW7" s="12">
        <v>8805</v>
      </c>
      <c r="AX7" s="12">
        <v>3780</v>
      </c>
      <c r="AY7" s="12">
        <v>5670</v>
      </c>
      <c r="AZ7" s="12">
        <v>1552</v>
      </c>
      <c r="BA7" s="12">
        <v>2017.6000000000001</v>
      </c>
    </row>
    <row r="8" spans="1:53" x14ac:dyDescent="0.3">
      <c r="A8" s="12" t="s">
        <v>74</v>
      </c>
      <c r="B8" s="16">
        <v>4204905</v>
      </c>
      <c r="C8" s="12" t="s">
        <v>84</v>
      </c>
      <c r="D8" s="12" t="s">
        <v>73</v>
      </c>
      <c r="E8" s="13">
        <v>0</v>
      </c>
      <c r="F8" s="12">
        <v>180</v>
      </c>
      <c r="G8" s="12">
        <v>95.4</v>
      </c>
      <c r="H8" s="12">
        <v>36660</v>
      </c>
      <c r="I8" s="12">
        <v>36660</v>
      </c>
      <c r="J8" s="12">
        <v>8910</v>
      </c>
      <c r="K8" s="12">
        <v>13365</v>
      </c>
      <c r="L8" s="12">
        <v>231</v>
      </c>
      <c r="M8" s="12">
        <v>300.3</v>
      </c>
      <c r="N8" s="12" t="s">
        <v>73</v>
      </c>
      <c r="O8" s="12">
        <v>0</v>
      </c>
      <c r="P8" s="12">
        <v>180</v>
      </c>
      <c r="Q8" s="12">
        <v>95.4</v>
      </c>
      <c r="R8" s="12">
        <v>21956</v>
      </c>
      <c r="S8" s="12">
        <v>21956</v>
      </c>
      <c r="T8" s="12">
        <v>7380</v>
      </c>
      <c r="U8" s="12">
        <v>11070</v>
      </c>
      <c r="V8" s="12">
        <v>252</v>
      </c>
      <c r="W8" s="12">
        <v>327.60000000000002</v>
      </c>
      <c r="X8" s="12" t="s">
        <v>73</v>
      </c>
      <c r="Y8" s="12">
        <v>0</v>
      </c>
      <c r="Z8" s="12">
        <v>120</v>
      </c>
      <c r="AA8" s="12">
        <v>63.6</v>
      </c>
      <c r="AB8" s="12">
        <v>19437</v>
      </c>
      <c r="AC8" s="12">
        <v>19437</v>
      </c>
      <c r="AD8" s="12">
        <v>3120</v>
      </c>
      <c r="AE8" s="12">
        <v>4680</v>
      </c>
      <c r="AF8" s="12">
        <v>1980</v>
      </c>
      <c r="AG8" s="12">
        <v>2574</v>
      </c>
      <c r="AH8" s="12" t="s">
        <v>73</v>
      </c>
      <c r="AI8" s="12">
        <v>0</v>
      </c>
      <c r="AJ8" s="12">
        <v>120</v>
      </c>
      <c r="AK8" s="12">
        <v>63.6</v>
      </c>
      <c r="AL8" s="12">
        <v>27660</v>
      </c>
      <c r="AM8" s="12">
        <v>27660</v>
      </c>
      <c r="AN8" s="12">
        <v>11190</v>
      </c>
      <c r="AO8" s="12">
        <v>16785</v>
      </c>
      <c r="AP8" s="12">
        <v>4500</v>
      </c>
      <c r="AQ8" s="12">
        <v>5850</v>
      </c>
      <c r="AR8" s="12" t="s">
        <v>73</v>
      </c>
      <c r="AS8" s="12">
        <v>0</v>
      </c>
      <c r="AT8" s="12">
        <v>474</v>
      </c>
      <c r="AU8" s="12">
        <v>251.22</v>
      </c>
      <c r="AV8" s="12">
        <v>25500</v>
      </c>
      <c r="AW8" s="12">
        <v>25500</v>
      </c>
      <c r="AX8" s="12">
        <v>12675</v>
      </c>
      <c r="AY8" s="12">
        <v>19012.5</v>
      </c>
      <c r="AZ8" s="12">
        <v>6120</v>
      </c>
      <c r="BA8" s="12">
        <v>7956</v>
      </c>
    </row>
    <row r="9" spans="1:53" x14ac:dyDescent="0.3">
      <c r="A9" s="12" t="s">
        <v>74</v>
      </c>
      <c r="B9" s="16">
        <v>4205001</v>
      </c>
      <c r="C9" s="12" t="s">
        <v>86</v>
      </c>
      <c r="D9" s="12" t="s">
        <v>73</v>
      </c>
      <c r="E9" s="13">
        <v>0</v>
      </c>
      <c r="F9" s="12">
        <v>492</v>
      </c>
      <c r="G9" s="12">
        <v>260.76</v>
      </c>
      <c r="H9" s="12">
        <v>10349</v>
      </c>
      <c r="I9" s="12">
        <v>10349</v>
      </c>
      <c r="J9" s="12">
        <v>27036</v>
      </c>
      <c r="K9" s="12">
        <v>40554</v>
      </c>
      <c r="L9" s="12">
        <v>2016</v>
      </c>
      <c r="M9" s="12">
        <v>2620.8000000000002</v>
      </c>
      <c r="N9" s="12" t="s">
        <v>73</v>
      </c>
      <c r="O9" s="12">
        <v>0</v>
      </c>
      <c r="P9" s="12">
        <v>600</v>
      </c>
      <c r="Q9" s="12">
        <v>318</v>
      </c>
      <c r="R9" s="12">
        <v>4734</v>
      </c>
      <c r="S9" s="12">
        <v>4734</v>
      </c>
      <c r="T9" s="12">
        <v>23760</v>
      </c>
      <c r="U9" s="12">
        <v>35640</v>
      </c>
      <c r="V9" s="12">
        <v>4620</v>
      </c>
      <c r="W9" s="12">
        <v>6006</v>
      </c>
      <c r="X9" s="12" t="s">
        <v>73</v>
      </c>
      <c r="Y9" s="12">
        <v>0</v>
      </c>
      <c r="Z9" s="12">
        <v>1182</v>
      </c>
      <c r="AA9" s="12">
        <v>626.46</v>
      </c>
      <c r="AB9" s="12">
        <v>4955</v>
      </c>
      <c r="AC9" s="12">
        <v>4955</v>
      </c>
      <c r="AD9" s="12">
        <v>16686</v>
      </c>
      <c r="AE9" s="12">
        <v>25029</v>
      </c>
      <c r="AF9" s="12">
        <v>3900</v>
      </c>
      <c r="AG9" s="12">
        <v>5070</v>
      </c>
      <c r="AH9" s="12" t="s">
        <v>73</v>
      </c>
      <c r="AI9" s="12">
        <v>0</v>
      </c>
      <c r="AJ9" s="12">
        <v>615</v>
      </c>
      <c r="AK9" s="12">
        <v>325.95</v>
      </c>
      <c r="AL9" s="12">
        <v>6000</v>
      </c>
      <c r="AM9" s="12">
        <v>6000</v>
      </c>
      <c r="AN9" s="12">
        <v>30210</v>
      </c>
      <c r="AO9" s="12">
        <v>45315</v>
      </c>
      <c r="AP9" s="12">
        <v>4500</v>
      </c>
      <c r="AQ9" s="12">
        <v>5850</v>
      </c>
      <c r="AR9" s="12" t="s">
        <v>73</v>
      </c>
      <c r="AS9" s="12">
        <v>0</v>
      </c>
      <c r="AT9" s="12">
        <v>495</v>
      </c>
      <c r="AU9" s="12">
        <v>262.35000000000002</v>
      </c>
      <c r="AV9" s="12">
        <v>5040</v>
      </c>
      <c r="AW9" s="12">
        <v>5040</v>
      </c>
      <c r="AX9" s="12">
        <v>28080</v>
      </c>
      <c r="AY9" s="12">
        <v>42120</v>
      </c>
      <c r="AZ9" s="12">
        <v>3300</v>
      </c>
      <c r="BA9" s="12">
        <v>4290</v>
      </c>
    </row>
    <row r="10" spans="1:53" x14ac:dyDescent="0.3">
      <c r="A10" s="12" t="s">
        <v>74</v>
      </c>
      <c r="B10" s="16">
        <v>4206405</v>
      </c>
      <c r="C10" s="12" t="s">
        <v>88</v>
      </c>
      <c r="D10" s="12" t="s">
        <v>73</v>
      </c>
      <c r="E10" s="13">
        <v>0</v>
      </c>
      <c r="F10" s="12">
        <v>452</v>
      </c>
      <c r="G10" s="12">
        <v>239.56</v>
      </c>
      <c r="H10" s="12">
        <v>21421</v>
      </c>
      <c r="I10" s="12">
        <v>21421</v>
      </c>
      <c r="J10" s="12">
        <v>19056</v>
      </c>
      <c r="K10" s="12">
        <v>28584</v>
      </c>
      <c r="L10" s="12">
        <v>830</v>
      </c>
      <c r="M10" s="12">
        <v>1079</v>
      </c>
      <c r="N10" s="12" t="s">
        <v>73</v>
      </c>
      <c r="O10" s="12">
        <v>0</v>
      </c>
      <c r="P10" s="12">
        <v>411</v>
      </c>
      <c r="Q10" s="12">
        <v>217.83</v>
      </c>
      <c r="R10" s="12">
        <v>10560</v>
      </c>
      <c r="S10" s="12">
        <v>10560</v>
      </c>
      <c r="T10" s="12">
        <v>16920</v>
      </c>
      <c r="U10" s="12">
        <v>25380</v>
      </c>
      <c r="V10" s="12">
        <v>3960</v>
      </c>
      <c r="W10" s="12">
        <v>5148</v>
      </c>
      <c r="X10" s="12" t="s">
        <v>73</v>
      </c>
      <c r="Y10" s="12">
        <v>0</v>
      </c>
      <c r="Z10" s="12">
        <v>603</v>
      </c>
      <c r="AA10" s="12">
        <v>319.59000000000003</v>
      </c>
      <c r="AB10" s="12">
        <v>12419</v>
      </c>
      <c r="AC10" s="12">
        <v>12419</v>
      </c>
      <c r="AD10" s="12">
        <v>8028</v>
      </c>
      <c r="AE10" s="12">
        <v>12042</v>
      </c>
      <c r="AF10" s="12">
        <v>4320</v>
      </c>
      <c r="AG10" s="12">
        <v>5616</v>
      </c>
      <c r="AH10" s="12" t="s">
        <v>73</v>
      </c>
      <c r="AI10" s="12">
        <v>0</v>
      </c>
      <c r="AJ10" s="12">
        <v>704</v>
      </c>
      <c r="AK10" s="12">
        <v>373.12</v>
      </c>
      <c r="AL10" s="12">
        <v>20448</v>
      </c>
      <c r="AM10" s="12">
        <v>20448</v>
      </c>
      <c r="AN10" s="12">
        <v>23520</v>
      </c>
      <c r="AO10" s="12">
        <v>35280</v>
      </c>
      <c r="AP10" s="12">
        <v>3300</v>
      </c>
      <c r="AQ10" s="12">
        <v>4290</v>
      </c>
      <c r="AR10" s="12" t="s">
        <v>73</v>
      </c>
      <c r="AS10" s="12">
        <v>0</v>
      </c>
      <c r="AT10" s="12">
        <v>599</v>
      </c>
      <c r="AU10" s="12">
        <v>317.47000000000003</v>
      </c>
      <c r="AV10" s="12">
        <v>16009</v>
      </c>
      <c r="AW10" s="12">
        <v>16009</v>
      </c>
      <c r="AX10" s="12">
        <v>21300</v>
      </c>
      <c r="AY10" s="12">
        <v>31950</v>
      </c>
      <c r="AZ10" s="12">
        <v>2970</v>
      </c>
      <c r="BA10" s="12">
        <v>3861</v>
      </c>
    </row>
    <row r="11" spans="1:53" x14ac:dyDescent="0.3">
      <c r="A11" s="12" t="s">
        <v>74</v>
      </c>
      <c r="B11" s="16">
        <v>4206603</v>
      </c>
      <c r="C11" s="12" t="s">
        <v>90</v>
      </c>
      <c r="D11" s="12" t="s">
        <v>73</v>
      </c>
      <c r="E11" s="13">
        <v>0</v>
      </c>
      <c r="F11" s="12">
        <v>77</v>
      </c>
      <c r="G11" s="12">
        <v>40.81</v>
      </c>
      <c r="H11" s="12">
        <v>3848</v>
      </c>
      <c r="I11" s="12">
        <v>3848</v>
      </c>
      <c r="J11" s="12">
        <v>3952</v>
      </c>
      <c r="K11" s="12">
        <v>5928</v>
      </c>
      <c r="L11" s="12">
        <v>420</v>
      </c>
      <c r="M11" s="12">
        <v>546</v>
      </c>
      <c r="N11" s="12" t="s">
        <v>73</v>
      </c>
      <c r="O11" s="12">
        <v>0</v>
      </c>
      <c r="P11" s="12">
        <v>153</v>
      </c>
      <c r="Q11" s="12">
        <v>81.09</v>
      </c>
      <c r="R11" s="12">
        <v>1476</v>
      </c>
      <c r="S11" s="12">
        <v>1476</v>
      </c>
      <c r="T11" s="12">
        <v>4199</v>
      </c>
      <c r="U11" s="12">
        <v>6298.5</v>
      </c>
      <c r="V11" s="12">
        <v>783</v>
      </c>
      <c r="W11" s="12">
        <v>1017.9000000000001</v>
      </c>
      <c r="X11" s="12" t="s">
        <v>73</v>
      </c>
      <c r="Y11" s="12">
        <v>0</v>
      </c>
      <c r="Z11" s="12">
        <v>90</v>
      </c>
      <c r="AA11" s="12">
        <v>47.7</v>
      </c>
      <c r="AB11" s="12">
        <v>1479</v>
      </c>
      <c r="AC11" s="12">
        <v>1479</v>
      </c>
      <c r="AD11" s="12">
        <v>2955</v>
      </c>
      <c r="AE11" s="12">
        <v>4432.5</v>
      </c>
      <c r="AF11" s="12">
        <v>609</v>
      </c>
      <c r="AG11" s="12">
        <v>791.7</v>
      </c>
      <c r="AH11" s="12" t="s">
        <v>73</v>
      </c>
      <c r="AI11" s="12">
        <v>0</v>
      </c>
      <c r="AJ11" s="12">
        <v>294</v>
      </c>
      <c r="AK11" s="12">
        <v>155.82000000000002</v>
      </c>
      <c r="AL11" s="12">
        <v>3354</v>
      </c>
      <c r="AM11" s="12">
        <v>3354</v>
      </c>
      <c r="AN11" s="12">
        <v>7281</v>
      </c>
      <c r="AO11" s="12">
        <v>10921.5</v>
      </c>
      <c r="AP11" s="12">
        <v>750</v>
      </c>
      <c r="AQ11" s="12">
        <v>975</v>
      </c>
      <c r="AR11" s="12" t="s">
        <v>73</v>
      </c>
      <c r="AS11" s="12">
        <v>0</v>
      </c>
      <c r="AT11" s="12">
        <v>318</v>
      </c>
      <c r="AU11" s="12">
        <v>168.54000000000002</v>
      </c>
      <c r="AV11" s="12">
        <v>2920</v>
      </c>
      <c r="AW11" s="12">
        <v>2920</v>
      </c>
      <c r="AX11" s="12">
        <v>6946</v>
      </c>
      <c r="AY11" s="12">
        <v>10419</v>
      </c>
      <c r="AZ11" s="12">
        <v>1320</v>
      </c>
      <c r="BA11" s="12">
        <v>1716</v>
      </c>
    </row>
    <row r="12" spans="1:53" x14ac:dyDescent="0.3">
      <c r="A12" s="12" t="s">
        <v>74</v>
      </c>
      <c r="B12" s="16">
        <v>4207650</v>
      </c>
      <c r="C12" s="12" t="s">
        <v>92</v>
      </c>
      <c r="D12" s="12" t="s">
        <v>73</v>
      </c>
      <c r="E12" s="13">
        <v>0</v>
      </c>
      <c r="F12" s="12">
        <v>182</v>
      </c>
      <c r="G12" s="12">
        <v>96.460000000000008</v>
      </c>
      <c r="H12" s="12">
        <v>16150</v>
      </c>
      <c r="I12" s="12">
        <v>16150</v>
      </c>
      <c r="J12" s="12">
        <v>3172</v>
      </c>
      <c r="K12" s="12">
        <v>4758</v>
      </c>
      <c r="L12" s="12">
        <v>900</v>
      </c>
      <c r="M12" s="12">
        <v>1170</v>
      </c>
      <c r="N12" s="12" t="s">
        <v>73</v>
      </c>
      <c r="O12" s="12">
        <v>0</v>
      </c>
      <c r="P12" s="12">
        <v>273</v>
      </c>
      <c r="Q12" s="12">
        <v>144.69</v>
      </c>
      <c r="R12" s="12">
        <v>5214</v>
      </c>
      <c r="S12" s="12">
        <v>5214</v>
      </c>
      <c r="T12" s="12">
        <v>2843</v>
      </c>
      <c r="U12" s="12">
        <v>4264.5</v>
      </c>
      <c r="V12" s="12">
        <v>1350</v>
      </c>
      <c r="W12" s="12">
        <v>1755</v>
      </c>
      <c r="X12" s="12" t="s">
        <v>73</v>
      </c>
      <c r="Y12" s="12">
        <v>0</v>
      </c>
      <c r="Z12" s="12">
        <v>69</v>
      </c>
      <c r="AA12" s="12">
        <v>36.57</v>
      </c>
      <c r="AB12" s="12">
        <v>9029</v>
      </c>
      <c r="AC12" s="12">
        <v>9029</v>
      </c>
      <c r="AD12" s="12">
        <v>1875</v>
      </c>
      <c r="AE12" s="12">
        <v>2812.5</v>
      </c>
      <c r="AF12" s="12">
        <v>1485</v>
      </c>
      <c r="AG12" s="12">
        <v>1930.5</v>
      </c>
      <c r="AH12" s="12" t="s">
        <v>73</v>
      </c>
      <c r="AI12" s="12">
        <v>0</v>
      </c>
      <c r="AJ12" s="12">
        <v>240</v>
      </c>
      <c r="AK12" s="12">
        <v>127.2</v>
      </c>
      <c r="AL12" s="12">
        <v>13350</v>
      </c>
      <c r="AM12" s="12">
        <v>13350</v>
      </c>
      <c r="AN12" s="12">
        <v>4080</v>
      </c>
      <c r="AO12" s="12">
        <v>6120</v>
      </c>
      <c r="AP12" s="12">
        <v>1680</v>
      </c>
      <c r="AQ12" s="12">
        <v>2184</v>
      </c>
      <c r="AR12" s="12" t="s">
        <v>73</v>
      </c>
      <c r="AS12" s="12">
        <v>0</v>
      </c>
      <c r="AT12" s="12">
        <v>210</v>
      </c>
      <c r="AU12" s="12">
        <v>111.30000000000001</v>
      </c>
      <c r="AV12" s="12">
        <v>8580</v>
      </c>
      <c r="AW12" s="12">
        <v>8580</v>
      </c>
      <c r="AX12" s="12">
        <v>5430</v>
      </c>
      <c r="AY12" s="12">
        <v>8145</v>
      </c>
      <c r="AZ12" s="12">
        <v>3240</v>
      </c>
      <c r="BA12" s="12">
        <v>4212</v>
      </c>
    </row>
    <row r="13" spans="1:53" x14ac:dyDescent="0.3">
      <c r="A13" s="12" t="s">
        <v>74</v>
      </c>
      <c r="B13" s="16">
        <v>4208401</v>
      </c>
      <c r="C13" s="12" t="s">
        <v>94</v>
      </c>
      <c r="D13" s="12" t="s">
        <v>73</v>
      </c>
      <c r="E13" s="13">
        <v>0</v>
      </c>
      <c r="F13" s="12">
        <v>73</v>
      </c>
      <c r="G13" s="12">
        <v>38.690000000000005</v>
      </c>
      <c r="H13" s="12">
        <v>16110</v>
      </c>
      <c r="I13" s="12">
        <v>16110</v>
      </c>
      <c r="J13" s="12">
        <v>2772</v>
      </c>
      <c r="K13" s="12">
        <v>4158</v>
      </c>
      <c r="L13" s="12">
        <v>432</v>
      </c>
      <c r="M13" s="12">
        <v>561.6</v>
      </c>
      <c r="N13" s="12" t="s">
        <v>73</v>
      </c>
      <c r="O13" s="12">
        <v>0</v>
      </c>
      <c r="P13" s="12">
        <v>15</v>
      </c>
      <c r="Q13" s="12">
        <v>7.95</v>
      </c>
      <c r="R13" s="12">
        <v>3878</v>
      </c>
      <c r="S13" s="12">
        <v>3878</v>
      </c>
      <c r="T13" s="12">
        <v>2829</v>
      </c>
      <c r="U13" s="12">
        <v>4243.5</v>
      </c>
      <c r="V13" s="12">
        <v>1320</v>
      </c>
      <c r="W13" s="12">
        <v>1716</v>
      </c>
      <c r="X13" s="12" t="s">
        <v>73</v>
      </c>
      <c r="Y13" s="12">
        <v>0</v>
      </c>
      <c r="Z13" s="12">
        <v>15</v>
      </c>
      <c r="AA13" s="12">
        <v>7.95</v>
      </c>
      <c r="AB13" s="12">
        <v>3900</v>
      </c>
      <c r="AC13" s="12">
        <v>3900</v>
      </c>
      <c r="AD13" s="12">
        <v>2259</v>
      </c>
      <c r="AE13" s="12">
        <v>3388.5</v>
      </c>
      <c r="AF13" s="12">
        <v>1200</v>
      </c>
      <c r="AG13" s="12">
        <v>1560</v>
      </c>
      <c r="AH13" s="12" t="s">
        <v>73</v>
      </c>
      <c r="AI13" s="12">
        <v>0</v>
      </c>
      <c r="AJ13" s="12">
        <v>8</v>
      </c>
      <c r="AK13" s="12">
        <v>4.24</v>
      </c>
      <c r="AL13" s="12">
        <v>9075</v>
      </c>
      <c r="AM13" s="12">
        <v>9075</v>
      </c>
      <c r="AN13" s="12">
        <v>4380</v>
      </c>
      <c r="AO13" s="12">
        <v>6570</v>
      </c>
      <c r="AP13" s="12">
        <v>1260</v>
      </c>
      <c r="AQ13" s="12">
        <v>1638</v>
      </c>
      <c r="AR13" s="12" t="s">
        <v>73</v>
      </c>
      <c r="AS13" s="12">
        <v>0</v>
      </c>
      <c r="AT13" s="12">
        <v>8</v>
      </c>
      <c r="AU13" s="12">
        <v>4.24</v>
      </c>
      <c r="AV13" s="12">
        <v>5733</v>
      </c>
      <c r="AW13" s="12">
        <v>5733</v>
      </c>
      <c r="AX13" s="12">
        <v>6090</v>
      </c>
      <c r="AY13" s="12">
        <v>9135</v>
      </c>
      <c r="AZ13" s="12">
        <v>1800</v>
      </c>
      <c r="BA13" s="12">
        <v>2340</v>
      </c>
    </row>
    <row r="14" spans="1:53" x14ac:dyDescent="0.3">
      <c r="A14" s="12" t="s">
        <v>74</v>
      </c>
      <c r="B14" s="16">
        <v>4211009</v>
      </c>
      <c r="C14" s="12" t="s">
        <v>96</v>
      </c>
      <c r="D14" s="12" t="s">
        <v>73</v>
      </c>
      <c r="E14" s="13">
        <v>0</v>
      </c>
      <c r="F14" s="12">
        <v>36</v>
      </c>
      <c r="G14" s="12">
        <v>19.080000000000002</v>
      </c>
      <c r="H14" s="12">
        <v>8640</v>
      </c>
      <c r="I14" s="12">
        <v>8640</v>
      </c>
      <c r="J14" s="12">
        <v>740</v>
      </c>
      <c r="K14" s="12">
        <v>1110</v>
      </c>
      <c r="L14" s="12" t="s">
        <v>73</v>
      </c>
      <c r="M14" s="12">
        <v>0</v>
      </c>
      <c r="N14" s="12" t="s">
        <v>73</v>
      </c>
      <c r="O14" s="12">
        <v>0</v>
      </c>
      <c r="P14" s="12">
        <v>22</v>
      </c>
      <c r="Q14" s="12">
        <v>11.66</v>
      </c>
      <c r="R14" s="12">
        <v>2619</v>
      </c>
      <c r="S14" s="12">
        <v>2619</v>
      </c>
      <c r="T14" s="12">
        <v>1464</v>
      </c>
      <c r="U14" s="12">
        <v>2196</v>
      </c>
      <c r="V14" s="12">
        <v>198</v>
      </c>
      <c r="W14" s="12">
        <v>257.40000000000003</v>
      </c>
      <c r="X14" s="12" t="s">
        <v>73</v>
      </c>
      <c r="Y14" s="12">
        <v>0</v>
      </c>
      <c r="Z14" s="12">
        <v>36</v>
      </c>
      <c r="AA14" s="12">
        <v>19.080000000000002</v>
      </c>
      <c r="AB14" s="12">
        <v>7200</v>
      </c>
      <c r="AC14" s="12">
        <v>7200</v>
      </c>
      <c r="AD14" s="12">
        <v>869</v>
      </c>
      <c r="AE14" s="12">
        <v>1303.5</v>
      </c>
      <c r="AF14" s="12">
        <v>198</v>
      </c>
      <c r="AG14" s="12">
        <v>257.40000000000003</v>
      </c>
      <c r="AH14" s="12" t="s">
        <v>73</v>
      </c>
      <c r="AI14" s="12">
        <v>0</v>
      </c>
      <c r="AJ14" s="12">
        <v>12</v>
      </c>
      <c r="AK14" s="12">
        <v>6.36</v>
      </c>
      <c r="AL14" s="12">
        <v>4410</v>
      </c>
      <c r="AM14" s="12">
        <v>4410</v>
      </c>
      <c r="AN14" s="12">
        <v>1449</v>
      </c>
      <c r="AO14" s="12">
        <v>2173.5</v>
      </c>
      <c r="AP14" s="12">
        <v>84</v>
      </c>
      <c r="AQ14" s="12">
        <v>109.2</v>
      </c>
      <c r="AR14" s="12" t="s">
        <v>73</v>
      </c>
      <c r="AS14" s="12">
        <v>0</v>
      </c>
      <c r="AT14" s="12" t="s">
        <v>73</v>
      </c>
      <c r="AU14" s="12">
        <v>0</v>
      </c>
      <c r="AV14" s="12">
        <v>3456</v>
      </c>
      <c r="AW14" s="12">
        <v>3456</v>
      </c>
      <c r="AX14" s="12">
        <v>1449</v>
      </c>
      <c r="AY14" s="12">
        <v>2173.5</v>
      </c>
      <c r="AZ14" s="12">
        <v>200</v>
      </c>
      <c r="BA14" s="12">
        <v>260</v>
      </c>
    </row>
    <row r="15" spans="1:53" x14ac:dyDescent="0.3">
      <c r="A15" s="12" t="s">
        <v>74</v>
      </c>
      <c r="B15" s="16">
        <v>4212007</v>
      </c>
      <c r="C15" s="12" t="s">
        <v>98</v>
      </c>
      <c r="D15" s="12" t="s">
        <v>73</v>
      </c>
      <c r="E15" s="13">
        <v>0</v>
      </c>
      <c r="F15" s="12">
        <v>1341</v>
      </c>
      <c r="G15" s="12">
        <v>710.73</v>
      </c>
      <c r="H15" s="12">
        <v>18360</v>
      </c>
      <c r="I15" s="12">
        <v>18360</v>
      </c>
      <c r="J15" s="12">
        <v>40290</v>
      </c>
      <c r="K15" s="12">
        <v>60435</v>
      </c>
      <c r="L15" s="12">
        <v>1840</v>
      </c>
      <c r="M15" s="12">
        <v>2392</v>
      </c>
      <c r="N15" s="12" t="s">
        <v>73</v>
      </c>
      <c r="O15" s="12">
        <v>0</v>
      </c>
      <c r="P15" s="12">
        <v>948</v>
      </c>
      <c r="Q15" s="12">
        <v>502.44</v>
      </c>
      <c r="R15" s="12">
        <v>5520</v>
      </c>
      <c r="S15" s="12">
        <v>5520</v>
      </c>
      <c r="T15" s="12">
        <v>34375</v>
      </c>
      <c r="U15" s="12">
        <v>51562.5</v>
      </c>
      <c r="V15" s="12">
        <v>4200</v>
      </c>
      <c r="W15" s="12">
        <v>5460</v>
      </c>
      <c r="X15" s="12" t="s">
        <v>73</v>
      </c>
      <c r="Y15" s="12">
        <v>0</v>
      </c>
      <c r="Z15" s="12">
        <v>2646</v>
      </c>
      <c r="AA15" s="12">
        <v>1402.38</v>
      </c>
      <c r="AB15" s="12">
        <v>8700</v>
      </c>
      <c r="AC15" s="12">
        <v>8700</v>
      </c>
      <c r="AD15" s="12">
        <v>15330</v>
      </c>
      <c r="AE15" s="12">
        <v>22995</v>
      </c>
      <c r="AF15" s="12">
        <v>4860</v>
      </c>
      <c r="AG15" s="12">
        <v>6318</v>
      </c>
      <c r="AH15" s="12" t="s">
        <v>73</v>
      </c>
      <c r="AI15" s="12">
        <v>0</v>
      </c>
      <c r="AJ15" s="12">
        <v>2502</v>
      </c>
      <c r="AK15" s="12">
        <v>1326.0600000000002</v>
      </c>
      <c r="AL15" s="12">
        <v>10200</v>
      </c>
      <c r="AM15" s="12">
        <v>10200</v>
      </c>
      <c r="AN15" s="12">
        <v>42360</v>
      </c>
      <c r="AO15" s="12">
        <v>63540</v>
      </c>
      <c r="AP15" s="12">
        <v>6600</v>
      </c>
      <c r="AQ15" s="12">
        <v>8580</v>
      </c>
      <c r="AR15" s="12" t="s">
        <v>73</v>
      </c>
      <c r="AS15" s="12">
        <v>0</v>
      </c>
      <c r="AT15" s="12">
        <v>2316</v>
      </c>
      <c r="AU15" s="12">
        <v>1227.48</v>
      </c>
      <c r="AV15" s="12">
        <v>8880</v>
      </c>
      <c r="AW15" s="12">
        <v>8880</v>
      </c>
      <c r="AX15" s="12">
        <v>36105</v>
      </c>
      <c r="AY15" s="12">
        <v>54157.5</v>
      </c>
      <c r="AZ15" s="12">
        <v>6000</v>
      </c>
      <c r="BA15" s="12">
        <v>7800</v>
      </c>
    </row>
    <row r="16" spans="1:53" x14ac:dyDescent="0.3">
      <c r="A16" s="12" t="s">
        <v>74</v>
      </c>
      <c r="B16" s="16">
        <v>4212239</v>
      </c>
      <c r="C16" s="12" t="s">
        <v>100</v>
      </c>
      <c r="D16" s="12" t="s">
        <v>73</v>
      </c>
      <c r="E16" s="13">
        <v>0</v>
      </c>
      <c r="F16" s="12">
        <v>45</v>
      </c>
      <c r="G16" s="12">
        <v>23.85</v>
      </c>
      <c r="H16" s="12">
        <v>8663</v>
      </c>
      <c r="I16" s="12">
        <v>8663</v>
      </c>
      <c r="J16" s="12">
        <v>5958</v>
      </c>
      <c r="K16" s="12">
        <v>8937</v>
      </c>
      <c r="L16" s="12">
        <v>113</v>
      </c>
      <c r="M16" s="12">
        <v>146.9</v>
      </c>
      <c r="N16" s="12" t="s">
        <v>73</v>
      </c>
      <c r="O16" s="12">
        <v>0</v>
      </c>
      <c r="P16" s="12">
        <v>30</v>
      </c>
      <c r="Q16" s="12">
        <v>15.9</v>
      </c>
      <c r="R16" s="12">
        <v>3208</v>
      </c>
      <c r="S16" s="12">
        <v>3208</v>
      </c>
      <c r="T16" s="12">
        <v>5200</v>
      </c>
      <c r="U16" s="12">
        <v>7800</v>
      </c>
      <c r="V16" s="12">
        <v>1800</v>
      </c>
      <c r="W16" s="12">
        <v>2340</v>
      </c>
      <c r="X16" s="12" t="s">
        <v>73</v>
      </c>
      <c r="Y16" s="12">
        <v>0</v>
      </c>
      <c r="Z16" s="12">
        <v>122</v>
      </c>
      <c r="AA16" s="12">
        <v>64.66</v>
      </c>
      <c r="AB16" s="12">
        <v>4140</v>
      </c>
      <c r="AC16" s="12">
        <v>4140</v>
      </c>
      <c r="AD16" s="12">
        <v>2820</v>
      </c>
      <c r="AE16" s="12">
        <v>4230</v>
      </c>
      <c r="AF16" s="12">
        <v>1290</v>
      </c>
      <c r="AG16" s="12">
        <v>1677</v>
      </c>
      <c r="AH16" s="12" t="s">
        <v>73</v>
      </c>
      <c r="AI16" s="12">
        <v>0</v>
      </c>
      <c r="AJ16" s="12">
        <v>102</v>
      </c>
      <c r="AK16" s="12">
        <v>54.06</v>
      </c>
      <c r="AL16" s="12">
        <v>5670</v>
      </c>
      <c r="AM16" s="12">
        <v>5670</v>
      </c>
      <c r="AN16" s="12">
        <v>10160</v>
      </c>
      <c r="AO16" s="12">
        <v>15240</v>
      </c>
      <c r="AP16" s="12">
        <v>450</v>
      </c>
      <c r="AQ16" s="12">
        <v>585</v>
      </c>
      <c r="AR16" s="12" t="s">
        <v>73</v>
      </c>
      <c r="AS16" s="12">
        <v>0</v>
      </c>
      <c r="AT16" s="12">
        <v>243</v>
      </c>
      <c r="AU16" s="12">
        <v>128.79000000000002</v>
      </c>
      <c r="AV16" s="12">
        <v>4158</v>
      </c>
      <c r="AW16" s="12">
        <v>4158</v>
      </c>
      <c r="AX16" s="12">
        <v>7125</v>
      </c>
      <c r="AY16" s="12">
        <v>10687.5</v>
      </c>
      <c r="AZ16" s="12">
        <v>1320</v>
      </c>
      <c r="BA16" s="12">
        <v>1716</v>
      </c>
    </row>
    <row r="17" spans="1:53" x14ac:dyDescent="0.3">
      <c r="A17" s="12" t="s">
        <v>74</v>
      </c>
      <c r="B17" s="16">
        <v>4214151</v>
      </c>
      <c r="C17" s="12" t="s">
        <v>102</v>
      </c>
      <c r="D17" s="12" t="s">
        <v>73</v>
      </c>
      <c r="E17" s="13">
        <v>0</v>
      </c>
      <c r="F17" s="12">
        <v>162</v>
      </c>
      <c r="G17" s="12">
        <v>85.86</v>
      </c>
      <c r="H17" s="12">
        <v>9008</v>
      </c>
      <c r="I17" s="12">
        <v>9008</v>
      </c>
      <c r="J17" s="12">
        <v>1890</v>
      </c>
      <c r="K17" s="12">
        <v>2835</v>
      </c>
      <c r="L17" s="12">
        <v>126</v>
      </c>
      <c r="M17" s="12">
        <v>163.80000000000001</v>
      </c>
      <c r="N17" s="12" t="s">
        <v>73</v>
      </c>
      <c r="O17" s="12">
        <v>0</v>
      </c>
      <c r="P17" s="12">
        <v>120</v>
      </c>
      <c r="Q17" s="12">
        <v>63.6</v>
      </c>
      <c r="R17" s="12">
        <v>3528</v>
      </c>
      <c r="S17" s="12">
        <v>3528</v>
      </c>
      <c r="T17" s="12">
        <v>1932</v>
      </c>
      <c r="U17" s="12">
        <v>2898</v>
      </c>
      <c r="V17" s="12">
        <v>360</v>
      </c>
      <c r="W17" s="12">
        <v>468</v>
      </c>
      <c r="X17" s="12" t="s">
        <v>73</v>
      </c>
      <c r="Y17" s="12">
        <v>0</v>
      </c>
      <c r="Z17" s="12">
        <v>114</v>
      </c>
      <c r="AA17" s="12">
        <v>60.42</v>
      </c>
      <c r="AB17" s="12">
        <v>4719</v>
      </c>
      <c r="AC17" s="12">
        <v>4719</v>
      </c>
      <c r="AD17" s="12">
        <v>1020</v>
      </c>
      <c r="AE17" s="12">
        <v>1530</v>
      </c>
      <c r="AF17" s="12">
        <v>800</v>
      </c>
      <c r="AG17" s="12">
        <v>1040</v>
      </c>
      <c r="AH17" s="12" t="s">
        <v>73</v>
      </c>
      <c r="AI17" s="12">
        <v>0</v>
      </c>
      <c r="AJ17" s="12">
        <v>200</v>
      </c>
      <c r="AK17" s="12">
        <v>106</v>
      </c>
      <c r="AL17" s="12">
        <v>7680</v>
      </c>
      <c r="AM17" s="12">
        <v>7680</v>
      </c>
      <c r="AN17" s="12">
        <v>3480</v>
      </c>
      <c r="AO17" s="12">
        <v>5220</v>
      </c>
      <c r="AP17" s="12">
        <v>540</v>
      </c>
      <c r="AQ17" s="12">
        <v>702</v>
      </c>
      <c r="AR17" s="12" t="s">
        <v>73</v>
      </c>
      <c r="AS17" s="12">
        <v>0</v>
      </c>
      <c r="AT17" s="12">
        <v>155</v>
      </c>
      <c r="AU17" s="12">
        <v>82.15</v>
      </c>
      <c r="AV17" s="12">
        <v>6210</v>
      </c>
      <c r="AW17" s="12">
        <v>6210</v>
      </c>
      <c r="AX17" s="12">
        <v>2745</v>
      </c>
      <c r="AY17" s="12">
        <v>4117.5</v>
      </c>
      <c r="AZ17" s="12">
        <v>1200</v>
      </c>
      <c r="BA17" s="12">
        <v>1560</v>
      </c>
    </row>
    <row r="18" spans="1:53" x14ac:dyDescent="0.3">
      <c r="A18" s="12" t="s">
        <v>74</v>
      </c>
      <c r="B18" s="16">
        <v>4215075</v>
      </c>
      <c r="C18" s="12" t="s">
        <v>104</v>
      </c>
      <c r="D18" s="12" t="s">
        <v>73</v>
      </c>
      <c r="E18" s="13">
        <v>0</v>
      </c>
      <c r="F18" s="12">
        <v>48</v>
      </c>
      <c r="G18" s="12">
        <v>25.44</v>
      </c>
      <c r="H18" s="12">
        <v>9000</v>
      </c>
      <c r="I18" s="12">
        <v>9000</v>
      </c>
      <c r="J18" s="12">
        <v>1656</v>
      </c>
      <c r="K18" s="12">
        <v>2484</v>
      </c>
      <c r="L18" s="12" t="s">
        <v>73</v>
      </c>
      <c r="M18" s="12">
        <v>0</v>
      </c>
      <c r="N18" s="12" t="s">
        <v>73</v>
      </c>
      <c r="O18" s="12">
        <v>0</v>
      </c>
      <c r="P18" s="12">
        <v>20</v>
      </c>
      <c r="Q18" s="12">
        <v>10.600000000000001</v>
      </c>
      <c r="R18" s="12">
        <v>1700</v>
      </c>
      <c r="S18" s="12">
        <v>1700</v>
      </c>
      <c r="T18" s="12">
        <v>1260</v>
      </c>
      <c r="U18" s="12">
        <v>1890</v>
      </c>
      <c r="V18" s="12">
        <v>189</v>
      </c>
      <c r="W18" s="12">
        <v>245.70000000000002</v>
      </c>
      <c r="X18" s="12" t="s">
        <v>73</v>
      </c>
      <c r="Y18" s="12">
        <v>0</v>
      </c>
      <c r="Z18" s="12">
        <v>48</v>
      </c>
      <c r="AA18" s="12">
        <v>25.44</v>
      </c>
      <c r="AB18" s="12">
        <v>7260</v>
      </c>
      <c r="AC18" s="12">
        <v>7260</v>
      </c>
      <c r="AD18" s="12">
        <v>990</v>
      </c>
      <c r="AE18" s="12">
        <v>1485</v>
      </c>
      <c r="AF18" s="12" t="s">
        <v>73</v>
      </c>
      <c r="AG18" s="12">
        <v>0</v>
      </c>
      <c r="AH18" s="12" t="s">
        <v>73</v>
      </c>
      <c r="AI18" s="12">
        <v>0</v>
      </c>
      <c r="AJ18" s="12">
        <v>24</v>
      </c>
      <c r="AK18" s="12">
        <v>12.72</v>
      </c>
      <c r="AL18" s="12">
        <v>5280</v>
      </c>
      <c r="AM18" s="12">
        <v>5280</v>
      </c>
      <c r="AN18" s="12">
        <v>2580</v>
      </c>
      <c r="AO18" s="12">
        <v>3870</v>
      </c>
      <c r="AP18" s="12">
        <v>105</v>
      </c>
      <c r="AQ18" s="12">
        <v>136.5</v>
      </c>
      <c r="AR18" s="12" t="s">
        <v>73</v>
      </c>
      <c r="AS18" s="12">
        <v>0</v>
      </c>
      <c r="AT18" s="12">
        <v>24</v>
      </c>
      <c r="AU18" s="12">
        <v>12.72</v>
      </c>
      <c r="AV18" s="12">
        <v>5520</v>
      </c>
      <c r="AW18" s="12">
        <v>5520</v>
      </c>
      <c r="AX18" s="12">
        <v>2310</v>
      </c>
      <c r="AY18" s="12">
        <v>3465</v>
      </c>
      <c r="AZ18" s="12">
        <v>330</v>
      </c>
      <c r="BA18" s="12">
        <v>429</v>
      </c>
    </row>
    <row r="19" spans="1:53" x14ac:dyDescent="0.3">
      <c r="A19" s="12" t="s">
        <v>74</v>
      </c>
      <c r="B19" s="16">
        <v>4215208</v>
      </c>
      <c r="C19" s="12" t="s">
        <v>106</v>
      </c>
      <c r="D19" s="12" t="s">
        <v>73</v>
      </c>
      <c r="E19" s="13">
        <v>0</v>
      </c>
      <c r="F19" s="12">
        <v>273</v>
      </c>
      <c r="G19" s="12">
        <v>144.69</v>
      </c>
      <c r="H19" s="12">
        <v>8625</v>
      </c>
      <c r="I19" s="12">
        <v>8625</v>
      </c>
      <c r="J19" s="12">
        <v>824</v>
      </c>
      <c r="K19" s="12">
        <v>1236</v>
      </c>
      <c r="L19" s="12">
        <v>63</v>
      </c>
      <c r="M19" s="12">
        <v>81.900000000000006</v>
      </c>
      <c r="N19" s="12" t="s">
        <v>73</v>
      </c>
      <c r="O19" s="12">
        <v>0</v>
      </c>
      <c r="P19" s="12">
        <v>147</v>
      </c>
      <c r="Q19" s="12">
        <v>77.910000000000011</v>
      </c>
      <c r="R19" s="12">
        <v>1821</v>
      </c>
      <c r="S19" s="12">
        <v>1821</v>
      </c>
      <c r="T19" s="12">
        <v>662</v>
      </c>
      <c r="U19" s="12">
        <v>993</v>
      </c>
      <c r="V19" s="12">
        <v>336</v>
      </c>
      <c r="W19" s="12">
        <v>436.8</v>
      </c>
      <c r="X19" s="12" t="s">
        <v>73</v>
      </c>
      <c r="Y19" s="12">
        <v>0</v>
      </c>
      <c r="Z19" s="12">
        <v>180</v>
      </c>
      <c r="AA19" s="12">
        <v>95.4</v>
      </c>
      <c r="AB19" s="12">
        <v>1923</v>
      </c>
      <c r="AC19" s="12">
        <v>1923</v>
      </c>
      <c r="AD19" s="12">
        <v>954</v>
      </c>
      <c r="AE19" s="12">
        <v>1431</v>
      </c>
      <c r="AF19" s="12">
        <v>360</v>
      </c>
      <c r="AG19" s="12">
        <v>468</v>
      </c>
      <c r="AH19" s="12" t="s">
        <v>73</v>
      </c>
      <c r="AI19" s="12">
        <v>0</v>
      </c>
      <c r="AJ19" s="12">
        <v>114</v>
      </c>
      <c r="AK19" s="12">
        <v>60.42</v>
      </c>
      <c r="AL19" s="12">
        <v>5280</v>
      </c>
      <c r="AM19" s="12">
        <v>5280</v>
      </c>
      <c r="AN19" s="12">
        <v>3300</v>
      </c>
      <c r="AO19" s="12">
        <v>4950</v>
      </c>
      <c r="AP19" s="12">
        <v>480</v>
      </c>
      <c r="AQ19" s="12">
        <v>624</v>
      </c>
      <c r="AR19" s="12" t="s">
        <v>73</v>
      </c>
      <c r="AS19" s="12">
        <v>0</v>
      </c>
      <c r="AT19" s="12">
        <v>57</v>
      </c>
      <c r="AU19" s="12">
        <v>30.21</v>
      </c>
      <c r="AV19" s="12">
        <v>4320</v>
      </c>
      <c r="AW19" s="12">
        <v>4320</v>
      </c>
      <c r="AX19" s="12">
        <v>3240</v>
      </c>
      <c r="AY19" s="12">
        <v>4860</v>
      </c>
      <c r="AZ19" s="12">
        <v>420</v>
      </c>
      <c r="BA19" s="12">
        <v>546</v>
      </c>
    </row>
    <row r="20" spans="1:53" x14ac:dyDescent="0.3">
      <c r="A20" s="12" t="s">
        <v>74</v>
      </c>
      <c r="B20" s="16">
        <v>4215554</v>
      </c>
      <c r="C20" s="12" t="s">
        <v>108</v>
      </c>
      <c r="D20" s="12" t="s">
        <v>73</v>
      </c>
      <c r="E20" s="13">
        <v>0</v>
      </c>
      <c r="F20" s="12">
        <v>180</v>
      </c>
      <c r="G20" s="12">
        <v>95.4</v>
      </c>
      <c r="H20" s="12">
        <v>5940</v>
      </c>
      <c r="I20" s="12">
        <v>5940</v>
      </c>
      <c r="J20" s="12">
        <v>1260</v>
      </c>
      <c r="K20" s="12">
        <v>1890</v>
      </c>
      <c r="L20" s="12">
        <v>100</v>
      </c>
      <c r="M20" s="12">
        <v>130</v>
      </c>
      <c r="N20" s="12" t="s">
        <v>73</v>
      </c>
      <c r="O20" s="12">
        <v>0</v>
      </c>
      <c r="P20" s="12">
        <v>180</v>
      </c>
      <c r="Q20" s="12">
        <v>95.4</v>
      </c>
      <c r="R20" s="12">
        <v>1352</v>
      </c>
      <c r="S20" s="12">
        <v>1352</v>
      </c>
      <c r="T20" s="12">
        <v>1260</v>
      </c>
      <c r="U20" s="12">
        <v>1890</v>
      </c>
      <c r="V20" s="12">
        <v>288</v>
      </c>
      <c r="W20" s="12">
        <v>374.40000000000003</v>
      </c>
      <c r="X20" s="12" t="s">
        <v>73</v>
      </c>
      <c r="Y20" s="12">
        <v>0</v>
      </c>
      <c r="Z20" s="12">
        <v>162</v>
      </c>
      <c r="AA20" s="12">
        <v>85.86</v>
      </c>
      <c r="AB20" s="12">
        <v>2790</v>
      </c>
      <c r="AC20" s="12">
        <v>2790</v>
      </c>
      <c r="AD20" s="12">
        <v>540</v>
      </c>
      <c r="AE20" s="12">
        <v>810</v>
      </c>
      <c r="AF20" s="12">
        <v>210</v>
      </c>
      <c r="AG20" s="12">
        <v>273</v>
      </c>
      <c r="AH20" s="12" t="s">
        <v>73</v>
      </c>
      <c r="AI20" s="12">
        <v>0</v>
      </c>
      <c r="AJ20" s="12">
        <v>84</v>
      </c>
      <c r="AK20" s="12">
        <v>44.52</v>
      </c>
      <c r="AL20" s="12">
        <v>5670</v>
      </c>
      <c r="AM20" s="12">
        <v>5670</v>
      </c>
      <c r="AN20" s="12">
        <v>1870</v>
      </c>
      <c r="AO20" s="12">
        <v>2805</v>
      </c>
      <c r="AP20" s="12">
        <v>192</v>
      </c>
      <c r="AQ20" s="12">
        <v>249.60000000000002</v>
      </c>
      <c r="AR20" s="12" t="s">
        <v>73</v>
      </c>
      <c r="AS20" s="12">
        <v>0</v>
      </c>
      <c r="AT20" s="12">
        <v>126</v>
      </c>
      <c r="AU20" s="12">
        <v>66.78</v>
      </c>
      <c r="AV20" s="12">
        <v>3150</v>
      </c>
      <c r="AW20" s="12">
        <v>3150</v>
      </c>
      <c r="AX20" s="12">
        <v>1884</v>
      </c>
      <c r="AY20" s="12">
        <v>2826</v>
      </c>
      <c r="AZ20" s="12">
        <v>720</v>
      </c>
      <c r="BA20" s="12">
        <v>936</v>
      </c>
    </row>
    <row r="21" spans="1:53" x14ac:dyDescent="0.3">
      <c r="A21" s="12" t="s">
        <v>74</v>
      </c>
      <c r="B21" s="16">
        <v>4216255</v>
      </c>
      <c r="C21" s="12" t="s">
        <v>110</v>
      </c>
      <c r="D21" s="12" t="s">
        <v>73</v>
      </c>
      <c r="E21" s="13">
        <v>0</v>
      </c>
      <c r="F21" s="12">
        <v>30</v>
      </c>
      <c r="G21" s="12">
        <v>15.9</v>
      </c>
      <c r="H21" s="12">
        <v>10851</v>
      </c>
      <c r="I21" s="12">
        <v>10851</v>
      </c>
      <c r="J21" s="12">
        <v>600</v>
      </c>
      <c r="K21" s="12">
        <v>900</v>
      </c>
      <c r="L21" s="12">
        <v>144</v>
      </c>
      <c r="M21" s="12">
        <v>187.20000000000002</v>
      </c>
      <c r="N21" s="12" t="s">
        <v>73</v>
      </c>
      <c r="O21" s="12">
        <v>0</v>
      </c>
      <c r="P21" s="12">
        <v>39</v>
      </c>
      <c r="Q21" s="12">
        <v>20.67</v>
      </c>
      <c r="R21" s="12">
        <v>2099</v>
      </c>
      <c r="S21" s="12">
        <v>2099</v>
      </c>
      <c r="T21" s="12">
        <v>356</v>
      </c>
      <c r="U21" s="12">
        <v>534</v>
      </c>
      <c r="V21" s="12">
        <v>15</v>
      </c>
      <c r="W21" s="12">
        <v>19.5</v>
      </c>
      <c r="X21" s="12" t="s">
        <v>73</v>
      </c>
      <c r="Y21" s="12">
        <v>0</v>
      </c>
      <c r="Z21" s="12">
        <v>16</v>
      </c>
      <c r="AA21" s="12">
        <v>8.48</v>
      </c>
      <c r="AB21" s="12">
        <v>5040</v>
      </c>
      <c r="AC21" s="12">
        <v>5040</v>
      </c>
      <c r="AD21" s="12">
        <v>660</v>
      </c>
      <c r="AE21" s="12">
        <v>990</v>
      </c>
      <c r="AF21" s="12">
        <v>240</v>
      </c>
      <c r="AG21" s="12">
        <v>312</v>
      </c>
      <c r="AH21" s="12" t="s">
        <v>73</v>
      </c>
      <c r="AI21" s="12">
        <v>0</v>
      </c>
      <c r="AJ21" s="12">
        <v>28</v>
      </c>
      <c r="AK21" s="12">
        <v>14.84</v>
      </c>
      <c r="AL21" s="12">
        <v>4860</v>
      </c>
      <c r="AM21" s="12">
        <v>4860</v>
      </c>
      <c r="AN21" s="12">
        <v>2460</v>
      </c>
      <c r="AO21" s="12">
        <v>3690</v>
      </c>
      <c r="AP21" s="12">
        <v>216</v>
      </c>
      <c r="AQ21" s="12">
        <v>280.8</v>
      </c>
      <c r="AR21" s="12" t="s">
        <v>73</v>
      </c>
      <c r="AS21" s="12">
        <v>0</v>
      </c>
      <c r="AT21" s="12">
        <v>17</v>
      </c>
      <c r="AU21" s="12">
        <v>9.01</v>
      </c>
      <c r="AV21" s="12">
        <v>4650</v>
      </c>
      <c r="AW21" s="12">
        <v>4650</v>
      </c>
      <c r="AX21" s="12">
        <v>3000</v>
      </c>
      <c r="AY21" s="12">
        <v>4500</v>
      </c>
      <c r="AZ21" s="12">
        <v>300</v>
      </c>
      <c r="BA21" s="12">
        <v>390</v>
      </c>
    </row>
    <row r="22" spans="1:53" x14ac:dyDescent="0.3">
      <c r="A22" s="12" t="s">
        <v>74</v>
      </c>
      <c r="B22" s="16">
        <v>4216701</v>
      </c>
      <c r="C22" s="12" t="s">
        <v>112</v>
      </c>
      <c r="D22" s="12" t="s">
        <v>73</v>
      </c>
      <c r="E22" s="13">
        <v>0</v>
      </c>
      <c r="F22" s="12">
        <v>590</v>
      </c>
      <c r="G22" s="12">
        <v>312.7</v>
      </c>
      <c r="H22" s="12">
        <v>34320</v>
      </c>
      <c r="I22" s="12">
        <v>34320</v>
      </c>
      <c r="J22" s="12">
        <v>12840</v>
      </c>
      <c r="K22" s="12">
        <v>19260</v>
      </c>
      <c r="L22" s="12">
        <v>780</v>
      </c>
      <c r="M22" s="12">
        <v>1014</v>
      </c>
      <c r="N22" s="12" t="s">
        <v>73</v>
      </c>
      <c r="O22" s="12">
        <v>0</v>
      </c>
      <c r="P22" s="12">
        <v>300</v>
      </c>
      <c r="Q22" s="12">
        <v>159</v>
      </c>
      <c r="R22" s="12">
        <v>10498</v>
      </c>
      <c r="S22" s="12">
        <v>10498</v>
      </c>
      <c r="T22" s="12">
        <v>8200</v>
      </c>
      <c r="U22" s="12">
        <v>12300</v>
      </c>
      <c r="V22" s="12">
        <v>2340</v>
      </c>
      <c r="W22" s="12">
        <v>3042</v>
      </c>
      <c r="X22" s="12" t="s">
        <v>73</v>
      </c>
      <c r="Y22" s="12">
        <v>0</v>
      </c>
      <c r="Z22" s="12">
        <v>510</v>
      </c>
      <c r="AA22" s="12">
        <v>270.3</v>
      </c>
      <c r="AB22" s="12">
        <v>12600</v>
      </c>
      <c r="AC22" s="12">
        <v>12600</v>
      </c>
      <c r="AD22" s="12">
        <v>4830</v>
      </c>
      <c r="AE22" s="12">
        <v>7245</v>
      </c>
      <c r="AF22" s="12">
        <v>1800</v>
      </c>
      <c r="AG22" s="12">
        <v>2340</v>
      </c>
      <c r="AH22" s="12" t="s">
        <v>73</v>
      </c>
      <c r="AI22" s="12">
        <v>0</v>
      </c>
      <c r="AJ22" s="12">
        <v>600</v>
      </c>
      <c r="AK22" s="12">
        <v>318</v>
      </c>
      <c r="AL22" s="12">
        <v>30000</v>
      </c>
      <c r="AM22" s="12">
        <v>30000</v>
      </c>
      <c r="AN22" s="12">
        <v>15240</v>
      </c>
      <c r="AO22" s="12">
        <v>22860</v>
      </c>
      <c r="AP22" s="12">
        <v>1800</v>
      </c>
      <c r="AQ22" s="12">
        <v>2340</v>
      </c>
      <c r="AR22" s="12" t="s">
        <v>73</v>
      </c>
      <c r="AS22" s="12">
        <v>0</v>
      </c>
      <c r="AT22" s="12">
        <v>798</v>
      </c>
      <c r="AU22" s="12">
        <v>422.94</v>
      </c>
      <c r="AV22" s="12">
        <v>22580</v>
      </c>
      <c r="AW22" s="12">
        <v>22580</v>
      </c>
      <c r="AX22" s="12">
        <v>13120</v>
      </c>
      <c r="AY22" s="12">
        <v>19680</v>
      </c>
      <c r="AZ22" s="12">
        <v>1800</v>
      </c>
      <c r="BA22" s="12">
        <v>2340</v>
      </c>
    </row>
    <row r="23" spans="1:53" x14ac:dyDescent="0.3">
      <c r="A23" s="12" t="s">
        <v>74</v>
      </c>
      <c r="B23" s="16">
        <v>4217204</v>
      </c>
      <c r="C23" s="12" t="s">
        <v>114</v>
      </c>
      <c r="D23" s="12" t="s">
        <v>73</v>
      </c>
      <c r="E23" s="13">
        <v>0</v>
      </c>
      <c r="F23" s="12">
        <v>163</v>
      </c>
      <c r="G23" s="12">
        <v>86.39</v>
      </c>
      <c r="H23" s="12">
        <v>19727</v>
      </c>
      <c r="I23" s="12">
        <v>19727</v>
      </c>
      <c r="J23" s="12">
        <v>2906</v>
      </c>
      <c r="K23" s="12">
        <v>4359</v>
      </c>
      <c r="L23" s="12">
        <v>600</v>
      </c>
      <c r="M23" s="12">
        <v>780</v>
      </c>
      <c r="N23" s="12" t="s">
        <v>73</v>
      </c>
      <c r="O23" s="12">
        <v>0</v>
      </c>
      <c r="P23" s="12">
        <v>66</v>
      </c>
      <c r="Q23" s="12">
        <v>34.980000000000004</v>
      </c>
      <c r="R23" s="12">
        <v>3206</v>
      </c>
      <c r="S23" s="12">
        <v>3206</v>
      </c>
      <c r="T23" s="12">
        <v>2079</v>
      </c>
      <c r="U23" s="12">
        <v>3118.5</v>
      </c>
      <c r="V23" s="12">
        <v>1350</v>
      </c>
      <c r="W23" s="12">
        <v>1755</v>
      </c>
      <c r="X23" s="12" t="s">
        <v>73</v>
      </c>
      <c r="Y23" s="12">
        <v>0</v>
      </c>
      <c r="Z23" s="12">
        <v>15</v>
      </c>
      <c r="AA23" s="12">
        <v>7.95</v>
      </c>
      <c r="AB23" s="12">
        <v>1836</v>
      </c>
      <c r="AC23" s="12">
        <v>1836</v>
      </c>
      <c r="AD23" s="12">
        <v>1080</v>
      </c>
      <c r="AE23" s="12">
        <v>1620</v>
      </c>
      <c r="AF23" s="12">
        <v>1650</v>
      </c>
      <c r="AG23" s="12">
        <v>2145</v>
      </c>
      <c r="AH23" s="12" t="s">
        <v>73</v>
      </c>
      <c r="AI23" s="12">
        <v>0</v>
      </c>
      <c r="AJ23" s="12">
        <v>36</v>
      </c>
      <c r="AK23" s="12">
        <v>19.080000000000002</v>
      </c>
      <c r="AL23" s="12">
        <v>14424</v>
      </c>
      <c r="AM23" s="12">
        <v>14424</v>
      </c>
      <c r="AN23" s="12">
        <v>3528</v>
      </c>
      <c r="AO23" s="12">
        <v>5292</v>
      </c>
      <c r="AP23" s="12">
        <v>1320</v>
      </c>
      <c r="AQ23" s="12">
        <v>1716</v>
      </c>
      <c r="AR23" s="12" t="s">
        <v>73</v>
      </c>
      <c r="AS23" s="12">
        <v>0</v>
      </c>
      <c r="AT23" s="12">
        <v>13</v>
      </c>
      <c r="AU23" s="12">
        <v>6.8900000000000006</v>
      </c>
      <c r="AV23" s="12">
        <v>5784</v>
      </c>
      <c r="AW23" s="12">
        <v>5784</v>
      </c>
      <c r="AX23" s="12">
        <v>5424</v>
      </c>
      <c r="AY23" s="12">
        <v>8136</v>
      </c>
      <c r="AZ23" s="12">
        <v>1800</v>
      </c>
      <c r="BA23" s="12">
        <v>2340</v>
      </c>
    </row>
    <row r="24" spans="1:53" x14ac:dyDescent="0.3">
      <c r="A24" s="12" t="s">
        <v>74</v>
      </c>
      <c r="B24" s="16">
        <v>4218756</v>
      </c>
      <c r="C24" s="12" t="s">
        <v>116</v>
      </c>
      <c r="D24" s="12" t="s">
        <v>73</v>
      </c>
      <c r="E24" s="13">
        <v>0</v>
      </c>
      <c r="F24" s="12">
        <v>30</v>
      </c>
      <c r="G24" s="12">
        <v>15.9</v>
      </c>
      <c r="H24" s="12">
        <v>7596</v>
      </c>
      <c r="I24" s="12">
        <v>7596</v>
      </c>
      <c r="J24" s="12">
        <v>1149</v>
      </c>
      <c r="K24" s="12">
        <v>1723.5</v>
      </c>
      <c r="L24" s="12">
        <v>230</v>
      </c>
      <c r="M24" s="12">
        <v>299</v>
      </c>
      <c r="N24" s="12" t="s">
        <v>73</v>
      </c>
      <c r="O24" s="12">
        <v>0</v>
      </c>
      <c r="P24" s="12">
        <v>10</v>
      </c>
      <c r="Q24" s="12">
        <v>5.3000000000000007</v>
      </c>
      <c r="R24" s="12">
        <v>2267</v>
      </c>
      <c r="S24" s="12">
        <v>2267</v>
      </c>
      <c r="T24" s="12">
        <v>695</v>
      </c>
      <c r="U24" s="12">
        <v>1042.5</v>
      </c>
      <c r="V24" s="12">
        <v>180</v>
      </c>
      <c r="W24" s="12">
        <v>234</v>
      </c>
      <c r="X24" s="12" t="s">
        <v>73</v>
      </c>
      <c r="Y24" s="12">
        <v>0</v>
      </c>
      <c r="Z24" s="12">
        <v>14</v>
      </c>
      <c r="AA24" s="12">
        <v>7.42</v>
      </c>
      <c r="AB24" s="12">
        <v>2925</v>
      </c>
      <c r="AC24" s="12">
        <v>2925</v>
      </c>
      <c r="AD24" s="12">
        <v>695</v>
      </c>
      <c r="AE24" s="12">
        <v>1042.5</v>
      </c>
      <c r="AF24" s="12">
        <v>900</v>
      </c>
      <c r="AG24" s="12">
        <v>1170</v>
      </c>
      <c r="AH24" s="12" t="s">
        <v>73</v>
      </c>
      <c r="AI24" s="12">
        <v>0</v>
      </c>
      <c r="AJ24" s="12">
        <v>20</v>
      </c>
      <c r="AK24" s="12">
        <v>10.600000000000001</v>
      </c>
      <c r="AL24" s="12">
        <v>4500</v>
      </c>
      <c r="AM24" s="12">
        <v>4500</v>
      </c>
      <c r="AN24" s="12">
        <v>4770</v>
      </c>
      <c r="AO24" s="12">
        <v>7155</v>
      </c>
      <c r="AP24" s="12">
        <v>1440</v>
      </c>
      <c r="AQ24" s="12">
        <v>1872</v>
      </c>
      <c r="AR24" s="12" t="s">
        <v>73</v>
      </c>
      <c r="AS24" s="12">
        <v>0</v>
      </c>
      <c r="AT24" s="12">
        <v>11</v>
      </c>
      <c r="AU24" s="12">
        <v>5.83</v>
      </c>
      <c r="AV24" s="12">
        <v>1500</v>
      </c>
      <c r="AW24" s="12">
        <v>1500</v>
      </c>
      <c r="AX24" s="12">
        <v>3620</v>
      </c>
      <c r="AY24" s="12">
        <v>5430</v>
      </c>
      <c r="AZ24" s="12">
        <v>840</v>
      </c>
      <c r="BA24" s="12">
        <v>1092</v>
      </c>
    </row>
    <row r="25" spans="1:53" x14ac:dyDescent="0.3">
      <c r="A25" s="12" t="s">
        <v>70</v>
      </c>
      <c r="B25" s="16">
        <v>42002</v>
      </c>
      <c r="C25" s="12" t="s">
        <v>118</v>
      </c>
      <c r="D25" s="12">
        <v>49</v>
      </c>
      <c r="E25" s="13">
        <v>58.8</v>
      </c>
      <c r="F25" s="12">
        <v>8259</v>
      </c>
      <c r="G25" s="12">
        <v>4377.2700000000004</v>
      </c>
      <c r="H25" s="12">
        <v>417674</v>
      </c>
      <c r="I25" s="12">
        <v>417674</v>
      </c>
      <c r="J25" s="12">
        <v>333682</v>
      </c>
      <c r="K25" s="12">
        <v>500523</v>
      </c>
      <c r="L25" s="12">
        <v>40305</v>
      </c>
      <c r="M25" s="12">
        <v>52396.5</v>
      </c>
      <c r="N25" s="12">
        <v>18</v>
      </c>
      <c r="O25" s="12">
        <v>21.599999999999998</v>
      </c>
      <c r="P25" s="12">
        <v>4588</v>
      </c>
      <c r="Q25" s="12">
        <v>2431.6400000000003</v>
      </c>
      <c r="R25" s="12">
        <v>170220</v>
      </c>
      <c r="S25" s="12">
        <v>170220</v>
      </c>
      <c r="T25" s="12">
        <v>297316</v>
      </c>
      <c r="U25" s="12">
        <v>445974</v>
      </c>
      <c r="V25" s="12">
        <v>76266</v>
      </c>
      <c r="W25" s="12">
        <v>99145.8</v>
      </c>
      <c r="X25" s="12">
        <v>18</v>
      </c>
      <c r="Y25" s="12">
        <v>21.599999999999998</v>
      </c>
      <c r="Z25" s="12">
        <v>12185</v>
      </c>
      <c r="AA25" s="12">
        <v>6458.05</v>
      </c>
      <c r="AB25" s="12">
        <v>246342</v>
      </c>
      <c r="AC25" s="12">
        <v>246342</v>
      </c>
      <c r="AD25" s="12">
        <v>195181</v>
      </c>
      <c r="AE25" s="12">
        <v>292771.5</v>
      </c>
      <c r="AF25" s="12">
        <v>95499</v>
      </c>
      <c r="AG25" s="12">
        <v>124148.7</v>
      </c>
      <c r="AH25" s="12">
        <v>24</v>
      </c>
      <c r="AI25" s="12">
        <v>28.799999999999997</v>
      </c>
      <c r="AJ25" s="12">
        <v>10657</v>
      </c>
      <c r="AK25" s="12">
        <v>5648.21</v>
      </c>
      <c r="AL25" s="12">
        <v>367300</v>
      </c>
      <c r="AM25" s="12">
        <v>367300</v>
      </c>
      <c r="AN25" s="12">
        <v>374394</v>
      </c>
      <c r="AO25" s="12">
        <v>561591</v>
      </c>
      <c r="AP25" s="12">
        <v>74305</v>
      </c>
      <c r="AQ25" s="12">
        <v>96596.5</v>
      </c>
      <c r="AR25" s="12">
        <v>24</v>
      </c>
      <c r="AS25" s="12">
        <v>28.799999999999997</v>
      </c>
      <c r="AT25" s="12">
        <v>13352</v>
      </c>
      <c r="AU25" s="12">
        <v>7076.56</v>
      </c>
      <c r="AV25" s="12">
        <v>256103</v>
      </c>
      <c r="AW25" s="12">
        <v>256103</v>
      </c>
      <c r="AX25" s="12">
        <v>380941</v>
      </c>
      <c r="AY25" s="12">
        <v>571411.5</v>
      </c>
      <c r="AZ25" s="12">
        <v>114085</v>
      </c>
      <c r="BA25" s="12">
        <v>148310.5</v>
      </c>
    </row>
    <row r="26" spans="1:53" x14ac:dyDescent="0.3">
      <c r="A26" s="12" t="s">
        <v>74</v>
      </c>
      <c r="B26" s="16">
        <v>4200507</v>
      </c>
      <c r="C26" s="12" t="s">
        <v>120</v>
      </c>
      <c r="D26" s="12" t="s">
        <v>73</v>
      </c>
      <c r="E26" s="13">
        <v>0</v>
      </c>
      <c r="F26" s="12">
        <v>54</v>
      </c>
      <c r="G26" s="12">
        <v>28.62</v>
      </c>
      <c r="H26" s="12">
        <v>10080</v>
      </c>
      <c r="I26" s="12">
        <v>10080</v>
      </c>
      <c r="J26" s="12">
        <v>2280</v>
      </c>
      <c r="K26" s="12">
        <v>3420</v>
      </c>
      <c r="L26" s="12">
        <v>1320</v>
      </c>
      <c r="M26" s="12">
        <v>1716</v>
      </c>
      <c r="N26" s="12" t="s">
        <v>73</v>
      </c>
      <c r="O26" s="12">
        <v>0</v>
      </c>
      <c r="P26" s="12">
        <v>120</v>
      </c>
      <c r="Q26" s="12">
        <v>63.6</v>
      </c>
      <c r="R26" s="12">
        <v>1764</v>
      </c>
      <c r="S26" s="12">
        <v>1764</v>
      </c>
      <c r="T26" s="12">
        <v>4410</v>
      </c>
      <c r="U26" s="12">
        <v>6615</v>
      </c>
      <c r="V26" s="12">
        <v>1620</v>
      </c>
      <c r="W26" s="12">
        <v>2106</v>
      </c>
      <c r="X26" s="12" t="s">
        <v>73</v>
      </c>
      <c r="Y26" s="12">
        <v>0</v>
      </c>
      <c r="Z26" s="12">
        <v>60</v>
      </c>
      <c r="AA26" s="12">
        <v>31.8</v>
      </c>
      <c r="AB26" s="12">
        <v>6200</v>
      </c>
      <c r="AC26" s="12">
        <v>6200</v>
      </c>
      <c r="AD26" s="12">
        <v>3330</v>
      </c>
      <c r="AE26" s="12">
        <v>4995</v>
      </c>
      <c r="AF26" s="12">
        <v>1680</v>
      </c>
      <c r="AG26" s="12">
        <v>2184</v>
      </c>
      <c r="AH26" s="12" t="s">
        <v>73</v>
      </c>
      <c r="AI26" s="12">
        <v>0</v>
      </c>
      <c r="AJ26" s="12">
        <v>84</v>
      </c>
      <c r="AK26" s="12">
        <v>44.52</v>
      </c>
      <c r="AL26" s="12">
        <v>4800</v>
      </c>
      <c r="AM26" s="12">
        <v>4800</v>
      </c>
      <c r="AN26" s="12">
        <v>4690</v>
      </c>
      <c r="AO26" s="12">
        <v>7035</v>
      </c>
      <c r="AP26" s="12">
        <v>2100</v>
      </c>
      <c r="AQ26" s="12">
        <v>2730</v>
      </c>
      <c r="AR26" s="12" t="s">
        <v>73</v>
      </c>
      <c r="AS26" s="12">
        <v>0</v>
      </c>
      <c r="AT26" s="12">
        <v>36</v>
      </c>
      <c r="AU26" s="12">
        <v>19.080000000000002</v>
      </c>
      <c r="AV26" s="12">
        <v>2800</v>
      </c>
      <c r="AW26" s="12">
        <v>2800</v>
      </c>
      <c r="AX26" s="12">
        <v>3336</v>
      </c>
      <c r="AY26" s="12">
        <v>5004</v>
      </c>
      <c r="AZ26" s="12">
        <v>1620</v>
      </c>
      <c r="BA26" s="12">
        <v>2106</v>
      </c>
    </row>
    <row r="27" spans="1:53" x14ac:dyDescent="0.3">
      <c r="A27" s="12" t="s">
        <v>74</v>
      </c>
      <c r="B27" s="16">
        <v>4200556</v>
      </c>
      <c r="C27" s="12" t="s">
        <v>122</v>
      </c>
      <c r="D27" s="12" t="s">
        <v>73</v>
      </c>
      <c r="E27" s="13">
        <v>0</v>
      </c>
      <c r="F27" s="12">
        <v>72</v>
      </c>
      <c r="G27" s="12">
        <v>38.160000000000004</v>
      </c>
      <c r="H27" s="12">
        <v>5760</v>
      </c>
      <c r="I27" s="12">
        <v>5760</v>
      </c>
      <c r="J27" s="12">
        <v>2940</v>
      </c>
      <c r="K27" s="12">
        <v>4410</v>
      </c>
      <c r="L27" s="12">
        <v>420</v>
      </c>
      <c r="M27" s="12">
        <v>546</v>
      </c>
      <c r="N27" s="12" t="s">
        <v>73</v>
      </c>
      <c r="O27" s="12">
        <v>0</v>
      </c>
      <c r="P27" s="12">
        <v>21</v>
      </c>
      <c r="Q27" s="12">
        <v>11.13</v>
      </c>
      <c r="R27" s="12">
        <v>900</v>
      </c>
      <c r="S27" s="12">
        <v>900</v>
      </c>
      <c r="T27" s="12">
        <v>1230</v>
      </c>
      <c r="U27" s="12">
        <v>1845</v>
      </c>
      <c r="V27" s="12">
        <v>1050</v>
      </c>
      <c r="W27" s="12">
        <v>1365</v>
      </c>
      <c r="X27" s="12" t="s">
        <v>73</v>
      </c>
      <c r="Y27" s="12">
        <v>0</v>
      </c>
      <c r="Z27" s="12">
        <v>45</v>
      </c>
      <c r="AA27" s="12">
        <v>23.85</v>
      </c>
      <c r="AB27" s="12">
        <v>4050</v>
      </c>
      <c r="AC27" s="12">
        <v>4050</v>
      </c>
      <c r="AD27" s="12">
        <v>1494</v>
      </c>
      <c r="AE27" s="12">
        <v>2241</v>
      </c>
      <c r="AF27" s="12">
        <v>945</v>
      </c>
      <c r="AG27" s="12">
        <v>1228.5</v>
      </c>
      <c r="AH27" s="12" t="s">
        <v>73</v>
      </c>
      <c r="AI27" s="12">
        <v>0</v>
      </c>
      <c r="AJ27" s="12">
        <v>35</v>
      </c>
      <c r="AK27" s="12">
        <v>18.55</v>
      </c>
      <c r="AL27" s="12">
        <v>6156</v>
      </c>
      <c r="AM27" s="12">
        <v>6156</v>
      </c>
      <c r="AN27" s="12">
        <v>2763</v>
      </c>
      <c r="AO27" s="12">
        <v>4144.5</v>
      </c>
      <c r="AP27" s="12">
        <v>675</v>
      </c>
      <c r="AQ27" s="12">
        <v>877.5</v>
      </c>
      <c r="AR27" s="12" t="s">
        <v>73</v>
      </c>
      <c r="AS27" s="12">
        <v>0</v>
      </c>
      <c r="AT27" s="12">
        <v>39</v>
      </c>
      <c r="AU27" s="12">
        <v>20.67</v>
      </c>
      <c r="AV27" s="12">
        <v>5016</v>
      </c>
      <c r="AW27" s="12">
        <v>5016</v>
      </c>
      <c r="AX27" s="12">
        <v>2820</v>
      </c>
      <c r="AY27" s="12">
        <v>4230</v>
      </c>
      <c r="AZ27" s="12">
        <v>1088</v>
      </c>
      <c r="BA27" s="12">
        <v>1414.4</v>
      </c>
    </row>
    <row r="28" spans="1:53" x14ac:dyDescent="0.3">
      <c r="A28" s="12" t="s">
        <v>74</v>
      </c>
      <c r="B28" s="16">
        <v>4202578</v>
      </c>
      <c r="C28" s="12" t="s">
        <v>124</v>
      </c>
      <c r="D28" s="12" t="s">
        <v>73</v>
      </c>
      <c r="E28" s="13">
        <v>0</v>
      </c>
      <c r="F28" s="12" t="s">
        <v>73</v>
      </c>
      <c r="G28" s="12">
        <v>0</v>
      </c>
      <c r="H28" s="12">
        <v>2700</v>
      </c>
      <c r="I28" s="12">
        <v>2700</v>
      </c>
      <c r="J28" s="12">
        <v>7800</v>
      </c>
      <c r="K28" s="12">
        <v>11700</v>
      </c>
      <c r="L28" s="12">
        <v>2145</v>
      </c>
      <c r="M28" s="12">
        <v>2788.5</v>
      </c>
      <c r="N28" s="12" t="s">
        <v>73</v>
      </c>
      <c r="O28" s="12">
        <v>0</v>
      </c>
      <c r="P28" s="12" t="s">
        <v>73</v>
      </c>
      <c r="Q28" s="12">
        <v>0</v>
      </c>
      <c r="R28" s="12">
        <v>2790</v>
      </c>
      <c r="S28" s="12">
        <v>2790</v>
      </c>
      <c r="T28" s="12">
        <v>5700</v>
      </c>
      <c r="U28" s="12">
        <v>8550</v>
      </c>
      <c r="V28" s="12">
        <v>3300</v>
      </c>
      <c r="W28" s="12">
        <v>4290</v>
      </c>
      <c r="X28" s="12" t="s">
        <v>73</v>
      </c>
      <c r="Y28" s="12">
        <v>0</v>
      </c>
      <c r="Z28" s="12" t="s">
        <v>73</v>
      </c>
      <c r="AA28" s="12">
        <v>0</v>
      </c>
      <c r="AB28" s="12">
        <v>2400</v>
      </c>
      <c r="AC28" s="12">
        <v>2400</v>
      </c>
      <c r="AD28" s="12">
        <v>5520</v>
      </c>
      <c r="AE28" s="12">
        <v>8280</v>
      </c>
      <c r="AF28" s="12">
        <v>3000</v>
      </c>
      <c r="AG28" s="12">
        <v>3900</v>
      </c>
      <c r="AH28" s="12" t="s">
        <v>73</v>
      </c>
      <c r="AI28" s="12">
        <v>0</v>
      </c>
      <c r="AJ28" s="12" t="s">
        <v>73</v>
      </c>
      <c r="AK28" s="12">
        <v>0</v>
      </c>
      <c r="AL28" s="12">
        <v>4680</v>
      </c>
      <c r="AM28" s="12">
        <v>4680</v>
      </c>
      <c r="AN28" s="12">
        <v>8070</v>
      </c>
      <c r="AO28" s="12">
        <v>12105</v>
      </c>
      <c r="AP28" s="12">
        <v>1920</v>
      </c>
      <c r="AQ28" s="12">
        <v>2496</v>
      </c>
      <c r="AR28" s="12" t="s">
        <v>73</v>
      </c>
      <c r="AS28" s="12">
        <v>0</v>
      </c>
      <c r="AT28" s="12" t="s">
        <v>73</v>
      </c>
      <c r="AU28" s="12">
        <v>0</v>
      </c>
      <c r="AV28" s="12">
        <v>4320</v>
      </c>
      <c r="AW28" s="12">
        <v>4320</v>
      </c>
      <c r="AX28" s="12">
        <v>6750</v>
      </c>
      <c r="AY28" s="12">
        <v>10125</v>
      </c>
      <c r="AZ28" s="12">
        <v>3960</v>
      </c>
      <c r="BA28" s="12">
        <v>5148</v>
      </c>
    </row>
    <row r="29" spans="1:53" x14ac:dyDescent="0.3">
      <c r="A29" s="12" t="s">
        <v>74</v>
      </c>
      <c r="B29" s="16">
        <v>4203105</v>
      </c>
      <c r="C29" s="12" t="s">
        <v>126</v>
      </c>
      <c r="D29" s="12" t="s">
        <v>73</v>
      </c>
      <c r="E29" s="13">
        <v>0</v>
      </c>
      <c r="F29" s="12">
        <v>48</v>
      </c>
      <c r="G29" s="12">
        <v>25.44</v>
      </c>
      <c r="H29" s="12">
        <v>9000</v>
      </c>
      <c r="I29" s="12">
        <v>9000</v>
      </c>
      <c r="J29" s="12">
        <v>3480</v>
      </c>
      <c r="K29" s="12">
        <v>5220</v>
      </c>
      <c r="L29" s="12">
        <v>600</v>
      </c>
      <c r="M29" s="12">
        <v>780</v>
      </c>
      <c r="N29" s="12" t="s">
        <v>73</v>
      </c>
      <c r="O29" s="12">
        <v>0</v>
      </c>
      <c r="P29" s="12">
        <v>10</v>
      </c>
      <c r="Q29" s="12">
        <v>5.3000000000000007</v>
      </c>
      <c r="R29" s="12">
        <v>2100</v>
      </c>
      <c r="S29" s="12">
        <v>2100</v>
      </c>
      <c r="T29" s="12">
        <v>2640</v>
      </c>
      <c r="U29" s="12">
        <v>3960</v>
      </c>
      <c r="V29" s="12">
        <v>900</v>
      </c>
      <c r="W29" s="12">
        <v>1170</v>
      </c>
      <c r="X29" s="12" t="s">
        <v>73</v>
      </c>
      <c r="Y29" s="12">
        <v>0</v>
      </c>
      <c r="Z29" s="12">
        <v>6</v>
      </c>
      <c r="AA29" s="12">
        <v>3.18</v>
      </c>
      <c r="AB29" s="12">
        <v>6000</v>
      </c>
      <c r="AC29" s="12">
        <v>6000</v>
      </c>
      <c r="AD29" s="12">
        <v>1260</v>
      </c>
      <c r="AE29" s="12">
        <v>1890</v>
      </c>
      <c r="AF29" s="12">
        <v>640</v>
      </c>
      <c r="AG29" s="12">
        <v>832</v>
      </c>
      <c r="AH29" s="12" t="s">
        <v>73</v>
      </c>
      <c r="AI29" s="12">
        <v>0</v>
      </c>
      <c r="AJ29" s="12">
        <v>8</v>
      </c>
      <c r="AK29" s="12">
        <v>4.24</v>
      </c>
      <c r="AL29" s="12">
        <v>6860</v>
      </c>
      <c r="AM29" s="12">
        <v>6860</v>
      </c>
      <c r="AN29" s="12">
        <v>2900</v>
      </c>
      <c r="AO29" s="12">
        <v>4350</v>
      </c>
      <c r="AP29" s="12">
        <v>240</v>
      </c>
      <c r="AQ29" s="12">
        <v>312</v>
      </c>
      <c r="AR29" s="12" t="s">
        <v>73</v>
      </c>
      <c r="AS29" s="12">
        <v>0</v>
      </c>
      <c r="AT29" s="12">
        <v>8</v>
      </c>
      <c r="AU29" s="12">
        <v>4.24</v>
      </c>
      <c r="AV29" s="12">
        <v>6000</v>
      </c>
      <c r="AW29" s="12">
        <v>6000</v>
      </c>
      <c r="AX29" s="12">
        <v>2580</v>
      </c>
      <c r="AY29" s="12">
        <v>3870</v>
      </c>
      <c r="AZ29" s="12">
        <v>720</v>
      </c>
      <c r="BA29" s="12">
        <v>936</v>
      </c>
    </row>
    <row r="30" spans="1:53" x14ac:dyDescent="0.3">
      <c r="A30" s="12" t="s">
        <v>74</v>
      </c>
      <c r="B30" s="16">
        <v>4203501</v>
      </c>
      <c r="C30" s="12" t="s">
        <v>128</v>
      </c>
      <c r="D30" s="12" t="s">
        <v>73</v>
      </c>
      <c r="E30" s="13">
        <v>0</v>
      </c>
      <c r="F30" s="12">
        <v>1953</v>
      </c>
      <c r="G30" s="12">
        <v>1035.0900000000001</v>
      </c>
      <c r="H30" s="12">
        <v>40320</v>
      </c>
      <c r="I30" s="12">
        <v>40320</v>
      </c>
      <c r="J30" s="12">
        <v>86040</v>
      </c>
      <c r="K30" s="12">
        <v>129060</v>
      </c>
      <c r="L30" s="12">
        <v>4050</v>
      </c>
      <c r="M30" s="12">
        <v>5265</v>
      </c>
      <c r="N30" s="12" t="s">
        <v>73</v>
      </c>
      <c r="O30" s="12">
        <v>0</v>
      </c>
      <c r="P30" s="12">
        <v>996</v>
      </c>
      <c r="Q30" s="12">
        <v>527.88</v>
      </c>
      <c r="R30" s="12">
        <v>14700</v>
      </c>
      <c r="S30" s="12">
        <v>14700</v>
      </c>
      <c r="T30" s="12">
        <v>79800</v>
      </c>
      <c r="U30" s="12">
        <v>119700</v>
      </c>
      <c r="V30" s="12">
        <v>4320</v>
      </c>
      <c r="W30" s="12">
        <v>5616</v>
      </c>
      <c r="X30" s="12" t="s">
        <v>73</v>
      </c>
      <c r="Y30" s="12">
        <v>0</v>
      </c>
      <c r="Z30" s="12">
        <v>6480</v>
      </c>
      <c r="AA30" s="12">
        <v>3434.4</v>
      </c>
      <c r="AB30" s="12">
        <v>19440</v>
      </c>
      <c r="AC30" s="12">
        <v>19440</v>
      </c>
      <c r="AD30" s="12">
        <v>49200</v>
      </c>
      <c r="AE30" s="12">
        <v>73800</v>
      </c>
      <c r="AF30" s="12">
        <v>8550</v>
      </c>
      <c r="AG30" s="12">
        <v>11115</v>
      </c>
      <c r="AH30" s="12" t="s">
        <v>73</v>
      </c>
      <c r="AI30" s="12">
        <v>0</v>
      </c>
      <c r="AJ30" s="12">
        <v>4320</v>
      </c>
      <c r="AK30" s="12">
        <v>2289.6</v>
      </c>
      <c r="AL30" s="12">
        <v>29400</v>
      </c>
      <c r="AM30" s="12">
        <v>29400</v>
      </c>
      <c r="AN30" s="12">
        <v>66480</v>
      </c>
      <c r="AO30" s="12">
        <v>99720</v>
      </c>
      <c r="AP30" s="12">
        <v>5600</v>
      </c>
      <c r="AQ30" s="12">
        <v>7280</v>
      </c>
      <c r="AR30" s="12" t="s">
        <v>73</v>
      </c>
      <c r="AS30" s="12">
        <v>0</v>
      </c>
      <c r="AT30" s="12">
        <v>7500</v>
      </c>
      <c r="AU30" s="12">
        <v>3975</v>
      </c>
      <c r="AV30" s="12">
        <v>18000</v>
      </c>
      <c r="AW30" s="12">
        <v>18000</v>
      </c>
      <c r="AX30" s="12">
        <v>78400</v>
      </c>
      <c r="AY30" s="12">
        <v>117600</v>
      </c>
      <c r="AZ30" s="12">
        <v>10800</v>
      </c>
      <c r="BA30" s="12">
        <v>14040</v>
      </c>
    </row>
    <row r="31" spans="1:53" x14ac:dyDescent="0.3">
      <c r="A31" s="12" t="s">
        <v>74</v>
      </c>
      <c r="B31" s="16">
        <v>4204103</v>
      </c>
      <c r="C31" s="12" t="s">
        <v>130</v>
      </c>
      <c r="D31" s="12" t="s">
        <v>73</v>
      </c>
      <c r="E31" s="13">
        <v>0</v>
      </c>
      <c r="F31" s="12">
        <v>200</v>
      </c>
      <c r="G31" s="12">
        <v>106</v>
      </c>
      <c r="H31" s="12">
        <v>27000</v>
      </c>
      <c r="I31" s="12">
        <v>27000</v>
      </c>
      <c r="J31" s="12">
        <v>11330</v>
      </c>
      <c r="K31" s="12">
        <v>16995</v>
      </c>
      <c r="L31" s="12">
        <v>2700</v>
      </c>
      <c r="M31" s="12">
        <v>3510</v>
      </c>
      <c r="N31" s="12" t="s">
        <v>73</v>
      </c>
      <c r="O31" s="12">
        <v>0</v>
      </c>
      <c r="P31" s="12" t="s">
        <v>73</v>
      </c>
      <c r="Q31" s="12">
        <v>0</v>
      </c>
      <c r="R31" s="12">
        <v>4800</v>
      </c>
      <c r="S31" s="12">
        <v>4800</v>
      </c>
      <c r="T31" s="12">
        <v>9470</v>
      </c>
      <c r="U31" s="12">
        <v>14205</v>
      </c>
      <c r="V31" s="12">
        <v>5610</v>
      </c>
      <c r="W31" s="12">
        <v>7293</v>
      </c>
      <c r="X31" s="12" t="s">
        <v>73</v>
      </c>
      <c r="Y31" s="12">
        <v>0</v>
      </c>
      <c r="Z31" s="12">
        <v>12</v>
      </c>
      <c r="AA31" s="12">
        <v>6.36</v>
      </c>
      <c r="AB31" s="12">
        <v>20160</v>
      </c>
      <c r="AC31" s="12">
        <v>20160</v>
      </c>
      <c r="AD31" s="12">
        <v>6380</v>
      </c>
      <c r="AE31" s="12">
        <v>9570</v>
      </c>
      <c r="AF31" s="12">
        <v>6600</v>
      </c>
      <c r="AG31" s="12">
        <v>8580</v>
      </c>
      <c r="AH31" s="12" t="s">
        <v>73</v>
      </c>
      <c r="AI31" s="12">
        <v>0</v>
      </c>
      <c r="AJ31" s="12">
        <v>9</v>
      </c>
      <c r="AK31" s="12">
        <v>4.7700000000000005</v>
      </c>
      <c r="AL31" s="12">
        <v>19080</v>
      </c>
      <c r="AM31" s="12">
        <v>19080</v>
      </c>
      <c r="AN31" s="12">
        <v>13290</v>
      </c>
      <c r="AO31" s="12">
        <v>19935</v>
      </c>
      <c r="AP31" s="12">
        <v>5040</v>
      </c>
      <c r="AQ31" s="12">
        <v>6552</v>
      </c>
      <c r="AR31" s="12" t="s">
        <v>73</v>
      </c>
      <c r="AS31" s="12">
        <v>0</v>
      </c>
      <c r="AT31" s="12">
        <v>9</v>
      </c>
      <c r="AU31" s="12">
        <v>4.7700000000000005</v>
      </c>
      <c r="AV31" s="12">
        <v>16080</v>
      </c>
      <c r="AW31" s="12">
        <v>16080</v>
      </c>
      <c r="AX31" s="12">
        <v>13500</v>
      </c>
      <c r="AY31" s="12">
        <v>20250</v>
      </c>
      <c r="AZ31" s="12">
        <v>5400</v>
      </c>
      <c r="BA31" s="12">
        <v>7020</v>
      </c>
    </row>
    <row r="32" spans="1:53" x14ac:dyDescent="0.3">
      <c r="A32" s="12" t="s">
        <v>74</v>
      </c>
      <c r="B32" s="16">
        <v>4204202</v>
      </c>
      <c r="C32" s="12" t="s">
        <v>132</v>
      </c>
      <c r="D32" s="12" t="s">
        <v>73</v>
      </c>
      <c r="E32" s="13">
        <v>0</v>
      </c>
      <c r="F32" s="12">
        <v>1824</v>
      </c>
      <c r="G32" s="12">
        <v>966.72</v>
      </c>
      <c r="H32" s="12">
        <v>32634</v>
      </c>
      <c r="I32" s="12">
        <v>32634</v>
      </c>
      <c r="J32" s="12">
        <v>37800</v>
      </c>
      <c r="K32" s="12">
        <v>56700</v>
      </c>
      <c r="L32" s="12">
        <v>4480</v>
      </c>
      <c r="M32" s="12">
        <v>5824</v>
      </c>
      <c r="N32" s="12" t="s">
        <v>73</v>
      </c>
      <c r="O32" s="12">
        <v>0</v>
      </c>
      <c r="P32" s="12">
        <v>820</v>
      </c>
      <c r="Q32" s="12">
        <v>434.6</v>
      </c>
      <c r="R32" s="12">
        <v>23675</v>
      </c>
      <c r="S32" s="12">
        <v>23675</v>
      </c>
      <c r="T32" s="12">
        <v>38850</v>
      </c>
      <c r="U32" s="12">
        <v>58275</v>
      </c>
      <c r="V32" s="12">
        <v>7000</v>
      </c>
      <c r="W32" s="12">
        <v>9100</v>
      </c>
      <c r="X32" s="12" t="s">
        <v>73</v>
      </c>
      <c r="Y32" s="12">
        <v>0</v>
      </c>
      <c r="Z32" s="12">
        <v>1134</v>
      </c>
      <c r="AA32" s="12">
        <v>601.02</v>
      </c>
      <c r="AB32" s="12">
        <v>23674</v>
      </c>
      <c r="AC32" s="12">
        <v>23674</v>
      </c>
      <c r="AD32" s="12">
        <v>22896</v>
      </c>
      <c r="AE32" s="12">
        <v>34344</v>
      </c>
      <c r="AF32" s="12">
        <v>8120</v>
      </c>
      <c r="AG32" s="12">
        <v>10556</v>
      </c>
      <c r="AH32" s="12" t="s">
        <v>73</v>
      </c>
      <c r="AI32" s="12">
        <v>0</v>
      </c>
      <c r="AJ32" s="12">
        <v>1011</v>
      </c>
      <c r="AK32" s="12">
        <v>535.83000000000004</v>
      </c>
      <c r="AL32" s="12">
        <v>34650</v>
      </c>
      <c r="AM32" s="12">
        <v>34650</v>
      </c>
      <c r="AN32" s="12">
        <v>55250</v>
      </c>
      <c r="AO32" s="12">
        <v>82875</v>
      </c>
      <c r="AP32" s="12">
        <v>8320</v>
      </c>
      <c r="AQ32" s="12">
        <v>10816</v>
      </c>
      <c r="AR32" s="12" t="s">
        <v>73</v>
      </c>
      <c r="AS32" s="12">
        <v>0</v>
      </c>
      <c r="AT32" s="12">
        <v>810</v>
      </c>
      <c r="AU32" s="12">
        <v>429.3</v>
      </c>
      <c r="AV32" s="12">
        <v>33540</v>
      </c>
      <c r="AW32" s="12">
        <v>33540</v>
      </c>
      <c r="AX32" s="12">
        <v>41040</v>
      </c>
      <c r="AY32" s="12">
        <v>61560</v>
      </c>
      <c r="AZ32" s="12">
        <v>12210</v>
      </c>
      <c r="BA32" s="12">
        <v>15873</v>
      </c>
    </row>
    <row r="33" spans="1:53" x14ac:dyDescent="0.3">
      <c r="A33" s="12" t="s">
        <v>74</v>
      </c>
      <c r="B33" s="16">
        <v>4204350</v>
      </c>
      <c r="C33" s="12" t="s">
        <v>134</v>
      </c>
      <c r="D33" s="12" t="s">
        <v>73</v>
      </c>
      <c r="E33" s="13">
        <v>0</v>
      </c>
      <c r="F33" s="12">
        <v>18</v>
      </c>
      <c r="G33" s="12">
        <v>9.5400000000000009</v>
      </c>
      <c r="H33" s="12">
        <v>930</v>
      </c>
      <c r="I33" s="12">
        <v>930</v>
      </c>
      <c r="J33" s="12">
        <v>870</v>
      </c>
      <c r="K33" s="12">
        <v>1305</v>
      </c>
      <c r="L33" s="12">
        <v>270</v>
      </c>
      <c r="M33" s="12">
        <v>351</v>
      </c>
      <c r="N33" s="12" t="s">
        <v>73</v>
      </c>
      <c r="O33" s="12">
        <v>0</v>
      </c>
      <c r="P33" s="12">
        <v>63</v>
      </c>
      <c r="Q33" s="12">
        <v>33.39</v>
      </c>
      <c r="R33" s="12">
        <v>1188</v>
      </c>
      <c r="S33" s="12">
        <v>1188</v>
      </c>
      <c r="T33" s="12">
        <v>1110</v>
      </c>
      <c r="U33" s="12">
        <v>1665</v>
      </c>
      <c r="V33" s="12">
        <v>190</v>
      </c>
      <c r="W33" s="12">
        <v>247</v>
      </c>
      <c r="X33" s="12" t="s">
        <v>73</v>
      </c>
      <c r="Y33" s="12">
        <v>0</v>
      </c>
      <c r="Z33" s="12">
        <v>28</v>
      </c>
      <c r="AA33" s="12">
        <v>14.84</v>
      </c>
      <c r="AB33" s="12">
        <v>800</v>
      </c>
      <c r="AC33" s="12">
        <v>800</v>
      </c>
      <c r="AD33" s="12">
        <v>780</v>
      </c>
      <c r="AE33" s="12">
        <v>1170</v>
      </c>
      <c r="AF33" s="12">
        <v>300</v>
      </c>
      <c r="AG33" s="12">
        <v>390</v>
      </c>
      <c r="AH33" s="12" t="s">
        <v>73</v>
      </c>
      <c r="AI33" s="12">
        <v>0</v>
      </c>
      <c r="AJ33" s="12">
        <v>39</v>
      </c>
      <c r="AK33" s="12">
        <v>20.67</v>
      </c>
      <c r="AL33" s="12">
        <v>1596</v>
      </c>
      <c r="AM33" s="12">
        <v>1596</v>
      </c>
      <c r="AN33" s="12">
        <v>880</v>
      </c>
      <c r="AO33" s="12">
        <v>1320</v>
      </c>
      <c r="AP33" s="12">
        <v>260</v>
      </c>
      <c r="AQ33" s="12">
        <v>338</v>
      </c>
      <c r="AR33" s="12" t="s">
        <v>73</v>
      </c>
      <c r="AS33" s="12">
        <v>0</v>
      </c>
      <c r="AT33" s="12">
        <v>43</v>
      </c>
      <c r="AU33" s="12">
        <v>22.790000000000003</v>
      </c>
      <c r="AV33" s="12">
        <v>1215</v>
      </c>
      <c r="AW33" s="12">
        <v>1215</v>
      </c>
      <c r="AX33" s="12">
        <v>1125</v>
      </c>
      <c r="AY33" s="12">
        <v>1687.5</v>
      </c>
      <c r="AZ33" s="12">
        <v>330</v>
      </c>
      <c r="BA33" s="12">
        <v>429</v>
      </c>
    </row>
    <row r="34" spans="1:53" x14ac:dyDescent="0.3">
      <c r="A34" s="12" t="s">
        <v>74</v>
      </c>
      <c r="B34" s="16">
        <v>4204400</v>
      </c>
      <c r="C34" s="12" t="s">
        <v>136</v>
      </c>
      <c r="D34" s="12" t="s">
        <v>73</v>
      </c>
      <c r="E34" s="13">
        <v>0</v>
      </c>
      <c r="F34" s="12">
        <v>174</v>
      </c>
      <c r="G34" s="12">
        <v>92.22</v>
      </c>
      <c r="H34" s="12">
        <v>3360</v>
      </c>
      <c r="I34" s="12">
        <v>3360</v>
      </c>
      <c r="J34" s="12">
        <v>6300</v>
      </c>
      <c r="K34" s="12">
        <v>9450</v>
      </c>
      <c r="L34" s="12">
        <v>171</v>
      </c>
      <c r="M34" s="12">
        <v>222.3</v>
      </c>
      <c r="N34" s="12" t="s">
        <v>73</v>
      </c>
      <c r="O34" s="12">
        <v>0</v>
      </c>
      <c r="P34" s="12">
        <v>170</v>
      </c>
      <c r="Q34" s="12">
        <v>90.100000000000009</v>
      </c>
      <c r="R34" s="12">
        <v>3360</v>
      </c>
      <c r="S34" s="12">
        <v>3360</v>
      </c>
      <c r="T34" s="12">
        <v>7524</v>
      </c>
      <c r="U34" s="12">
        <v>11286</v>
      </c>
      <c r="V34" s="12">
        <v>1200</v>
      </c>
      <c r="W34" s="12">
        <v>1560</v>
      </c>
      <c r="X34" s="12" t="s">
        <v>73</v>
      </c>
      <c r="Y34" s="12">
        <v>0</v>
      </c>
      <c r="Z34" s="12">
        <v>240</v>
      </c>
      <c r="AA34" s="12">
        <v>127.2</v>
      </c>
      <c r="AB34" s="12">
        <v>2700</v>
      </c>
      <c r="AC34" s="12">
        <v>2700</v>
      </c>
      <c r="AD34" s="12">
        <v>3864</v>
      </c>
      <c r="AE34" s="12">
        <v>5796</v>
      </c>
      <c r="AF34" s="12">
        <v>2310</v>
      </c>
      <c r="AG34" s="12">
        <v>3003</v>
      </c>
      <c r="AH34" s="12" t="s">
        <v>73</v>
      </c>
      <c r="AI34" s="12">
        <v>0</v>
      </c>
      <c r="AJ34" s="12">
        <v>294</v>
      </c>
      <c r="AK34" s="12">
        <v>155.82000000000002</v>
      </c>
      <c r="AL34" s="12">
        <v>5184</v>
      </c>
      <c r="AM34" s="12">
        <v>5184</v>
      </c>
      <c r="AN34" s="12">
        <v>9270</v>
      </c>
      <c r="AO34" s="12">
        <v>13905</v>
      </c>
      <c r="AP34" s="12">
        <v>1080</v>
      </c>
      <c r="AQ34" s="12">
        <v>1404</v>
      </c>
      <c r="AR34" s="12" t="s">
        <v>73</v>
      </c>
      <c r="AS34" s="12">
        <v>0</v>
      </c>
      <c r="AT34" s="12">
        <v>183</v>
      </c>
      <c r="AU34" s="12">
        <v>96.990000000000009</v>
      </c>
      <c r="AV34" s="12">
        <v>3600</v>
      </c>
      <c r="AW34" s="12">
        <v>3600</v>
      </c>
      <c r="AX34" s="12">
        <v>8310</v>
      </c>
      <c r="AY34" s="12">
        <v>12465</v>
      </c>
      <c r="AZ34" s="12">
        <v>1980</v>
      </c>
      <c r="BA34" s="12">
        <v>2574</v>
      </c>
    </row>
    <row r="35" spans="1:53" x14ac:dyDescent="0.3">
      <c r="A35" s="12" t="s">
        <v>74</v>
      </c>
      <c r="B35" s="16">
        <v>4204707</v>
      </c>
      <c r="C35" s="12" t="s">
        <v>138</v>
      </c>
      <c r="D35" s="12" t="s">
        <v>73</v>
      </c>
      <c r="E35" s="13">
        <v>0</v>
      </c>
      <c r="F35" s="12">
        <v>90</v>
      </c>
      <c r="G35" s="12">
        <v>47.7</v>
      </c>
      <c r="H35" s="12">
        <v>19440</v>
      </c>
      <c r="I35" s="12">
        <v>19440</v>
      </c>
      <c r="J35" s="12">
        <v>12720</v>
      </c>
      <c r="K35" s="12">
        <v>19080</v>
      </c>
      <c r="L35" s="12">
        <v>3000</v>
      </c>
      <c r="M35" s="12">
        <v>3900</v>
      </c>
      <c r="N35" s="12" t="s">
        <v>73</v>
      </c>
      <c r="O35" s="12">
        <v>0</v>
      </c>
      <c r="P35" s="12">
        <v>23</v>
      </c>
      <c r="Q35" s="12">
        <v>12.190000000000001</v>
      </c>
      <c r="R35" s="12">
        <v>5940</v>
      </c>
      <c r="S35" s="12">
        <v>5940</v>
      </c>
      <c r="T35" s="12">
        <v>9320</v>
      </c>
      <c r="U35" s="12">
        <v>13980</v>
      </c>
      <c r="V35" s="12">
        <v>5940</v>
      </c>
      <c r="W35" s="12">
        <v>7722</v>
      </c>
      <c r="X35" s="12" t="s">
        <v>73</v>
      </c>
      <c r="Y35" s="12">
        <v>0</v>
      </c>
      <c r="Z35" s="12">
        <v>24</v>
      </c>
      <c r="AA35" s="12">
        <v>12.72</v>
      </c>
      <c r="AB35" s="12">
        <v>5670</v>
      </c>
      <c r="AC35" s="12">
        <v>5670</v>
      </c>
      <c r="AD35" s="12">
        <v>7260</v>
      </c>
      <c r="AE35" s="12">
        <v>10890</v>
      </c>
      <c r="AF35" s="12">
        <v>7200</v>
      </c>
      <c r="AG35" s="12">
        <v>9360</v>
      </c>
      <c r="AH35" s="12" t="s">
        <v>73</v>
      </c>
      <c r="AI35" s="12">
        <v>0</v>
      </c>
      <c r="AJ35" s="12">
        <v>12</v>
      </c>
      <c r="AK35" s="12">
        <v>6.36</v>
      </c>
      <c r="AL35" s="12">
        <v>8100</v>
      </c>
      <c r="AM35" s="12">
        <v>8100</v>
      </c>
      <c r="AN35" s="12">
        <v>16920</v>
      </c>
      <c r="AO35" s="12">
        <v>25380</v>
      </c>
      <c r="AP35" s="12">
        <v>2400</v>
      </c>
      <c r="AQ35" s="12">
        <v>3120</v>
      </c>
      <c r="AR35" s="12" t="s">
        <v>73</v>
      </c>
      <c r="AS35" s="12">
        <v>0</v>
      </c>
      <c r="AT35" s="12">
        <v>12</v>
      </c>
      <c r="AU35" s="12">
        <v>6.36</v>
      </c>
      <c r="AV35" s="12">
        <v>8640</v>
      </c>
      <c r="AW35" s="12">
        <v>8640</v>
      </c>
      <c r="AX35" s="12">
        <v>15960</v>
      </c>
      <c r="AY35" s="12">
        <v>23940</v>
      </c>
      <c r="AZ35" s="12">
        <v>9000</v>
      </c>
      <c r="BA35" s="12">
        <v>11700</v>
      </c>
    </row>
    <row r="36" spans="1:53" x14ac:dyDescent="0.3">
      <c r="A36" s="12" t="s">
        <v>74</v>
      </c>
      <c r="B36" s="16">
        <v>4204756</v>
      </c>
      <c r="C36" s="12" t="s">
        <v>140</v>
      </c>
      <c r="D36" s="12" t="s">
        <v>73</v>
      </c>
      <c r="E36" s="13">
        <v>0</v>
      </c>
      <c r="F36" s="12">
        <v>15</v>
      </c>
      <c r="G36" s="12">
        <v>7.95</v>
      </c>
      <c r="H36" s="12">
        <v>3360</v>
      </c>
      <c r="I36" s="12">
        <v>3360</v>
      </c>
      <c r="J36" s="12">
        <v>1314</v>
      </c>
      <c r="K36" s="12">
        <v>1971</v>
      </c>
      <c r="L36" s="12">
        <v>231</v>
      </c>
      <c r="M36" s="12">
        <v>300.3</v>
      </c>
      <c r="N36" s="12" t="s">
        <v>73</v>
      </c>
      <c r="O36" s="12">
        <v>0</v>
      </c>
      <c r="P36" s="12">
        <v>8</v>
      </c>
      <c r="Q36" s="12">
        <v>4.24</v>
      </c>
      <c r="R36" s="12">
        <v>912</v>
      </c>
      <c r="S36" s="12">
        <v>912</v>
      </c>
      <c r="T36" s="12">
        <v>954</v>
      </c>
      <c r="U36" s="12">
        <v>1431</v>
      </c>
      <c r="V36" s="12">
        <v>714</v>
      </c>
      <c r="W36" s="12">
        <v>928.2</v>
      </c>
      <c r="X36" s="12" t="s">
        <v>73</v>
      </c>
      <c r="Y36" s="12">
        <v>0</v>
      </c>
      <c r="Z36" s="12">
        <v>4</v>
      </c>
      <c r="AA36" s="12">
        <v>2.12</v>
      </c>
      <c r="AB36" s="12">
        <v>2160</v>
      </c>
      <c r="AC36" s="12">
        <v>2160</v>
      </c>
      <c r="AD36" s="12">
        <v>300</v>
      </c>
      <c r="AE36" s="12">
        <v>450</v>
      </c>
      <c r="AF36" s="12">
        <v>684</v>
      </c>
      <c r="AG36" s="12">
        <v>889.2</v>
      </c>
      <c r="AH36" s="12" t="s">
        <v>73</v>
      </c>
      <c r="AI36" s="12">
        <v>0</v>
      </c>
      <c r="AJ36" s="12">
        <v>4</v>
      </c>
      <c r="AK36" s="12">
        <v>2.12</v>
      </c>
      <c r="AL36" s="12">
        <v>5670</v>
      </c>
      <c r="AM36" s="12">
        <v>5670</v>
      </c>
      <c r="AN36" s="12">
        <v>1950</v>
      </c>
      <c r="AO36" s="12">
        <v>2925</v>
      </c>
      <c r="AP36" s="12">
        <v>513</v>
      </c>
      <c r="AQ36" s="12">
        <v>666.9</v>
      </c>
      <c r="AR36" s="12" t="s">
        <v>73</v>
      </c>
      <c r="AS36" s="12">
        <v>0</v>
      </c>
      <c r="AT36" s="12">
        <v>6</v>
      </c>
      <c r="AU36" s="12">
        <v>3.18</v>
      </c>
      <c r="AV36" s="12">
        <v>4494</v>
      </c>
      <c r="AW36" s="12">
        <v>4494</v>
      </c>
      <c r="AX36" s="12">
        <v>1830</v>
      </c>
      <c r="AY36" s="12">
        <v>2745</v>
      </c>
      <c r="AZ36" s="12">
        <v>720</v>
      </c>
      <c r="BA36" s="12">
        <v>936</v>
      </c>
    </row>
    <row r="37" spans="1:53" x14ac:dyDescent="0.3">
      <c r="A37" s="12" t="s">
        <v>74</v>
      </c>
      <c r="B37" s="16">
        <v>4205357</v>
      </c>
      <c r="C37" s="12" t="s">
        <v>142</v>
      </c>
      <c r="D37" s="12" t="s">
        <v>73</v>
      </c>
      <c r="E37" s="13">
        <v>0</v>
      </c>
      <c r="F37" s="12">
        <v>60</v>
      </c>
      <c r="G37" s="12">
        <v>31.8</v>
      </c>
      <c r="H37" s="12">
        <v>2130</v>
      </c>
      <c r="I37" s="12">
        <v>2130</v>
      </c>
      <c r="J37" s="12">
        <v>2130</v>
      </c>
      <c r="K37" s="12">
        <v>3195</v>
      </c>
      <c r="L37" s="12">
        <v>46</v>
      </c>
      <c r="M37" s="12">
        <v>59.800000000000004</v>
      </c>
      <c r="N37" s="12" t="s">
        <v>73</v>
      </c>
      <c r="O37" s="12">
        <v>0</v>
      </c>
      <c r="P37" s="12">
        <v>13</v>
      </c>
      <c r="Q37" s="12">
        <v>6.8900000000000006</v>
      </c>
      <c r="R37" s="12">
        <v>264</v>
      </c>
      <c r="S37" s="12">
        <v>264</v>
      </c>
      <c r="T37" s="12">
        <v>1485</v>
      </c>
      <c r="U37" s="12">
        <v>2227.5</v>
      </c>
      <c r="V37" s="12">
        <v>144</v>
      </c>
      <c r="W37" s="12">
        <v>187.20000000000002</v>
      </c>
      <c r="X37" s="12" t="s">
        <v>73</v>
      </c>
      <c r="Y37" s="12">
        <v>0</v>
      </c>
      <c r="Z37" s="12">
        <v>14</v>
      </c>
      <c r="AA37" s="12">
        <v>7.42</v>
      </c>
      <c r="AB37" s="12">
        <v>390</v>
      </c>
      <c r="AC37" s="12">
        <v>390</v>
      </c>
      <c r="AD37" s="12">
        <v>480</v>
      </c>
      <c r="AE37" s="12">
        <v>720</v>
      </c>
      <c r="AF37" s="12">
        <v>191</v>
      </c>
      <c r="AG37" s="12">
        <v>248.3</v>
      </c>
      <c r="AH37" s="12" t="s">
        <v>73</v>
      </c>
      <c r="AI37" s="12">
        <v>0</v>
      </c>
      <c r="AJ37" s="12">
        <v>26</v>
      </c>
      <c r="AK37" s="12">
        <v>13.780000000000001</v>
      </c>
      <c r="AL37" s="12">
        <v>2958</v>
      </c>
      <c r="AM37" s="12">
        <v>2958</v>
      </c>
      <c r="AN37" s="12">
        <v>1650</v>
      </c>
      <c r="AO37" s="12">
        <v>2475</v>
      </c>
      <c r="AP37" s="12">
        <v>240</v>
      </c>
      <c r="AQ37" s="12">
        <v>312</v>
      </c>
      <c r="AR37" s="12" t="s">
        <v>73</v>
      </c>
      <c r="AS37" s="12">
        <v>0</v>
      </c>
      <c r="AT37" s="12">
        <v>22</v>
      </c>
      <c r="AU37" s="12">
        <v>11.66</v>
      </c>
      <c r="AV37" s="12">
        <v>1470</v>
      </c>
      <c r="AW37" s="12">
        <v>1470</v>
      </c>
      <c r="AX37" s="12">
        <v>1683</v>
      </c>
      <c r="AY37" s="12">
        <v>2524.5</v>
      </c>
      <c r="AZ37" s="12">
        <v>216</v>
      </c>
      <c r="BA37" s="12">
        <v>280.8</v>
      </c>
    </row>
    <row r="38" spans="1:53" x14ac:dyDescent="0.3">
      <c r="A38" s="12" t="s">
        <v>74</v>
      </c>
      <c r="B38" s="16">
        <v>4205431</v>
      </c>
      <c r="C38" s="12" t="s">
        <v>144</v>
      </c>
      <c r="D38" s="12" t="s">
        <v>73</v>
      </c>
      <c r="E38" s="13">
        <v>0</v>
      </c>
      <c r="F38" s="12">
        <v>21</v>
      </c>
      <c r="G38" s="12">
        <v>11.13</v>
      </c>
      <c r="H38" s="12">
        <v>1260</v>
      </c>
      <c r="I38" s="12">
        <v>1260</v>
      </c>
      <c r="J38" s="12">
        <v>1470</v>
      </c>
      <c r="K38" s="12">
        <v>2205</v>
      </c>
      <c r="L38" s="12">
        <v>140</v>
      </c>
      <c r="M38" s="12">
        <v>182</v>
      </c>
      <c r="N38" s="12" t="s">
        <v>73</v>
      </c>
      <c r="O38" s="12">
        <v>0</v>
      </c>
      <c r="P38" s="12">
        <v>11</v>
      </c>
      <c r="Q38" s="12">
        <v>5.83</v>
      </c>
      <c r="R38" s="12">
        <v>900</v>
      </c>
      <c r="S38" s="12">
        <v>900</v>
      </c>
      <c r="T38" s="12">
        <v>592</v>
      </c>
      <c r="U38" s="12">
        <v>888</v>
      </c>
      <c r="V38" s="12">
        <v>192</v>
      </c>
      <c r="W38" s="12">
        <v>249.60000000000002</v>
      </c>
      <c r="X38" s="12" t="s">
        <v>73</v>
      </c>
      <c r="Y38" s="12">
        <v>0</v>
      </c>
      <c r="Z38" s="12">
        <v>20</v>
      </c>
      <c r="AA38" s="12">
        <v>10.600000000000001</v>
      </c>
      <c r="AB38" s="12">
        <v>576</v>
      </c>
      <c r="AC38" s="12">
        <v>576</v>
      </c>
      <c r="AD38" s="12">
        <v>360</v>
      </c>
      <c r="AE38" s="12">
        <v>540</v>
      </c>
      <c r="AF38" s="12">
        <v>600</v>
      </c>
      <c r="AG38" s="12">
        <v>780</v>
      </c>
      <c r="AH38" s="12" t="s">
        <v>73</v>
      </c>
      <c r="AI38" s="12">
        <v>0</v>
      </c>
      <c r="AJ38" s="12">
        <v>4</v>
      </c>
      <c r="AK38" s="12">
        <v>2.12</v>
      </c>
      <c r="AL38" s="12">
        <v>792</v>
      </c>
      <c r="AM38" s="12">
        <v>792</v>
      </c>
      <c r="AN38" s="12">
        <v>1404</v>
      </c>
      <c r="AO38" s="12">
        <v>2106</v>
      </c>
      <c r="AP38" s="12">
        <v>360</v>
      </c>
      <c r="AQ38" s="12">
        <v>468</v>
      </c>
      <c r="AR38" s="12" t="s">
        <v>73</v>
      </c>
      <c r="AS38" s="12">
        <v>0</v>
      </c>
      <c r="AT38" s="12">
        <v>75</v>
      </c>
      <c r="AU38" s="12">
        <v>39.75</v>
      </c>
      <c r="AV38" s="12">
        <v>648</v>
      </c>
      <c r="AW38" s="12">
        <v>648</v>
      </c>
      <c r="AX38" s="12">
        <v>1572</v>
      </c>
      <c r="AY38" s="12">
        <v>2358</v>
      </c>
      <c r="AZ38" s="12">
        <v>324</v>
      </c>
      <c r="BA38" s="12">
        <v>421.2</v>
      </c>
    </row>
    <row r="39" spans="1:53" x14ac:dyDescent="0.3">
      <c r="A39" s="12" t="s">
        <v>74</v>
      </c>
      <c r="B39" s="16">
        <v>4206652</v>
      </c>
      <c r="C39" s="12" t="s">
        <v>146</v>
      </c>
      <c r="D39" s="12">
        <v>5</v>
      </c>
      <c r="E39" s="13">
        <v>6</v>
      </c>
      <c r="F39" s="12">
        <v>557</v>
      </c>
      <c r="G39" s="12">
        <v>295.21000000000004</v>
      </c>
      <c r="H39" s="12">
        <v>10980</v>
      </c>
      <c r="I39" s="12">
        <v>10980</v>
      </c>
      <c r="J39" s="12">
        <v>12600</v>
      </c>
      <c r="K39" s="12">
        <v>18900</v>
      </c>
      <c r="L39" s="12">
        <v>1350</v>
      </c>
      <c r="M39" s="12">
        <v>1755</v>
      </c>
      <c r="N39" s="12">
        <v>5</v>
      </c>
      <c r="O39" s="12">
        <v>6</v>
      </c>
      <c r="P39" s="12">
        <v>102</v>
      </c>
      <c r="Q39" s="12">
        <v>54.06</v>
      </c>
      <c r="R39" s="12">
        <v>1500</v>
      </c>
      <c r="S39" s="12">
        <v>1500</v>
      </c>
      <c r="T39" s="12">
        <v>11340</v>
      </c>
      <c r="U39" s="12">
        <v>17010</v>
      </c>
      <c r="V39" s="12">
        <v>2820</v>
      </c>
      <c r="W39" s="12">
        <v>3666</v>
      </c>
      <c r="X39" s="12">
        <v>5</v>
      </c>
      <c r="Y39" s="12">
        <v>6</v>
      </c>
      <c r="Z39" s="12">
        <v>146</v>
      </c>
      <c r="AA39" s="12">
        <v>77.38000000000001</v>
      </c>
      <c r="AB39" s="12">
        <v>7800</v>
      </c>
      <c r="AC39" s="12">
        <v>7800</v>
      </c>
      <c r="AD39" s="12">
        <v>6600</v>
      </c>
      <c r="AE39" s="12">
        <v>9900</v>
      </c>
      <c r="AF39" s="12">
        <v>2269</v>
      </c>
      <c r="AG39" s="12">
        <v>2949.7000000000003</v>
      </c>
      <c r="AH39" s="12">
        <v>5</v>
      </c>
      <c r="AI39" s="12">
        <v>6</v>
      </c>
      <c r="AJ39" s="12">
        <v>252</v>
      </c>
      <c r="AK39" s="12">
        <v>133.56</v>
      </c>
      <c r="AL39" s="12">
        <v>8160</v>
      </c>
      <c r="AM39" s="12">
        <v>8160</v>
      </c>
      <c r="AN39" s="12">
        <v>13200</v>
      </c>
      <c r="AO39" s="12">
        <v>19800</v>
      </c>
      <c r="AP39" s="12">
        <v>1800</v>
      </c>
      <c r="AQ39" s="12">
        <v>2340</v>
      </c>
      <c r="AR39" s="12">
        <v>5</v>
      </c>
      <c r="AS39" s="12">
        <v>6</v>
      </c>
      <c r="AT39" s="12">
        <v>441</v>
      </c>
      <c r="AU39" s="12">
        <v>233.73000000000002</v>
      </c>
      <c r="AV39" s="12">
        <v>5304</v>
      </c>
      <c r="AW39" s="12">
        <v>5304</v>
      </c>
      <c r="AX39" s="12">
        <v>12420</v>
      </c>
      <c r="AY39" s="12">
        <v>18630</v>
      </c>
      <c r="AZ39" s="12">
        <v>3894</v>
      </c>
      <c r="BA39" s="12">
        <v>5062.2</v>
      </c>
    </row>
    <row r="40" spans="1:53" x14ac:dyDescent="0.3">
      <c r="A40" s="12" t="s">
        <v>74</v>
      </c>
      <c r="B40" s="16">
        <v>4207759</v>
      </c>
      <c r="C40" s="12" t="s">
        <v>148</v>
      </c>
      <c r="D40" s="12" t="s">
        <v>73</v>
      </c>
      <c r="E40" s="13">
        <v>0</v>
      </c>
      <c r="F40" s="12">
        <v>16</v>
      </c>
      <c r="G40" s="12">
        <v>8.48</v>
      </c>
      <c r="H40" s="12">
        <v>11300</v>
      </c>
      <c r="I40" s="12">
        <v>11300</v>
      </c>
      <c r="J40" s="12">
        <v>10230</v>
      </c>
      <c r="K40" s="12">
        <v>15345</v>
      </c>
      <c r="L40" s="12">
        <v>1224</v>
      </c>
      <c r="M40" s="12">
        <v>1591.2</v>
      </c>
      <c r="N40" s="12" t="s">
        <v>73</v>
      </c>
      <c r="O40" s="12">
        <v>0</v>
      </c>
      <c r="P40" s="12">
        <v>8</v>
      </c>
      <c r="Q40" s="12">
        <v>4.24</v>
      </c>
      <c r="R40" s="12">
        <v>4470</v>
      </c>
      <c r="S40" s="12">
        <v>4470</v>
      </c>
      <c r="T40" s="12">
        <v>6540</v>
      </c>
      <c r="U40" s="12">
        <v>9810</v>
      </c>
      <c r="V40" s="12">
        <v>3000</v>
      </c>
      <c r="W40" s="12">
        <v>3900</v>
      </c>
      <c r="X40" s="12" t="s">
        <v>73</v>
      </c>
      <c r="Y40" s="12">
        <v>0</v>
      </c>
      <c r="Z40" s="12">
        <v>6</v>
      </c>
      <c r="AA40" s="12">
        <v>3.18</v>
      </c>
      <c r="AB40" s="12">
        <v>5280</v>
      </c>
      <c r="AC40" s="12">
        <v>5280</v>
      </c>
      <c r="AD40" s="12">
        <v>4488</v>
      </c>
      <c r="AE40" s="12">
        <v>6732</v>
      </c>
      <c r="AF40" s="12">
        <v>2430</v>
      </c>
      <c r="AG40" s="12">
        <v>3159</v>
      </c>
      <c r="AH40" s="12" t="s">
        <v>73</v>
      </c>
      <c r="AI40" s="12">
        <v>0</v>
      </c>
      <c r="AJ40" s="12">
        <v>12</v>
      </c>
      <c r="AK40" s="12">
        <v>6.36</v>
      </c>
      <c r="AL40" s="12">
        <v>7920</v>
      </c>
      <c r="AM40" s="12">
        <v>7920</v>
      </c>
      <c r="AN40" s="12">
        <v>9804</v>
      </c>
      <c r="AO40" s="12">
        <v>14706</v>
      </c>
      <c r="AP40" s="12">
        <v>2400</v>
      </c>
      <c r="AQ40" s="12">
        <v>3120</v>
      </c>
      <c r="AR40" s="12" t="s">
        <v>73</v>
      </c>
      <c r="AS40" s="12">
        <v>0</v>
      </c>
      <c r="AT40" s="12">
        <v>15</v>
      </c>
      <c r="AU40" s="12">
        <v>7.95</v>
      </c>
      <c r="AV40" s="12">
        <v>5122</v>
      </c>
      <c r="AW40" s="12">
        <v>5122</v>
      </c>
      <c r="AX40" s="12">
        <v>9720</v>
      </c>
      <c r="AY40" s="12">
        <v>14580</v>
      </c>
      <c r="AZ40" s="12">
        <v>6480</v>
      </c>
      <c r="BA40" s="12">
        <v>8424</v>
      </c>
    </row>
    <row r="41" spans="1:53" x14ac:dyDescent="0.3">
      <c r="A41" s="12" t="s">
        <v>74</v>
      </c>
      <c r="B41" s="16">
        <v>4207858</v>
      </c>
      <c r="C41" s="12" t="s">
        <v>150</v>
      </c>
      <c r="D41" s="12">
        <v>6</v>
      </c>
      <c r="E41" s="13">
        <v>7.1999999999999993</v>
      </c>
      <c r="F41" s="12">
        <v>70</v>
      </c>
      <c r="G41" s="12">
        <v>37.1</v>
      </c>
      <c r="H41" s="12">
        <v>756</v>
      </c>
      <c r="I41" s="12">
        <v>756</v>
      </c>
      <c r="J41" s="12">
        <v>3960</v>
      </c>
      <c r="K41" s="12">
        <v>5940</v>
      </c>
      <c r="L41" s="12">
        <v>347</v>
      </c>
      <c r="M41" s="12">
        <v>451.1</v>
      </c>
      <c r="N41" s="12" t="s">
        <v>73</v>
      </c>
      <c r="O41" s="12">
        <v>0</v>
      </c>
      <c r="P41" s="12">
        <v>18</v>
      </c>
      <c r="Q41" s="12">
        <v>9.5400000000000009</v>
      </c>
      <c r="R41" s="12">
        <v>840</v>
      </c>
      <c r="S41" s="12">
        <v>840</v>
      </c>
      <c r="T41" s="12">
        <v>3564</v>
      </c>
      <c r="U41" s="12">
        <v>5346</v>
      </c>
      <c r="V41" s="12">
        <v>200</v>
      </c>
      <c r="W41" s="12">
        <v>260</v>
      </c>
      <c r="X41" s="12" t="s">
        <v>73</v>
      </c>
      <c r="Y41" s="12">
        <v>0</v>
      </c>
      <c r="Z41" s="12">
        <v>150</v>
      </c>
      <c r="AA41" s="12">
        <v>79.5</v>
      </c>
      <c r="AB41" s="12">
        <v>720</v>
      </c>
      <c r="AC41" s="12">
        <v>720</v>
      </c>
      <c r="AD41" s="12">
        <v>2025</v>
      </c>
      <c r="AE41" s="12">
        <v>3037.5</v>
      </c>
      <c r="AF41" s="12">
        <v>990</v>
      </c>
      <c r="AG41" s="12">
        <v>1287</v>
      </c>
      <c r="AH41" s="12" t="s">
        <v>73</v>
      </c>
      <c r="AI41" s="12">
        <v>0</v>
      </c>
      <c r="AJ41" s="12">
        <v>99</v>
      </c>
      <c r="AK41" s="12">
        <v>52.470000000000006</v>
      </c>
      <c r="AL41" s="12">
        <v>1326</v>
      </c>
      <c r="AM41" s="12">
        <v>1326</v>
      </c>
      <c r="AN41" s="12">
        <v>5826</v>
      </c>
      <c r="AO41" s="12">
        <v>8739</v>
      </c>
      <c r="AP41" s="12">
        <v>1120</v>
      </c>
      <c r="AQ41" s="12">
        <v>1456</v>
      </c>
      <c r="AR41" s="12" t="s">
        <v>73</v>
      </c>
      <c r="AS41" s="12">
        <v>0</v>
      </c>
      <c r="AT41" s="12">
        <v>42</v>
      </c>
      <c r="AU41" s="12">
        <v>22.26</v>
      </c>
      <c r="AV41" s="12">
        <v>672</v>
      </c>
      <c r="AW41" s="12">
        <v>672</v>
      </c>
      <c r="AX41" s="12">
        <v>6408</v>
      </c>
      <c r="AY41" s="12">
        <v>9612</v>
      </c>
      <c r="AZ41" s="12">
        <v>300</v>
      </c>
      <c r="BA41" s="12">
        <v>390</v>
      </c>
    </row>
    <row r="42" spans="1:53" x14ac:dyDescent="0.3">
      <c r="A42" s="12" t="s">
        <v>74</v>
      </c>
      <c r="B42" s="16">
        <v>4208955</v>
      </c>
      <c r="C42" s="12" t="s">
        <v>152</v>
      </c>
      <c r="D42" s="12" t="s">
        <v>73</v>
      </c>
      <c r="E42" s="13">
        <v>0</v>
      </c>
      <c r="F42" s="12">
        <v>56</v>
      </c>
      <c r="G42" s="12">
        <v>29.68</v>
      </c>
      <c r="H42" s="12">
        <v>1680</v>
      </c>
      <c r="I42" s="12">
        <v>1680</v>
      </c>
      <c r="J42" s="12">
        <v>1980</v>
      </c>
      <c r="K42" s="12">
        <v>2970</v>
      </c>
      <c r="L42" s="12">
        <v>123</v>
      </c>
      <c r="M42" s="12">
        <v>159.9</v>
      </c>
      <c r="N42" s="12" t="s">
        <v>73</v>
      </c>
      <c r="O42" s="12">
        <v>0</v>
      </c>
      <c r="P42" s="12">
        <v>50</v>
      </c>
      <c r="Q42" s="12">
        <v>26.5</v>
      </c>
      <c r="R42" s="12">
        <v>672</v>
      </c>
      <c r="S42" s="12">
        <v>672</v>
      </c>
      <c r="T42" s="12">
        <v>1980</v>
      </c>
      <c r="U42" s="12">
        <v>2970</v>
      </c>
      <c r="V42" s="12">
        <v>420</v>
      </c>
      <c r="W42" s="12">
        <v>546</v>
      </c>
      <c r="X42" s="12" t="s">
        <v>73</v>
      </c>
      <c r="Y42" s="12">
        <v>0</v>
      </c>
      <c r="Z42" s="12">
        <v>12</v>
      </c>
      <c r="AA42" s="12">
        <v>6.36</v>
      </c>
      <c r="AB42" s="12">
        <v>720</v>
      </c>
      <c r="AC42" s="12">
        <v>720</v>
      </c>
      <c r="AD42" s="12">
        <v>1620</v>
      </c>
      <c r="AE42" s="12">
        <v>2430</v>
      </c>
      <c r="AF42" s="12">
        <v>480</v>
      </c>
      <c r="AG42" s="12">
        <v>624</v>
      </c>
      <c r="AH42" s="12" t="s">
        <v>73</v>
      </c>
      <c r="AI42" s="12">
        <v>0</v>
      </c>
      <c r="AJ42" s="12">
        <v>36</v>
      </c>
      <c r="AK42" s="12">
        <v>19.080000000000002</v>
      </c>
      <c r="AL42" s="12">
        <v>690</v>
      </c>
      <c r="AM42" s="12">
        <v>690</v>
      </c>
      <c r="AN42" s="12">
        <v>1980</v>
      </c>
      <c r="AO42" s="12">
        <v>2970</v>
      </c>
      <c r="AP42" s="12">
        <v>1260</v>
      </c>
      <c r="AQ42" s="12">
        <v>1638</v>
      </c>
      <c r="AR42" s="12" t="s">
        <v>73</v>
      </c>
      <c r="AS42" s="12">
        <v>0</v>
      </c>
      <c r="AT42" s="12">
        <v>60</v>
      </c>
      <c r="AU42" s="12">
        <v>31.8</v>
      </c>
      <c r="AV42" s="12">
        <v>300</v>
      </c>
      <c r="AW42" s="12">
        <v>300</v>
      </c>
      <c r="AX42" s="12">
        <v>2430</v>
      </c>
      <c r="AY42" s="12">
        <v>3645</v>
      </c>
      <c r="AZ42" s="12">
        <v>1890</v>
      </c>
      <c r="BA42" s="12">
        <v>2457</v>
      </c>
    </row>
    <row r="43" spans="1:53" x14ac:dyDescent="0.3">
      <c r="A43" s="12" t="s">
        <v>74</v>
      </c>
      <c r="B43" s="16">
        <v>4210506</v>
      </c>
      <c r="C43" s="12" t="s">
        <v>154</v>
      </c>
      <c r="D43" s="12" t="s">
        <v>73</v>
      </c>
      <c r="E43" s="13">
        <v>0</v>
      </c>
      <c r="F43" s="12">
        <v>30</v>
      </c>
      <c r="G43" s="12">
        <v>15.9</v>
      </c>
      <c r="H43" s="12">
        <v>19474</v>
      </c>
      <c r="I43" s="12">
        <v>19474</v>
      </c>
      <c r="J43" s="12">
        <v>10466</v>
      </c>
      <c r="K43" s="12">
        <v>15699</v>
      </c>
      <c r="L43" s="12">
        <v>1155</v>
      </c>
      <c r="M43" s="12">
        <v>1501.5</v>
      </c>
      <c r="N43" s="12" t="s">
        <v>73</v>
      </c>
      <c r="O43" s="12">
        <v>0</v>
      </c>
      <c r="P43" s="12">
        <v>20</v>
      </c>
      <c r="Q43" s="12">
        <v>10.600000000000001</v>
      </c>
      <c r="R43" s="12">
        <v>4200</v>
      </c>
      <c r="S43" s="12">
        <v>4200</v>
      </c>
      <c r="T43" s="12">
        <v>9270</v>
      </c>
      <c r="U43" s="12">
        <v>13905</v>
      </c>
      <c r="V43" s="12">
        <v>5400</v>
      </c>
      <c r="W43" s="12">
        <v>7020</v>
      </c>
      <c r="X43" s="12" t="s">
        <v>73</v>
      </c>
      <c r="Y43" s="12">
        <v>0</v>
      </c>
      <c r="Z43" s="12">
        <v>18</v>
      </c>
      <c r="AA43" s="12">
        <v>9.5400000000000009</v>
      </c>
      <c r="AB43" s="12">
        <v>4680</v>
      </c>
      <c r="AC43" s="12">
        <v>4680</v>
      </c>
      <c r="AD43" s="12">
        <v>4920</v>
      </c>
      <c r="AE43" s="12">
        <v>7380</v>
      </c>
      <c r="AF43" s="12">
        <v>5400</v>
      </c>
      <c r="AG43" s="12">
        <v>7020</v>
      </c>
      <c r="AH43" s="12" t="s">
        <v>73</v>
      </c>
      <c r="AI43" s="12">
        <v>0</v>
      </c>
      <c r="AJ43" s="12">
        <v>24</v>
      </c>
      <c r="AK43" s="12">
        <v>12.72</v>
      </c>
      <c r="AL43" s="12">
        <v>11220</v>
      </c>
      <c r="AM43" s="12">
        <v>11220</v>
      </c>
      <c r="AN43" s="12">
        <v>13260</v>
      </c>
      <c r="AO43" s="12">
        <v>19890</v>
      </c>
      <c r="AP43" s="12">
        <v>2700</v>
      </c>
      <c r="AQ43" s="12">
        <v>3510</v>
      </c>
      <c r="AR43" s="12" t="s">
        <v>73</v>
      </c>
      <c r="AS43" s="12">
        <v>0</v>
      </c>
      <c r="AT43" s="12">
        <v>24</v>
      </c>
      <c r="AU43" s="12">
        <v>12.72</v>
      </c>
      <c r="AV43" s="12">
        <v>7200</v>
      </c>
      <c r="AW43" s="12">
        <v>7200</v>
      </c>
      <c r="AX43" s="12">
        <v>12870</v>
      </c>
      <c r="AY43" s="12">
        <v>19305</v>
      </c>
      <c r="AZ43" s="12">
        <v>6480</v>
      </c>
      <c r="BA43" s="12">
        <v>8424</v>
      </c>
    </row>
    <row r="44" spans="1:53" x14ac:dyDescent="0.3">
      <c r="A44" s="12" t="s">
        <v>74</v>
      </c>
      <c r="B44" s="16">
        <v>4210902</v>
      </c>
      <c r="C44" s="12" t="s">
        <v>156</v>
      </c>
      <c r="D44" s="12" t="s">
        <v>73</v>
      </c>
      <c r="E44" s="13">
        <v>0</v>
      </c>
      <c r="F44" s="12">
        <v>36</v>
      </c>
      <c r="G44" s="12">
        <v>19.080000000000002</v>
      </c>
      <c r="H44" s="12">
        <v>6240</v>
      </c>
      <c r="I44" s="12">
        <v>6240</v>
      </c>
      <c r="J44" s="12">
        <v>6105</v>
      </c>
      <c r="K44" s="12">
        <v>9157.5</v>
      </c>
      <c r="L44" s="12">
        <v>1230</v>
      </c>
      <c r="M44" s="12">
        <v>1599</v>
      </c>
      <c r="N44" s="12" t="s">
        <v>73</v>
      </c>
      <c r="O44" s="12">
        <v>0</v>
      </c>
      <c r="P44" s="12">
        <v>24</v>
      </c>
      <c r="Q44" s="12">
        <v>12.72</v>
      </c>
      <c r="R44" s="12">
        <v>3840</v>
      </c>
      <c r="S44" s="12">
        <v>3840</v>
      </c>
      <c r="T44" s="12">
        <v>5920</v>
      </c>
      <c r="U44" s="12">
        <v>8880</v>
      </c>
      <c r="V44" s="12">
        <v>2700</v>
      </c>
      <c r="W44" s="12">
        <v>3510</v>
      </c>
      <c r="X44" s="12" t="s">
        <v>73</v>
      </c>
      <c r="Y44" s="12">
        <v>0</v>
      </c>
      <c r="Z44" s="12">
        <v>28</v>
      </c>
      <c r="AA44" s="12">
        <v>14.84</v>
      </c>
      <c r="AB44" s="12">
        <v>3120</v>
      </c>
      <c r="AC44" s="12">
        <v>3120</v>
      </c>
      <c r="AD44" s="12">
        <v>6930</v>
      </c>
      <c r="AE44" s="12">
        <v>10395</v>
      </c>
      <c r="AF44" s="12">
        <v>2400</v>
      </c>
      <c r="AG44" s="12">
        <v>3120</v>
      </c>
      <c r="AH44" s="12" t="s">
        <v>73</v>
      </c>
      <c r="AI44" s="12">
        <v>0</v>
      </c>
      <c r="AJ44" s="12">
        <v>48</v>
      </c>
      <c r="AK44" s="12">
        <v>25.44</v>
      </c>
      <c r="AL44" s="12">
        <v>9600</v>
      </c>
      <c r="AM44" s="12">
        <v>9600</v>
      </c>
      <c r="AN44" s="12">
        <v>6510</v>
      </c>
      <c r="AO44" s="12">
        <v>9765</v>
      </c>
      <c r="AP44" s="12">
        <v>2700</v>
      </c>
      <c r="AQ44" s="12">
        <v>3510</v>
      </c>
      <c r="AR44" s="12" t="s">
        <v>73</v>
      </c>
      <c r="AS44" s="12">
        <v>0</v>
      </c>
      <c r="AT44" s="12">
        <v>99</v>
      </c>
      <c r="AU44" s="12">
        <v>52.470000000000006</v>
      </c>
      <c r="AV44" s="12">
        <v>5400</v>
      </c>
      <c r="AW44" s="12">
        <v>5400</v>
      </c>
      <c r="AX44" s="12">
        <v>7740</v>
      </c>
      <c r="AY44" s="12">
        <v>11610</v>
      </c>
      <c r="AZ44" s="12">
        <v>3960</v>
      </c>
      <c r="BA44" s="12">
        <v>5148</v>
      </c>
    </row>
    <row r="45" spans="1:53" x14ac:dyDescent="0.3">
      <c r="A45" s="12" t="s">
        <v>74</v>
      </c>
      <c r="B45" s="16">
        <v>4211405</v>
      </c>
      <c r="C45" s="12" t="s">
        <v>158</v>
      </c>
      <c r="D45" s="12" t="s">
        <v>73</v>
      </c>
      <c r="E45" s="13">
        <v>0</v>
      </c>
      <c r="F45" s="12" t="s">
        <v>73</v>
      </c>
      <c r="G45" s="12">
        <v>0</v>
      </c>
      <c r="H45" s="12">
        <v>3000</v>
      </c>
      <c r="I45" s="12">
        <v>3000</v>
      </c>
      <c r="J45" s="12">
        <v>3600</v>
      </c>
      <c r="K45" s="12">
        <v>5400</v>
      </c>
      <c r="L45" s="12">
        <v>360</v>
      </c>
      <c r="M45" s="12">
        <v>468</v>
      </c>
      <c r="N45" s="12" t="s">
        <v>73</v>
      </c>
      <c r="O45" s="12">
        <v>0</v>
      </c>
      <c r="P45" s="12" t="s">
        <v>73</v>
      </c>
      <c r="Q45" s="12">
        <v>0</v>
      </c>
      <c r="R45" s="12">
        <v>1050</v>
      </c>
      <c r="S45" s="12">
        <v>1050</v>
      </c>
      <c r="T45" s="12">
        <v>2970</v>
      </c>
      <c r="U45" s="12">
        <v>4455</v>
      </c>
      <c r="V45" s="12">
        <v>720</v>
      </c>
      <c r="W45" s="12">
        <v>936</v>
      </c>
      <c r="X45" s="12" t="s">
        <v>73</v>
      </c>
      <c r="Y45" s="12">
        <v>0</v>
      </c>
      <c r="Z45" s="12" t="s">
        <v>73</v>
      </c>
      <c r="AA45" s="12">
        <v>0</v>
      </c>
      <c r="AB45" s="12">
        <v>2730</v>
      </c>
      <c r="AC45" s="12">
        <v>2730</v>
      </c>
      <c r="AD45" s="12">
        <v>3300</v>
      </c>
      <c r="AE45" s="12">
        <v>4950</v>
      </c>
      <c r="AF45" s="12">
        <v>810</v>
      </c>
      <c r="AG45" s="12">
        <v>1053</v>
      </c>
      <c r="AH45" s="12" t="s">
        <v>73</v>
      </c>
      <c r="AI45" s="12">
        <v>0</v>
      </c>
      <c r="AJ45" s="12" t="s">
        <v>73</v>
      </c>
      <c r="AK45" s="12">
        <v>0</v>
      </c>
      <c r="AL45" s="12">
        <v>3200</v>
      </c>
      <c r="AM45" s="12">
        <v>3200</v>
      </c>
      <c r="AN45" s="12">
        <v>3300</v>
      </c>
      <c r="AO45" s="12">
        <v>4950</v>
      </c>
      <c r="AP45" s="12">
        <v>500</v>
      </c>
      <c r="AQ45" s="12">
        <v>650</v>
      </c>
      <c r="AR45" s="12" t="s">
        <v>73</v>
      </c>
      <c r="AS45" s="12">
        <v>0</v>
      </c>
      <c r="AT45" s="12">
        <v>4</v>
      </c>
      <c r="AU45" s="12">
        <v>2.12</v>
      </c>
      <c r="AV45" s="12">
        <v>2880</v>
      </c>
      <c r="AW45" s="12">
        <v>2880</v>
      </c>
      <c r="AX45" s="12">
        <v>2574</v>
      </c>
      <c r="AY45" s="12">
        <v>3861</v>
      </c>
      <c r="AZ45" s="12">
        <v>900</v>
      </c>
      <c r="BA45" s="12">
        <v>1170</v>
      </c>
    </row>
    <row r="46" spans="1:53" x14ac:dyDescent="0.3">
      <c r="A46" s="12" t="s">
        <v>74</v>
      </c>
      <c r="B46" s="16">
        <v>4211454</v>
      </c>
      <c r="C46" s="12" t="s">
        <v>160</v>
      </c>
      <c r="D46" s="12" t="s">
        <v>73</v>
      </c>
      <c r="E46" s="13">
        <v>0</v>
      </c>
      <c r="F46" s="12">
        <v>45</v>
      </c>
      <c r="G46" s="12">
        <v>23.85</v>
      </c>
      <c r="H46" s="12">
        <v>6750</v>
      </c>
      <c r="I46" s="12">
        <v>6750</v>
      </c>
      <c r="J46" s="12">
        <v>1800</v>
      </c>
      <c r="K46" s="12">
        <v>2700</v>
      </c>
      <c r="L46" s="12">
        <v>270</v>
      </c>
      <c r="M46" s="12">
        <v>351</v>
      </c>
      <c r="N46" s="12" t="s">
        <v>73</v>
      </c>
      <c r="O46" s="12">
        <v>0</v>
      </c>
      <c r="P46" s="12">
        <v>23</v>
      </c>
      <c r="Q46" s="12">
        <v>12.190000000000001</v>
      </c>
      <c r="R46" s="12">
        <v>1560</v>
      </c>
      <c r="S46" s="12">
        <v>1560</v>
      </c>
      <c r="T46" s="12">
        <v>1875</v>
      </c>
      <c r="U46" s="12">
        <v>2812.5</v>
      </c>
      <c r="V46" s="12">
        <v>810</v>
      </c>
      <c r="W46" s="12">
        <v>1053</v>
      </c>
      <c r="X46" s="12" t="s">
        <v>73</v>
      </c>
      <c r="Y46" s="12">
        <v>0</v>
      </c>
      <c r="Z46" s="12">
        <v>45</v>
      </c>
      <c r="AA46" s="12">
        <v>23.85</v>
      </c>
      <c r="AB46" s="12">
        <v>5760</v>
      </c>
      <c r="AC46" s="12">
        <v>5760</v>
      </c>
      <c r="AD46" s="12">
        <v>1440</v>
      </c>
      <c r="AE46" s="12">
        <v>2160</v>
      </c>
      <c r="AF46" s="12">
        <v>720</v>
      </c>
      <c r="AG46" s="12">
        <v>936</v>
      </c>
      <c r="AH46" s="12" t="s">
        <v>73</v>
      </c>
      <c r="AI46" s="12">
        <v>0</v>
      </c>
      <c r="AJ46" s="12">
        <v>45</v>
      </c>
      <c r="AK46" s="12">
        <v>23.85</v>
      </c>
      <c r="AL46" s="12">
        <v>7200</v>
      </c>
      <c r="AM46" s="12">
        <v>7200</v>
      </c>
      <c r="AN46" s="12">
        <v>2400</v>
      </c>
      <c r="AO46" s="12">
        <v>3600</v>
      </c>
      <c r="AP46" s="12">
        <v>396</v>
      </c>
      <c r="AQ46" s="12">
        <v>514.80000000000007</v>
      </c>
      <c r="AR46" s="12" t="s">
        <v>73</v>
      </c>
      <c r="AS46" s="12">
        <v>0</v>
      </c>
      <c r="AT46" s="12">
        <v>45</v>
      </c>
      <c r="AU46" s="12">
        <v>23.85</v>
      </c>
      <c r="AV46" s="12">
        <v>4320</v>
      </c>
      <c r="AW46" s="12">
        <v>4320</v>
      </c>
      <c r="AX46" s="12">
        <v>1920</v>
      </c>
      <c r="AY46" s="12">
        <v>2880</v>
      </c>
      <c r="AZ46" s="12">
        <v>870</v>
      </c>
      <c r="BA46" s="12">
        <v>1131</v>
      </c>
    </row>
    <row r="47" spans="1:53" x14ac:dyDescent="0.3">
      <c r="A47" s="12" t="s">
        <v>74</v>
      </c>
      <c r="B47" s="16">
        <v>4211652</v>
      </c>
      <c r="C47" s="12" t="s">
        <v>162</v>
      </c>
      <c r="D47" s="12" t="s">
        <v>73</v>
      </c>
      <c r="E47" s="13">
        <v>0</v>
      </c>
      <c r="F47" s="12">
        <v>192</v>
      </c>
      <c r="G47" s="12">
        <v>101.76</v>
      </c>
      <c r="H47" s="12">
        <v>4500</v>
      </c>
      <c r="I47" s="12">
        <v>4500</v>
      </c>
      <c r="J47" s="12">
        <v>13680</v>
      </c>
      <c r="K47" s="12">
        <v>20520</v>
      </c>
      <c r="L47" s="12">
        <v>216</v>
      </c>
      <c r="M47" s="12">
        <v>280.8</v>
      </c>
      <c r="N47" s="12" t="s">
        <v>73</v>
      </c>
      <c r="O47" s="12">
        <v>0</v>
      </c>
      <c r="P47" s="12">
        <v>245</v>
      </c>
      <c r="Q47" s="12">
        <v>129.85</v>
      </c>
      <c r="R47" s="12">
        <v>1440</v>
      </c>
      <c r="S47" s="12">
        <v>1440</v>
      </c>
      <c r="T47" s="12">
        <v>15960</v>
      </c>
      <c r="U47" s="12">
        <v>23940</v>
      </c>
      <c r="V47" s="12">
        <v>1920</v>
      </c>
      <c r="W47" s="12">
        <v>2496</v>
      </c>
      <c r="X47" s="12" t="s">
        <v>73</v>
      </c>
      <c r="Y47" s="12">
        <v>0</v>
      </c>
      <c r="Z47" s="12">
        <v>902</v>
      </c>
      <c r="AA47" s="12">
        <v>478.06</v>
      </c>
      <c r="AB47" s="12">
        <v>3180</v>
      </c>
      <c r="AC47" s="12">
        <v>3180</v>
      </c>
      <c r="AD47" s="12">
        <v>2850</v>
      </c>
      <c r="AE47" s="12">
        <v>4275</v>
      </c>
      <c r="AF47" s="12">
        <v>4800</v>
      </c>
      <c r="AG47" s="12">
        <v>6240</v>
      </c>
      <c r="AH47" s="12" t="s">
        <v>73</v>
      </c>
      <c r="AI47" s="12">
        <v>0</v>
      </c>
      <c r="AJ47" s="12">
        <v>41</v>
      </c>
      <c r="AK47" s="12">
        <v>21.73</v>
      </c>
      <c r="AL47" s="12">
        <v>5040</v>
      </c>
      <c r="AM47" s="12">
        <v>5040</v>
      </c>
      <c r="AN47" s="12">
        <v>14820</v>
      </c>
      <c r="AO47" s="12">
        <v>22230</v>
      </c>
      <c r="AP47" s="12">
        <v>3200</v>
      </c>
      <c r="AQ47" s="12">
        <v>4160</v>
      </c>
      <c r="AR47" s="12" t="s">
        <v>73</v>
      </c>
      <c r="AS47" s="12">
        <v>0</v>
      </c>
      <c r="AT47" s="12">
        <v>225</v>
      </c>
      <c r="AU47" s="12">
        <v>119.25</v>
      </c>
      <c r="AV47" s="12">
        <v>1560</v>
      </c>
      <c r="AW47" s="12">
        <v>1560</v>
      </c>
      <c r="AX47" s="12">
        <v>12000</v>
      </c>
      <c r="AY47" s="12">
        <v>18000</v>
      </c>
      <c r="AZ47" s="12">
        <v>1200</v>
      </c>
      <c r="BA47" s="12">
        <v>1560</v>
      </c>
    </row>
    <row r="48" spans="1:53" x14ac:dyDescent="0.3">
      <c r="A48" s="12" t="s">
        <v>74</v>
      </c>
      <c r="B48" s="16">
        <v>4212106</v>
      </c>
      <c r="C48" s="12" t="s">
        <v>164</v>
      </c>
      <c r="D48" s="12" t="s">
        <v>73</v>
      </c>
      <c r="E48" s="13">
        <v>0</v>
      </c>
      <c r="F48" s="12">
        <v>447</v>
      </c>
      <c r="G48" s="12">
        <v>236.91000000000003</v>
      </c>
      <c r="H48" s="12">
        <v>45000</v>
      </c>
      <c r="I48" s="12">
        <v>45000</v>
      </c>
      <c r="J48" s="12">
        <v>8280</v>
      </c>
      <c r="K48" s="12">
        <v>12420</v>
      </c>
      <c r="L48" s="12">
        <v>810</v>
      </c>
      <c r="M48" s="12">
        <v>1053</v>
      </c>
      <c r="N48" s="12" t="s">
        <v>73</v>
      </c>
      <c r="O48" s="12">
        <v>0</v>
      </c>
      <c r="P48" s="12">
        <v>55</v>
      </c>
      <c r="Q48" s="12">
        <v>29.150000000000002</v>
      </c>
      <c r="R48" s="12">
        <v>10500</v>
      </c>
      <c r="S48" s="12">
        <v>10500</v>
      </c>
      <c r="T48" s="12">
        <v>7230</v>
      </c>
      <c r="U48" s="12">
        <v>10845</v>
      </c>
      <c r="V48" s="12">
        <v>2970</v>
      </c>
      <c r="W48" s="12">
        <v>3861</v>
      </c>
      <c r="X48" s="12" t="s">
        <v>73</v>
      </c>
      <c r="Y48" s="12">
        <v>0</v>
      </c>
      <c r="Z48" s="12">
        <v>84</v>
      </c>
      <c r="AA48" s="12">
        <v>44.52</v>
      </c>
      <c r="AB48" s="12">
        <v>27000</v>
      </c>
      <c r="AC48" s="12">
        <v>27000</v>
      </c>
      <c r="AD48" s="12">
        <v>7314</v>
      </c>
      <c r="AE48" s="12">
        <v>10971</v>
      </c>
      <c r="AF48" s="12">
        <v>3600</v>
      </c>
      <c r="AG48" s="12">
        <v>4680</v>
      </c>
      <c r="AH48" s="12" t="s">
        <v>73</v>
      </c>
      <c r="AI48" s="12">
        <v>0</v>
      </c>
      <c r="AJ48" s="12">
        <v>48</v>
      </c>
      <c r="AK48" s="12">
        <v>25.44</v>
      </c>
      <c r="AL48" s="12">
        <v>34920</v>
      </c>
      <c r="AM48" s="12">
        <v>34920</v>
      </c>
      <c r="AN48" s="12">
        <v>12600</v>
      </c>
      <c r="AO48" s="12">
        <v>18900</v>
      </c>
      <c r="AP48" s="12">
        <v>2100</v>
      </c>
      <c r="AQ48" s="12">
        <v>2730</v>
      </c>
      <c r="AR48" s="12" t="s">
        <v>73</v>
      </c>
      <c r="AS48" s="12">
        <v>0</v>
      </c>
      <c r="AT48" s="12">
        <v>93</v>
      </c>
      <c r="AU48" s="12">
        <v>49.29</v>
      </c>
      <c r="AV48" s="12">
        <v>16056</v>
      </c>
      <c r="AW48" s="12">
        <v>16056</v>
      </c>
      <c r="AX48" s="12">
        <v>12930</v>
      </c>
      <c r="AY48" s="12">
        <v>19395</v>
      </c>
      <c r="AZ48" s="12">
        <v>3780</v>
      </c>
      <c r="BA48" s="12">
        <v>4914</v>
      </c>
    </row>
    <row r="49" spans="1:53" x14ac:dyDescent="0.3">
      <c r="A49" s="12" t="s">
        <v>74</v>
      </c>
      <c r="B49" s="16">
        <v>4212908</v>
      </c>
      <c r="C49" s="12" t="s">
        <v>166</v>
      </c>
      <c r="D49" s="12">
        <v>15</v>
      </c>
      <c r="E49" s="13">
        <v>18</v>
      </c>
      <c r="F49" s="12">
        <v>456</v>
      </c>
      <c r="G49" s="12">
        <v>241.68</v>
      </c>
      <c r="H49" s="12">
        <v>15960</v>
      </c>
      <c r="I49" s="12">
        <v>15960</v>
      </c>
      <c r="J49" s="12">
        <v>8400</v>
      </c>
      <c r="K49" s="12">
        <v>12600</v>
      </c>
      <c r="L49" s="12">
        <v>5103</v>
      </c>
      <c r="M49" s="12">
        <v>6633.9000000000005</v>
      </c>
      <c r="N49" s="12">
        <v>9</v>
      </c>
      <c r="O49" s="12">
        <v>10.799999999999999</v>
      </c>
      <c r="P49" s="12">
        <v>339</v>
      </c>
      <c r="Q49" s="12">
        <v>179.67000000000002</v>
      </c>
      <c r="R49" s="12">
        <v>6840</v>
      </c>
      <c r="S49" s="12">
        <v>6840</v>
      </c>
      <c r="T49" s="12">
        <v>7280</v>
      </c>
      <c r="U49" s="12">
        <v>10920</v>
      </c>
      <c r="V49" s="12">
        <v>3000</v>
      </c>
      <c r="W49" s="12">
        <v>3900</v>
      </c>
      <c r="X49" s="12">
        <v>4</v>
      </c>
      <c r="Y49" s="12">
        <v>4.8</v>
      </c>
      <c r="Z49" s="12">
        <v>247</v>
      </c>
      <c r="AA49" s="12">
        <v>130.91</v>
      </c>
      <c r="AB49" s="12">
        <v>8820</v>
      </c>
      <c r="AC49" s="12">
        <v>8820</v>
      </c>
      <c r="AD49" s="12">
        <v>5544</v>
      </c>
      <c r="AE49" s="12">
        <v>8316</v>
      </c>
      <c r="AF49" s="12">
        <v>3900</v>
      </c>
      <c r="AG49" s="12">
        <v>5070</v>
      </c>
      <c r="AH49" s="12">
        <v>10</v>
      </c>
      <c r="AI49" s="12">
        <v>12</v>
      </c>
      <c r="AJ49" s="12">
        <v>530</v>
      </c>
      <c r="AK49" s="12">
        <v>280.90000000000003</v>
      </c>
      <c r="AL49" s="12">
        <v>16290</v>
      </c>
      <c r="AM49" s="12">
        <v>16290</v>
      </c>
      <c r="AN49" s="12">
        <v>10230</v>
      </c>
      <c r="AO49" s="12">
        <v>15345</v>
      </c>
      <c r="AP49" s="12">
        <v>4350</v>
      </c>
      <c r="AQ49" s="12">
        <v>5655</v>
      </c>
      <c r="AR49" s="12">
        <v>10</v>
      </c>
      <c r="AS49" s="12">
        <v>12</v>
      </c>
      <c r="AT49" s="12">
        <v>368</v>
      </c>
      <c r="AU49" s="12">
        <v>195.04000000000002</v>
      </c>
      <c r="AV49" s="12">
        <v>12489</v>
      </c>
      <c r="AW49" s="12">
        <v>12489</v>
      </c>
      <c r="AX49" s="12">
        <v>13680</v>
      </c>
      <c r="AY49" s="12">
        <v>20520</v>
      </c>
      <c r="AZ49" s="12">
        <v>2970</v>
      </c>
      <c r="BA49" s="12">
        <v>3861</v>
      </c>
    </row>
    <row r="50" spans="1:53" x14ac:dyDescent="0.3">
      <c r="A50" s="12" t="s">
        <v>74</v>
      </c>
      <c r="B50" s="16">
        <v>4213153</v>
      </c>
      <c r="C50" s="12" t="s">
        <v>168</v>
      </c>
      <c r="D50" s="12" t="s">
        <v>73</v>
      </c>
      <c r="E50" s="13">
        <v>0</v>
      </c>
      <c r="F50" s="12">
        <v>24</v>
      </c>
      <c r="G50" s="12">
        <v>12.72</v>
      </c>
      <c r="H50" s="12">
        <v>3650</v>
      </c>
      <c r="I50" s="12">
        <v>3650</v>
      </c>
      <c r="J50" s="12">
        <v>540</v>
      </c>
      <c r="K50" s="12">
        <v>810</v>
      </c>
      <c r="L50" s="12">
        <v>300</v>
      </c>
      <c r="M50" s="12">
        <v>390</v>
      </c>
      <c r="N50" s="12" t="s">
        <v>73</v>
      </c>
      <c r="O50" s="12">
        <v>0</v>
      </c>
      <c r="P50" s="12">
        <v>7</v>
      </c>
      <c r="Q50" s="12">
        <v>3.71</v>
      </c>
      <c r="R50" s="12">
        <v>816</v>
      </c>
      <c r="S50" s="12">
        <v>816</v>
      </c>
      <c r="T50" s="12">
        <v>1350</v>
      </c>
      <c r="U50" s="12">
        <v>2025</v>
      </c>
      <c r="V50" s="12">
        <v>735</v>
      </c>
      <c r="W50" s="12">
        <v>955.5</v>
      </c>
      <c r="X50" s="12" t="s">
        <v>73</v>
      </c>
      <c r="Y50" s="12">
        <v>0</v>
      </c>
      <c r="Z50" s="12">
        <v>14</v>
      </c>
      <c r="AA50" s="12">
        <v>7.42</v>
      </c>
      <c r="AB50" s="12">
        <v>3150</v>
      </c>
      <c r="AC50" s="12">
        <v>3150</v>
      </c>
      <c r="AD50" s="12">
        <v>858</v>
      </c>
      <c r="AE50" s="12">
        <v>1287</v>
      </c>
      <c r="AF50" s="12">
        <v>429</v>
      </c>
      <c r="AG50" s="12">
        <v>557.70000000000005</v>
      </c>
      <c r="AH50" s="12" t="s">
        <v>73</v>
      </c>
      <c r="AI50" s="12">
        <v>0</v>
      </c>
      <c r="AJ50" s="12">
        <v>12</v>
      </c>
      <c r="AK50" s="12">
        <v>6.36</v>
      </c>
      <c r="AL50" s="12">
        <v>2721</v>
      </c>
      <c r="AM50" s="12">
        <v>2721</v>
      </c>
      <c r="AN50" s="12">
        <v>1515</v>
      </c>
      <c r="AO50" s="12">
        <v>2272.5</v>
      </c>
      <c r="AP50" s="12">
        <v>429</v>
      </c>
      <c r="AQ50" s="12">
        <v>557.70000000000005</v>
      </c>
      <c r="AR50" s="12" t="s">
        <v>73</v>
      </c>
      <c r="AS50" s="12">
        <v>0</v>
      </c>
      <c r="AT50" s="12">
        <v>5</v>
      </c>
      <c r="AU50" s="12">
        <v>2.6500000000000004</v>
      </c>
      <c r="AV50" s="12">
        <v>1755</v>
      </c>
      <c r="AW50" s="12">
        <v>1755</v>
      </c>
      <c r="AX50" s="12">
        <v>1884</v>
      </c>
      <c r="AY50" s="12">
        <v>2826</v>
      </c>
      <c r="AZ50" s="12">
        <v>828</v>
      </c>
      <c r="BA50" s="12">
        <v>1076.4000000000001</v>
      </c>
    </row>
    <row r="51" spans="1:53" x14ac:dyDescent="0.3">
      <c r="A51" s="12" t="s">
        <v>74</v>
      </c>
      <c r="B51" s="16">
        <v>4214201</v>
      </c>
      <c r="C51" s="12" t="s">
        <v>170</v>
      </c>
      <c r="D51" s="12">
        <v>7</v>
      </c>
      <c r="E51" s="13">
        <v>8.4</v>
      </c>
      <c r="F51" s="12">
        <v>501</v>
      </c>
      <c r="G51" s="12">
        <v>265.53000000000003</v>
      </c>
      <c r="H51" s="12">
        <v>25500</v>
      </c>
      <c r="I51" s="12">
        <v>25500</v>
      </c>
      <c r="J51" s="12">
        <v>20100</v>
      </c>
      <c r="K51" s="12">
        <v>30150</v>
      </c>
      <c r="L51" s="12">
        <v>2420</v>
      </c>
      <c r="M51" s="12">
        <v>3146</v>
      </c>
      <c r="N51" s="12" t="s">
        <v>73</v>
      </c>
      <c r="O51" s="12">
        <v>0</v>
      </c>
      <c r="P51" s="12">
        <v>171</v>
      </c>
      <c r="Q51" s="12">
        <v>90.63000000000001</v>
      </c>
      <c r="R51" s="12">
        <v>18000</v>
      </c>
      <c r="S51" s="12">
        <v>18000</v>
      </c>
      <c r="T51" s="12">
        <v>14835</v>
      </c>
      <c r="U51" s="12">
        <v>22252.5</v>
      </c>
      <c r="V51" s="12">
        <v>2583</v>
      </c>
      <c r="W51" s="12">
        <v>3357.9</v>
      </c>
      <c r="X51" s="12" t="s">
        <v>73</v>
      </c>
      <c r="Y51" s="12">
        <v>0</v>
      </c>
      <c r="Z51" s="12">
        <v>1140</v>
      </c>
      <c r="AA51" s="12">
        <v>604.20000000000005</v>
      </c>
      <c r="AB51" s="12">
        <v>18000</v>
      </c>
      <c r="AC51" s="12">
        <v>18000</v>
      </c>
      <c r="AD51" s="12">
        <v>10980</v>
      </c>
      <c r="AE51" s="12">
        <v>16470</v>
      </c>
      <c r="AF51" s="12">
        <v>4050</v>
      </c>
      <c r="AG51" s="12">
        <v>5265</v>
      </c>
      <c r="AH51" s="12" t="s">
        <v>73</v>
      </c>
      <c r="AI51" s="12">
        <v>0</v>
      </c>
      <c r="AJ51" s="12">
        <v>2400</v>
      </c>
      <c r="AK51" s="12">
        <v>1272</v>
      </c>
      <c r="AL51" s="12">
        <v>33600</v>
      </c>
      <c r="AM51" s="12">
        <v>33600</v>
      </c>
      <c r="AN51" s="12">
        <v>24000</v>
      </c>
      <c r="AO51" s="12">
        <v>36000</v>
      </c>
      <c r="AP51" s="12">
        <v>3600</v>
      </c>
      <c r="AQ51" s="12">
        <v>4680</v>
      </c>
      <c r="AR51" s="12" t="s">
        <v>73</v>
      </c>
      <c r="AS51" s="12">
        <v>0</v>
      </c>
      <c r="AT51" s="12">
        <v>750</v>
      </c>
      <c r="AU51" s="12">
        <v>397.5</v>
      </c>
      <c r="AV51" s="12">
        <v>30240</v>
      </c>
      <c r="AW51" s="12">
        <v>30240</v>
      </c>
      <c r="AX51" s="12">
        <v>21900</v>
      </c>
      <c r="AY51" s="12">
        <v>32850</v>
      </c>
      <c r="AZ51" s="12">
        <v>6480</v>
      </c>
      <c r="BA51" s="12">
        <v>8424</v>
      </c>
    </row>
    <row r="52" spans="1:53" x14ac:dyDescent="0.3">
      <c r="A52" s="12" t="s">
        <v>74</v>
      </c>
      <c r="B52" s="16">
        <v>4215356</v>
      </c>
      <c r="C52" s="12" t="s">
        <v>172</v>
      </c>
      <c r="D52" s="12" t="s">
        <v>73</v>
      </c>
      <c r="E52" s="13">
        <v>0</v>
      </c>
      <c r="F52" s="12">
        <v>8</v>
      </c>
      <c r="G52" s="12">
        <v>4.24</v>
      </c>
      <c r="H52" s="12">
        <v>4800</v>
      </c>
      <c r="I52" s="12">
        <v>4800</v>
      </c>
      <c r="J52" s="12">
        <v>2940</v>
      </c>
      <c r="K52" s="12">
        <v>4410</v>
      </c>
      <c r="L52" s="12">
        <v>229</v>
      </c>
      <c r="M52" s="12">
        <v>297.7</v>
      </c>
      <c r="N52" s="12" t="s">
        <v>73</v>
      </c>
      <c r="O52" s="12">
        <v>0</v>
      </c>
      <c r="P52" s="12">
        <v>35</v>
      </c>
      <c r="Q52" s="12">
        <v>18.55</v>
      </c>
      <c r="R52" s="12">
        <v>3750</v>
      </c>
      <c r="S52" s="12">
        <v>3750</v>
      </c>
      <c r="T52" s="12">
        <v>3036</v>
      </c>
      <c r="U52" s="12">
        <v>4554</v>
      </c>
      <c r="V52" s="12">
        <v>200</v>
      </c>
      <c r="W52" s="12">
        <v>260</v>
      </c>
      <c r="X52" s="12" t="s">
        <v>73</v>
      </c>
      <c r="Y52" s="12">
        <v>0</v>
      </c>
      <c r="Z52" s="12">
        <v>51</v>
      </c>
      <c r="AA52" s="12">
        <v>27.03</v>
      </c>
      <c r="AB52" s="12">
        <v>1890</v>
      </c>
      <c r="AC52" s="12">
        <v>1890</v>
      </c>
      <c r="AD52" s="12">
        <v>1650</v>
      </c>
      <c r="AE52" s="12">
        <v>2475</v>
      </c>
      <c r="AF52" s="12">
        <v>1800</v>
      </c>
      <c r="AG52" s="12">
        <v>2340</v>
      </c>
      <c r="AH52" s="12" t="s">
        <v>73</v>
      </c>
      <c r="AI52" s="12">
        <v>0</v>
      </c>
      <c r="AJ52" s="12">
        <v>25</v>
      </c>
      <c r="AK52" s="12">
        <v>13.25</v>
      </c>
      <c r="AL52" s="12">
        <v>4050</v>
      </c>
      <c r="AM52" s="12">
        <v>4050</v>
      </c>
      <c r="AN52" s="12">
        <v>4680</v>
      </c>
      <c r="AO52" s="12">
        <v>7020</v>
      </c>
      <c r="AP52" s="12">
        <v>1650</v>
      </c>
      <c r="AQ52" s="12">
        <v>2145</v>
      </c>
      <c r="AR52" s="12" t="s">
        <v>73</v>
      </c>
      <c r="AS52" s="12">
        <v>0</v>
      </c>
      <c r="AT52" s="12">
        <v>15</v>
      </c>
      <c r="AU52" s="12">
        <v>7.95</v>
      </c>
      <c r="AV52" s="12">
        <v>2160</v>
      </c>
      <c r="AW52" s="12">
        <v>2160</v>
      </c>
      <c r="AX52" s="12">
        <v>5850</v>
      </c>
      <c r="AY52" s="12">
        <v>8775</v>
      </c>
      <c r="AZ52" s="12">
        <v>1800</v>
      </c>
      <c r="BA52" s="12">
        <v>2340</v>
      </c>
    </row>
    <row r="53" spans="1:53" x14ac:dyDescent="0.3">
      <c r="A53" s="12" t="s">
        <v>74</v>
      </c>
      <c r="B53" s="16">
        <v>4215687</v>
      </c>
      <c r="C53" s="12" t="s">
        <v>174</v>
      </c>
      <c r="D53" s="12" t="s">
        <v>73</v>
      </c>
      <c r="E53" s="13">
        <v>0</v>
      </c>
      <c r="F53" s="12">
        <v>33</v>
      </c>
      <c r="G53" s="12">
        <v>17.490000000000002</v>
      </c>
      <c r="H53" s="12">
        <v>1200</v>
      </c>
      <c r="I53" s="12">
        <v>1200</v>
      </c>
      <c r="J53" s="12">
        <v>825</v>
      </c>
      <c r="K53" s="12">
        <v>1237.5</v>
      </c>
      <c r="L53" s="12" t="s">
        <v>73</v>
      </c>
      <c r="M53" s="12">
        <v>0</v>
      </c>
      <c r="N53" s="12" t="s">
        <v>73</v>
      </c>
      <c r="O53" s="12">
        <v>0</v>
      </c>
      <c r="P53" s="12">
        <v>35</v>
      </c>
      <c r="Q53" s="12">
        <v>18.55</v>
      </c>
      <c r="R53" s="12">
        <v>1020</v>
      </c>
      <c r="S53" s="12">
        <v>1020</v>
      </c>
      <c r="T53" s="12">
        <v>750</v>
      </c>
      <c r="U53" s="12">
        <v>1125</v>
      </c>
      <c r="V53" s="12">
        <v>48</v>
      </c>
      <c r="W53" s="12">
        <v>62.400000000000006</v>
      </c>
      <c r="X53" s="12" t="s">
        <v>73</v>
      </c>
      <c r="Y53" s="12">
        <v>0</v>
      </c>
      <c r="Z53" s="12">
        <v>33</v>
      </c>
      <c r="AA53" s="12">
        <v>17.490000000000002</v>
      </c>
      <c r="AB53" s="12">
        <v>720</v>
      </c>
      <c r="AC53" s="12">
        <v>720</v>
      </c>
      <c r="AD53" s="12">
        <v>960</v>
      </c>
      <c r="AE53" s="12">
        <v>1440</v>
      </c>
      <c r="AF53" s="12">
        <v>510</v>
      </c>
      <c r="AG53" s="12">
        <v>663</v>
      </c>
      <c r="AH53" s="12" t="s">
        <v>73</v>
      </c>
      <c r="AI53" s="12">
        <v>0</v>
      </c>
      <c r="AJ53" s="12">
        <v>27</v>
      </c>
      <c r="AK53" s="12">
        <v>14.31</v>
      </c>
      <c r="AL53" s="12">
        <v>990</v>
      </c>
      <c r="AM53" s="12">
        <v>990</v>
      </c>
      <c r="AN53" s="12">
        <v>1371</v>
      </c>
      <c r="AO53" s="12">
        <v>2056.5</v>
      </c>
      <c r="AP53" s="12">
        <v>52</v>
      </c>
      <c r="AQ53" s="12">
        <v>67.600000000000009</v>
      </c>
      <c r="AR53" s="12" t="s">
        <v>73</v>
      </c>
      <c r="AS53" s="12">
        <v>0</v>
      </c>
      <c r="AT53" s="12">
        <v>21</v>
      </c>
      <c r="AU53" s="12">
        <v>11.13</v>
      </c>
      <c r="AV53" s="12">
        <v>336</v>
      </c>
      <c r="AW53" s="12">
        <v>336</v>
      </c>
      <c r="AX53" s="12">
        <v>1173</v>
      </c>
      <c r="AY53" s="12">
        <v>1759.5</v>
      </c>
      <c r="AZ53" s="12">
        <v>83</v>
      </c>
      <c r="BA53" s="12">
        <v>107.9</v>
      </c>
    </row>
    <row r="54" spans="1:53" x14ac:dyDescent="0.3">
      <c r="A54" s="12" t="s">
        <v>74</v>
      </c>
      <c r="B54" s="16">
        <v>4215695</v>
      </c>
      <c r="C54" s="12" t="s">
        <v>176</v>
      </c>
      <c r="D54" s="12">
        <v>6</v>
      </c>
      <c r="E54" s="13">
        <v>7.1999999999999993</v>
      </c>
      <c r="F54" s="12">
        <v>189</v>
      </c>
      <c r="G54" s="12">
        <v>100.17</v>
      </c>
      <c r="H54" s="12">
        <v>1350</v>
      </c>
      <c r="I54" s="12">
        <v>1350</v>
      </c>
      <c r="J54" s="12">
        <v>3300</v>
      </c>
      <c r="K54" s="12">
        <v>4950</v>
      </c>
      <c r="L54" s="12">
        <v>360</v>
      </c>
      <c r="M54" s="12">
        <v>468</v>
      </c>
      <c r="N54" s="12" t="s">
        <v>73</v>
      </c>
      <c r="O54" s="12">
        <v>0</v>
      </c>
      <c r="P54" s="12">
        <v>900</v>
      </c>
      <c r="Q54" s="12">
        <v>477</v>
      </c>
      <c r="R54" s="12">
        <v>840</v>
      </c>
      <c r="S54" s="12">
        <v>840</v>
      </c>
      <c r="T54" s="12">
        <v>2980</v>
      </c>
      <c r="U54" s="12">
        <v>4470</v>
      </c>
      <c r="V54" s="12">
        <v>180</v>
      </c>
      <c r="W54" s="12">
        <v>234</v>
      </c>
      <c r="X54" s="12" t="s">
        <v>73</v>
      </c>
      <c r="Y54" s="12">
        <v>0</v>
      </c>
      <c r="Z54" s="12">
        <v>270</v>
      </c>
      <c r="AA54" s="12">
        <v>143.1</v>
      </c>
      <c r="AB54" s="12">
        <v>2160</v>
      </c>
      <c r="AC54" s="12">
        <v>2160</v>
      </c>
      <c r="AD54" s="12">
        <v>930</v>
      </c>
      <c r="AE54" s="12">
        <v>1395</v>
      </c>
      <c r="AF54" s="12">
        <v>315</v>
      </c>
      <c r="AG54" s="12">
        <v>409.5</v>
      </c>
      <c r="AH54" s="12" t="s">
        <v>73</v>
      </c>
      <c r="AI54" s="12">
        <v>0</v>
      </c>
      <c r="AJ54" s="12">
        <v>45</v>
      </c>
      <c r="AK54" s="12">
        <v>23.85</v>
      </c>
      <c r="AL54" s="12">
        <v>5100</v>
      </c>
      <c r="AM54" s="12">
        <v>5100</v>
      </c>
      <c r="AN54" s="12">
        <v>3825</v>
      </c>
      <c r="AO54" s="12">
        <v>5737.5</v>
      </c>
      <c r="AP54" s="12">
        <v>396</v>
      </c>
      <c r="AQ54" s="12">
        <v>514.80000000000007</v>
      </c>
      <c r="AR54" s="12" t="s">
        <v>73</v>
      </c>
      <c r="AS54" s="12">
        <v>0</v>
      </c>
      <c r="AT54" s="12">
        <v>180</v>
      </c>
      <c r="AU54" s="12">
        <v>95.4</v>
      </c>
      <c r="AV54" s="12">
        <v>2400</v>
      </c>
      <c r="AW54" s="12">
        <v>2400</v>
      </c>
      <c r="AX54" s="12">
        <v>4380</v>
      </c>
      <c r="AY54" s="12">
        <v>6570</v>
      </c>
      <c r="AZ54" s="12">
        <v>1260</v>
      </c>
      <c r="BA54" s="12">
        <v>1638</v>
      </c>
    </row>
    <row r="55" spans="1:53" x14ac:dyDescent="0.3">
      <c r="A55" s="12" t="s">
        <v>74</v>
      </c>
      <c r="B55" s="16">
        <v>4215752</v>
      </c>
      <c r="C55" s="12" t="s">
        <v>178</v>
      </c>
      <c r="D55" s="12">
        <v>4</v>
      </c>
      <c r="E55" s="13">
        <v>4.8</v>
      </c>
      <c r="F55" s="12">
        <v>103</v>
      </c>
      <c r="G55" s="12">
        <v>54.59</v>
      </c>
      <c r="H55" s="12">
        <v>2700</v>
      </c>
      <c r="I55" s="12">
        <v>2700</v>
      </c>
      <c r="J55" s="12">
        <v>5460</v>
      </c>
      <c r="K55" s="12">
        <v>8190</v>
      </c>
      <c r="L55" s="12">
        <v>40</v>
      </c>
      <c r="M55" s="12">
        <v>52</v>
      </c>
      <c r="N55" s="12" t="s">
        <v>73</v>
      </c>
      <c r="O55" s="12">
        <v>0</v>
      </c>
      <c r="P55" s="12">
        <v>36</v>
      </c>
      <c r="Q55" s="12">
        <v>19.080000000000002</v>
      </c>
      <c r="R55" s="12">
        <v>3000</v>
      </c>
      <c r="S55" s="12">
        <v>3000</v>
      </c>
      <c r="T55" s="12">
        <v>4620</v>
      </c>
      <c r="U55" s="12">
        <v>6930</v>
      </c>
      <c r="V55" s="12">
        <v>48</v>
      </c>
      <c r="W55" s="12">
        <v>62.400000000000006</v>
      </c>
      <c r="X55" s="12" t="s">
        <v>73</v>
      </c>
      <c r="Y55" s="12">
        <v>0</v>
      </c>
      <c r="Z55" s="12">
        <v>27</v>
      </c>
      <c r="AA55" s="12">
        <v>14.31</v>
      </c>
      <c r="AB55" s="12">
        <v>2100</v>
      </c>
      <c r="AC55" s="12">
        <v>2100</v>
      </c>
      <c r="AD55" s="12">
        <v>1400</v>
      </c>
      <c r="AE55" s="12">
        <v>2100</v>
      </c>
      <c r="AF55" s="12">
        <v>480</v>
      </c>
      <c r="AG55" s="12">
        <v>624</v>
      </c>
      <c r="AH55" s="12" t="s">
        <v>73</v>
      </c>
      <c r="AI55" s="12">
        <v>0</v>
      </c>
      <c r="AJ55" s="12">
        <v>55</v>
      </c>
      <c r="AK55" s="12">
        <v>29.150000000000002</v>
      </c>
      <c r="AL55" s="12">
        <v>2940</v>
      </c>
      <c r="AM55" s="12">
        <v>2940</v>
      </c>
      <c r="AN55" s="12">
        <v>7020</v>
      </c>
      <c r="AO55" s="12">
        <v>10530</v>
      </c>
      <c r="AP55" s="12">
        <v>180</v>
      </c>
      <c r="AQ55" s="12">
        <v>234</v>
      </c>
      <c r="AR55" s="12" t="s">
        <v>73</v>
      </c>
      <c r="AS55" s="12">
        <v>0</v>
      </c>
      <c r="AT55" s="12">
        <v>108</v>
      </c>
      <c r="AU55" s="12">
        <v>57.24</v>
      </c>
      <c r="AV55" s="12">
        <v>720</v>
      </c>
      <c r="AW55" s="12">
        <v>720</v>
      </c>
      <c r="AX55" s="12">
        <v>7686</v>
      </c>
      <c r="AY55" s="12">
        <v>11529</v>
      </c>
      <c r="AZ55" s="12">
        <v>450</v>
      </c>
      <c r="BA55" s="12">
        <v>585</v>
      </c>
    </row>
    <row r="56" spans="1:53" x14ac:dyDescent="0.3">
      <c r="A56" s="12" t="s">
        <v>74</v>
      </c>
      <c r="B56" s="16">
        <v>4216008</v>
      </c>
      <c r="C56" s="12" t="s">
        <v>180</v>
      </c>
      <c r="D56" s="12" t="s">
        <v>73</v>
      </c>
      <c r="E56" s="13">
        <v>0</v>
      </c>
      <c r="F56" s="12">
        <v>83</v>
      </c>
      <c r="G56" s="12">
        <v>43.99</v>
      </c>
      <c r="H56" s="12">
        <v>18900</v>
      </c>
      <c r="I56" s="12">
        <v>18900</v>
      </c>
      <c r="J56" s="12">
        <v>2634</v>
      </c>
      <c r="K56" s="12">
        <v>3951</v>
      </c>
      <c r="L56" s="12">
        <v>216</v>
      </c>
      <c r="M56" s="12">
        <v>280.8</v>
      </c>
      <c r="N56" s="12" t="s">
        <v>73</v>
      </c>
      <c r="O56" s="12">
        <v>0</v>
      </c>
      <c r="P56" s="12">
        <v>50</v>
      </c>
      <c r="Q56" s="12">
        <v>26.5</v>
      </c>
      <c r="R56" s="12">
        <v>6720</v>
      </c>
      <c r="S56" s="12">
        <v>6720</v>
      </c>
      <c r="T56" s="12">
        <v>2018</v>
      </c>
      <c r="U56" s="12">
        <v>3027</v>
      </c>
      <c r="V56" s="12">
        <v>720</v>
      </c>
      <c r="W56" s="12">
        <v>936</v>
      </c>
      <c r="X56" s="12" t="s">
        <v>73</v>
      </c>
      <c r="Y56" s="12">
        <v>0</v>
      </c>
      <c r="Z56" s="12">
        <v>27</v>
      </c>
      <c r="AA56" s="12">
        <v>14.31</v>
      </c>
      <c r="AB56" s="12">
        <v>6480</v>
      </c>
      <c r="AC56" s="12">
        <v>6480</v>
      </c>
      <c r="AD56" s="12">
        <v>2163</v>
      </c>
      <c r="AE56" s="12">
        <v>3244.5</v>
      </c>
      <c r="AF56" s="12">
        <v>972</v>
      </c>
      <c r="AG56" s="12">
        <v>1263.6000000000001</v>
      </c>
      <c r="AH56" s="12" t="s">
        <v>73</v>
      </c>
      <c r="AI56" s="12">
        <v>0</v>
      </c>
      <c r="AJ56" s="12">
        <v>36</v>
      </c>
      <c r="AK56" s="12">
        <v>19.080000000000002</v>
      </c>
      <c r="AL56" s="12">
        <v>5472</v>
      </c>
      <c r="AM56" s="12">
        <v>5472</v>
      </c>
      <c r="AN56" s="12">
        <v>2700</v>
      </c>
      <c r="AO56" s="12">
        <v>4050</v>
      </c>
      <c r="AP56" s="12">
        <v>360</v>
      </c>
      <c r="AQ56" s="12">
        <v>468</v>
      </c>
      <c r="AR56" s="12" t="s">
        <v>73</v>
      </c>
      <c r="AS56" s="12">
        <v>0</v>
      </c>
      <c r="AT56" s="12">
        <v>24</v>
      </c>
      <c r="AU56" s="12">
        <v>12.72</v>
      </c>
      <c r="AV56" s="12">
        <v>4320</v>
      </c>
      <c r="AW56" s="12">
        <v>4320</v>
      </c>
      <c r="AX56" s="12">
        <v>3600</v>
      </c>
      <c r="AY56" s="12">
        <v>5400</v>
      </c>
      <c r="AZ56" s="12">
        <v>540</v>
      </c>
      <c r="BA56" s="12">
        <v>702</v>
      </c>
    </row>
    <row r="57" spans="1:53" x14ac:dyDescent="0.3">
      <c r="A57" s="12" t="s">
        <v>74</v>
      </c>
      <c r="B57" s="16">
        <v>4216909</v>
      </c>
      <c r="C57" s="12" t="s">
        <v>182</v>
      </c>
      <c r="D57" s="12" t="s">
        <v>73</v>
      </c>
      <c r="E57" s="13">
        <v>0</v>
      </c>
      <c r="F57" s="12">
        <v>624</v>
      </c>
      <c r="G57" s="12">
        <v>330.72</v>
      </c>
      <c r="H57" s="12">
        <v>24300</v>
      </c>
      <c r="I57" s="12">
        <v>24300</v>
      </c>
      <c r="J57" s="12">
        <v>15120</v>
      </c>
      <c r="K57" s="12">
        <v>22680</v>
      </c>
      <c r="L57" s="12">
        <v>800</v>
      </c>
      <c r="M57" s="12">
        <v>1040</v>
      </c>
      <c r="N57" s="12" t="s">
        <v>73</v>
      </c>
      <c r="O57" s="12">
        <v>0</v>
      </c>
      <c r="P57" s="12">
        <v>126</v>
      </c>
      <c r="Q57" s="12">
        <v>66.78</v>
      </c>
      <c r="R57" s="12">
        <v>12558</v>
      </c>
      <c r="S57" s="12">
        <v>12558</v>
      </c>
      <c r="T57" s="12">
        <v>10800</v>
      </c>
      <c r="U57" s="12">
        <v>16200</v>
      </c>
      <c r="V57" s="12">
        <v>1920</v>
      </c>
      <c r="W57" s="12">
        <v>2496</v>
      </c>
      <c r="X57" s="12" t="s">
        <v>73</v>
      </c>
      <c r="Y57" s="12">
        <v>0</v>
      </c>
      <c r="Z57" s="12">
        <v>630</v>
      </c>
      <c r="AA57" s="12">
        <v>333.90000000000003</v>
      </c>
      <c r="AB57" s="12">
        <v>11040</v>
      </c>
      <c r="AC57" s="12">
        <v>11040</v>
      </c>
      <c r="AD57" s="12">
        <v>4800</v>
      </c>
      <c r="AE57" s="12">
        <v>7200</v>
      </c>
      <c r="AF57" s="12">
        <v>4950</v>
      </c>
      <c r="AG57" s="12">
        <v>6435</v>
      </c>
      <c r="AH57" s="12" t="s">
        <v>73</v>
      </c>
      <c r="AI57" s="12">
        <v>0</v>
      </c>
      <c r="AJ57" s="12">
        <v>888</v>
      </c>
      <c r="AK57" s="12">
        <v>470.64000000000004</v>
      </c>
      <c r="AL57" s="12">
        <v>18675</v>
      </c>
      <c r="AM57" s="12">
        <v>18675</v>
      </c>
      <c r="AN57" s="12">
        <v>17280</v>
      </c>
      <c r="AO57" s="12">
        <v>25920</v>
      </c>
      <c r="AP57" s="12">
        <v>3360</v>
      </c>
      <c r="AQ57" s="12">
        <v>4368</v>
      </c>
      <c r="AR57" s="12" t="s">
        <v>73</v>
      </c>
      <c r="AS57" s="12">
        <v>0</v>
      </c>
      <c r="AT57" s="12">
        <v>1728</v>
      </c>
      <c r="AU57" s="12">
        <v>915.84</v>
      </c>
      <c r="AV57" s="12">
        <v>9675</v>
      </c>
      <c r="AW57" s="12">
        <v>9675</v>
      </c>
      <c r="AX57" s="12">
        <v>18300</v>
      </c>
      <c r="AY57" s="12">
        <v>27450</v>
      </c>
      <c r="AZ57" s="12">
        <v>4500</v>
      </c>
      <c r="BA57" s="12">
        <v>5850</v>
      </c>
    </row>
    <row r="58" spans="1:53" x14ac:dyDescent="0.3">
      <c r="A58" s="12" t="s">
        <v>74</v>
      </c>
      <c r="B58" s="16">
        <v>4217154</v>
      </c>
      <c r="C58" s="12" t="s">
        <v>184</v>
      </c>
      <c r="D58" s="12" t="s">
        <v>73</v>
      </c>
      <c r="E58" s="13">
        <v>0</v>
      </c>
      <c r="F58" s="12">
        <v>60</v>
      </c>
      <c r="G58" s="12">
        <v>31.8</v>
      </c>
      <c r="H58" s="12">
        <v>3150</v>
      </c>
      <c r="I58" s="12">
        <v>3150</v>
      </c>
      <c r="J58" s="12">
        <v>1485</v>
      </c>
      <c r="K58" s="12">
        <v>2227.5</v>
      </c>
      <c r="L58" s="12" t="s">
        <v>73</v>
      </c>
      <c r="M58" s="12">
        <v>0</v>
      </c>
      <c r="N58" s="12" t="s">
        <v>73</v>
      </c>
      <c r="O58" s="12">
        <v>0</v>
      </c>
      <c r="P58" s="12">
        <v>6</v>
      </c>
      <c r="Q58" s="12">
        <v>3.18</v>
      </c>
      <c r="R58" s="12">
        <v>1701</v>
      </c>
      <c r="S58" s="12">
        <v>1701</v>
      </c>
      <c r="T58" s="12">
        <v>858</v>
      </c>
      <c r="U58" s="12">
        <v>1287</v>
      </c>
      <c r="V58" s="12">
        <v>528</v>
      </c>
      <c r="W58" s="12">
        <v>686.4</v>
      </c>
      <c r="X58" s="12" t="s">
        <v>73</v>
      </c>
      <c r="Y58" s="12">
        <v>0</v>
      </c>
      <c r="Z58" s="12">
        <v>55</v>
      </c>
      <c r="AA58" s="12">
        <v>29.150000000000002</v>
      </c>
      <c r="AB58" s="12">
        <v>1080</v>
      </c>
      <c r="AC58" s="12">
        <v>1080</v>
      </c>
      <c r="AD58" s="12">
        <v>375</v>
      </c>
      <c r="AE58" s="12">
        <v>562.5</v>
      </c>
      <c r="AF58" s="12" t="s">
        <v>73</v>
      </c>
      <c r="AG58" s="12">
        <v>0</v>
      </c>
      <c r="AH58" s="12" t="s">
        <v>73</v>
      </c>
      <c r="AI58" s="12">
        <v>0</v>
      </c>
      <c r="AJ58" s="12">
        <v>9</v>
      </c>
      <c r="AK58" s="12">
        <v>4.7700000000000005</v>
      </c>
      <c r="AL58" s="12">
        <v>2736</v>
      </c>
      <c r="AM58" s="12">
        <v>2736</v>
      </c>
      <c r="AN58" s="12">
        <v>1536</v>
      </c>
      <c r="AO58" s="12">
        <v>2304</v>
      </c>
      <c r="AP58" s="12">
        <v>600</v>
      </c>
      <c r="AQ58" s="12">
        <v>780</v>
      </c>
      <c r="AR58" s="12" t="s">
        <v>73</v>
      </c>
      <c r="AS58" s="12">
        <v>0</v>
      </c>
      <c r="AT58" s="12">
        <v>11</v>
      </c>
      <c r="AU58" s="12">
        <v>5.83</v>
      </c>
      <c r="AV58" s="12">
        <v>1824</v>
      </c>
      <c r="AW58" s="12">
        <v>1824</v>
      </c>
      <c r="AX58" s="12">
        <v>1845</v>
      </c>
      <c r="AY58" s="12">
        <v>2767.5</v>
      </c>
      <c r="AZ58" s="12">
        <v>1044</v>
      </c>
      <c r="BA58" s="12">
        <v>1357.2</v>
      </c>
    </row>
    <row r="59" spans="1:53" x14ac:dyDescent="0.3">
      <c r="A59" s="12" t="s">
        <v>74</v>
      </c>
      <c r="B59" s="16">
        <v>4217303</v>
      </c>
      <c r="C59" s="12" t="s">
        <v>186</v>
      </c>
      <c r="D59" s="12">
        <v>2</v>
      </c>
      <c r="E59" s="13">
        <v>2.4</v>
      </c>
      <c r="F59" s="12">
        <v>45</v>
      </c>
      <c r="G59" s="12">
        <v>23.85</v>
      </c>
      <c r="H59" s="12">
        <v>27000</v>
      </c>
      <c r="I59" s="12">
        <v>27000</v>
      </c>
      <c r="J59" s="12">
        <v>8520</v>
      </c>
      <c r="K59" s="12">
        <v>12780</v>
      </c>
      <c r="L59" s="12">
        <v>1200</v>
      </c>
      <c r="M59" s="12">
        <v>1560</v>
      </c>
      <c r="N59" s="12">
        <v>2</v>
      </c>
      <c r="O59" s="12">
        <v>2.4</v>
      </c>
      <c r="P59" s="12">
        <v>15</v>
      </c>
      <c r="Q59" s="12">
        <v>7.95</v>
      </c>
      <c r="R59" s="12">
        <v>10800</v>
      </c>
      <c r="S59" s="12">
        <v>10800</v>
      </c>
      <c r="T59" s="12">
        <v>5700</v>
      </c>
      <c r="U59" s="12">
        <v>8550</v>
      </c>
      <c r="V59" s="12">
        <v>3960</v>
      </c>
      <c r="W59" s="12">
        <v>5148</v>
      </c>
      <c r="X59" s="12">
        <v>6</v>
      </c>
      <c r="Y59" s="12">
        <v>7.1999999999999993</v>
      </c>
      <c r="Z59" s="12">
        <v>5</v>
      </c>
      <c r="AA59" s="12">
        <v>2.6500000000000004</v>
      </c>
      <c r="AB59" s="12">
        <v>20280</v>
      </c>
      <c r="AC59" s="12">
        <v>20280</v>
      </c>
      <c r="AD59" s="12">
        <v>10800</v>
      </c>
      <c r="AE59" s="12">
        <v>16200</v>
      </c>
      <c r="AF59" s="12">
        <v>2310</v>
      </c>
      <c r="AG59" s="12">
        <v>3003</v>
      </c>
      <c r="AH59" s="12">
        <v>6</v>
      </c>
      <c r="AI59" s="12">
        <v>7.1999999999999993</v>
      </c>
      <c r="AJ59" s="12">
        <v>7</v>
      </c>
      <c r="AK59" s="12">
        <v>3.71</v>
      </c>
      <c r="AL59" s="12">
        <v>31680</v>
      </c>
      <c r="AM59" s="12">
        <v>31680</v>
      </c>
      <c r="AN59" s="12">
        <v>13920</v>
      </c>
      <c r="AO59" s="12">
        <v>20880</v>
      </c>
      <c r="AP59" s="12">
        <v>5328</v>
      </c>
      <c r="AQ59" s="12">
        <v>6926.4000000000005</v>
      </c>
      <c r="AR59" s="12">
        <v>6</v>
      </c>
      <c r="AS59" s="12">
        <v>7.1999999999999993</v>
      </c>
      <c r="AT59" s="12">
        <v>27</v>
      </c>
      <c r="AU59" s="12">
        <v>14.31</v>
      </c>
      <c r="AV59" s="12">
        <v>19800</v>
      </c>
      <c r="AW59" s="12">
        <v>19800</v>
      </c>
      <c r="AX59" s="12">
        <v>22200</v>
      </c>
      <c r="AY59" s="12">
        <v>33300</v>
      </c>
      <c r="AZ59" s="12">
        <v>6480</v>
      </c>
      <c r="BA59" s="12">
        <v>8424</v>
      </c>
    </row>
    <row r="60" spans="1:53" x14ac:dyDescent="0.3">
      <c r="A60" s="12" t="s">
        <v>74</v>
      </c>
      <c r="B60" s="16">
        <v>4217550</v>
      </c>
      <c r="C60" s="12" t="s">
        <v>188</v>
      </c>
      <c r="D60" s="12" t="s">
        <v>73</v>
      </c>
      <c r="E60" s="13">
        <v>0</v>
      </c>
      <c r="F60" s="12">
        <v>12</v>
      </c>
      <c r="G60" s="12">
        <v>6.36</v>
      </c>
      <c r="H60" s="12">
        <v>3240</v>
      </c>
      <c r="I60" s="12">
        <v>3240</v>
      </c>
      <c r="J60" s="12">
        <v>6300</v>
      </c>
      <c r="K60" s="12">
        <v>9450</v>
      </c>
      <c r="L60" s="12">
        <v>1290</v>
      </c>
      <c r="M60" s="12">
        <v>1677</v>
      </c>
      <c r="N60" s="12" t="s">
        <v>73</v>
      </c>
      <c r="O60" s="12">
        <v>0</v>
      </c>
      <c r="P60" s="12" t="s">
        <v>73</v>
      </c>
      <c r="Q60" s="12">
        <v>0</v>
      </c>
      <c r="R60" s="12">
        <v>1620</v>
      </c>
      <c r="S60" s="12">
        <v>1620</v>
      </c>
      <c r="T60" s="12">
        <v>6300</v>
      </c>
      <c r="U60" s="12">
        <v>9450</v>
      </c>
      <c r="V60" s="12">
        <v>3960</v>
      </c>
      <c r="W60" s="12">
        <v>5148</v>
      </c>
      <c r="X60" s="12" t="s">
        <v>73</v>
      </c>
      <c r="Y60" s="12">
        <v>0</v>
      </c>
      <c r="Z60" s="12" t="s">
        <v>73</v>
      </c>
      <c r="AA60" s="12">
        <v>0</v>
      </c>
      <c r="AB60" s="12">
        <v>3802</v>
      </c>
      <c r="AC60" s="12">
        <v>3802</v>
      </c>
      <c r="AD60" s="12">
        <v>2850</v>
      </c>
      <c r="AE60" s="12">
        <v>4275</v>
      </c>
      <c r="AF60" s="12">
        <v>3960</v>
      </c>
      <c r="AG60" s="12">
        <v>5148</v>
      </c>
      <c r="AH60" s="12" t="s">
        <v>73</v>
      </c>
      <c r="AI60" s="12">
        <v>0</v>
      </c>
      <c r="AJ60" s="12" t="s">
        <v>73</v>
      </c>
      <c r="AK60" s="12">
        <v>0</v>
      </c>
      <c r="AL60" s="12">
        <v>5322</v>
      </c>
      <c r="AM60" s="12">
        <v>5322</v>
      </c>
      <c r="AN60" s="12">
        <v>6300</v>
      </c>
      <c r="AO60" s="12">
        <v>9450</v>
      </c>
      <c r="AP60" s="12">
        <v>2100</v>
      </c>
      <c r="AQ60" s="12">
        <v>2730</v>
      </c>
      <c r="AR60" s="12" t="s">
        <v>73</v>
      </c>
      <c r="AS60" s="12">
        <v>0</v>
      </c>
      <c r="AT60" s="12">
        <v>225</v>
      </c>
      <c r="AU60" s="12">
        <v>119.25</v>
      </c>
      <c r="AV60" s="12">
        <v>4197</v>
      </c>
      <c r="AW60" s="12">
        <v>4197</v>
      </c>
      <c r="AX60" s="12">
        <v>5520</v>
      </c>
      <c r="AY60" s="12">
        <v>8280</v>
      </c>
      <c r="AZ60" s="12">
        <v>3600</v>
      </c>
      <c r="BA60" s="12">
        <v>4680</v>
      </c>
    </row>
    <row r="61" spans="1:53" x14ac:dyDescent="0.3">
      <c r="A61" s="12" t="s">
        <v>74</v>
      </c>
      <c r="B61" s="16">
        <v>4217758</v>
      </c>
      <c r="C61" s="12" t="s">
        <v>190</v>
      </c>
      <c r="D61" s="12">
        <v>4</v>
      </c>
      <c r="E61" s="13">
        <v>4.8</v>
      </c>
      <c r="F61" s="12">
        <v>38</v>
      </c>
      <c r="G61" s="12">
        <v>20.14</v>
      </c>
      <c r="H61" s="12">
        <v>4950</v>
      </c>
      <c r="I61" s="12">
        <v>4950</v>
      </c>
      <c r="J61" s="12">
        <v>891</v>
      </c>
      <c r="K61" s="12">
        <v>1336.5</v>
      </c>
      <c r="L61" s="12">
        <v>24</v>
      </c>
      <c r="M61" s="12">
        <v>31.200000000000003</v>
      </c>
      <c r="N61" s="12">
        <v>2</v>
      </c>
      <c r="O61" s="12">
        <v>2.4</v>
      </c>
      <c r="P61" s="12">
        <v>38</v>
      </c>
      <c r="Q61" s="12">
        <v>20.14</v>
      </c>
      <c r="R61" s="12">
        <v>3135</v>
      </c>
      <c r="S61" s="12">
        <v>3135</v>
      </c>
      <c r="T61" s="12">
        <v>735</v>
      </c>
      <c r="U61" s="12">
        <v>1102.5</v>
      </c>
      <c r="V61" s="12">
        <v>1224</v>
      </c>
      <c r="W61" s="12">
        <v>1591.2</v>
      </c>
      <c r="X61" s="12">
        <v>3</v>
      </c>
      <c r="Y61" s="12">
        <v>3.5999999999999996</v>
      </c>
      <c r="Z61" s="12">
        <v>14</v>
      </c>
      <c r="AA61" s="12">
        <v>7.42</v>
      </c>
      <c r="AB61" s="12">
        <v>3960</v>
      </c>
      <c r="AC61" s="12">
        <v>3960</v>
      </c>
      <c r="AD61" s="12">
        <v>945</v>
      </c>
      <c r="AE61" s="12">
        <v>1417.5</v>
      </c>
      <c r="AF61" s="12">
        <v>1224</v>
      </c>
      <c r="AG61" s="12">
        <v>1591.2</v>
      </c>
      <c r="AH61" s="12">
        <v>3</v>
      </c>
      <c r="AI61" s="12">
        <v>3.5999999999999996</v>
      </c>
      <c r="AJ61" s="12">
        <v>17</v>
      </c>
      <c r="AK61" s="12">
        <v>9.01</v>
      </c>
      <c r="AL61" s="12">
        <v>5850</v>
      </c>
      <c r="AM61" s="12">
        <v>5850</v>
      </c>
      <c r="AN61" s="12">
        <v>1200</v>
      </c>
      <c r="AO61" s="12">
        <v>1800</v>
      </c>
      <c r="AP61" s="12">
        <v>576</v>
      </c>
      <c r="AQ61" s="12">
        <v>748.80000000000007</v>
      </c>
      <c r="AR61" s="12">
        <v>3</v>
      </c>
      <c r="AS61" s="12">
        <v>3.5999999999999996</v>
      </c>
      <c r="AT61" s="12">
        <v>18</v>
      </c>
      <c r="AU61" s="12">
        <v>9.5400000000000009</v>
      </c>
      <c r="AV61" s="12">
        <v>2970</v>
      </c>
      <c r="AW61" s="12">
        <v>2970</v>
      </c>
      <c r="AX61" s="12">
        <v>2700</v>
      </c>
      <c r="AY61" s="12">
        <v>4050</v>
      </c>
      <c r="AZ61" s="12">
        <v>1008</v>
      </c>
      <c r="BA61" s="12">
        <v>1310.4000000000001</v>
      </c>
    </row>
    <row r="62" spans="1:53" x14ac:dyDescent="0.3">
      <c r="A62" s="12" t="s">
        <v>74</v>
      </c>
      <c r="B62" s="16">
        <v>4217956</v>
      </c>
      <c r="C62" s="12" t="s">
        <v>192</v>
      </c>
      <c r="D62" s="12" t="s">
        <v>73</v>
      </c>
      <c r="E62" s="13">
        <v>0</v>
      </c>
      <c r="F62" s="12">
        <v>7</v>
      </c>
      <c r="G62" s="12">
        <v>3.71</v>
      </c>
      <c r="H62" s="12">
        <v>7020</v>
      </c>
      <c r="I62" s="12">
        <v>7020</v>
      </c>
      <c r="J62" s="12">
        <v>3120</v>
      </c>
      <c r="K62" s="12">
        <v>4680</v>
      </c>
      <c r="L62" s="12">
        <v>405</v>
      </c>
      <c r="M62" s="12">
        <v>526.5</v>
      </c>
      <c r="N62" s="12" t="s">
        <v>73</v>
      </c>
      <c r="O62" s="12">
        <v>0</v>
      </c>
      <c r="P62" s="12">
        <v>9</v>
      </c>
      <c r="Q62" s="12">
        <v>4.7700000000000005</v>
      </c>
      <c r="R62" s="12">
        <v>3780</v>
      </c>
      <c r="S62" s="12">
        <v>3780</v>
      </c>
      <c r="T62" s="12">
        <v>3240</v>
      </c>
      <c r="U62" s="12">
        <v>4860</v>
      </c>
      <c r="V62" s="12">
        <v>1620</v>
      </c>
      <c r="W62" s="12">
        <v>2106</v>
      </c>
      <c r="X62" s="12" t="s">
        <v>73</v>
      </c>
      <c r="Y62" s="12">
        <v>0</v>
      </c>
      <c r="Z62" s="12">
        <v>22</v>
      </c>
      <c r="AA62" s="12">
        <v>11.66</v>
      </c>
      <c r="AB62" s="12">
        <v>2970</v>
      </c>
      <c r="AC62" s="12">
        <v>2970</v>
      </c>
      <c r="AD62" s="12">
        <v>2475</v>
      </c>
      <c r="AE62" s="12">
        <v>3712.5</v>
      </c>
      <c r="AF62" s="12">
        <v>1980</v>
      </c>
      <c r="AG62" s="12">
        <v>2574</v>
      </c>
      <c r="AH62" s="12" t="s">
        <v>73</v>
      </c>
      <c r="AI62" s="12">
        <v>0</v>
      </c>
      <c r="AJ62" s="12">
        <v>27</v>
      </c>
      <c r="AK62" s="12">
        <v>14.31</v>
      </c>
      <c r="AL62" s="12">
        <v>4872</v>
      </c>
      <c r="AM62" s="12">
        <v>4872</v>
      </c>
      <c r="AN62" s="12">
        <v>4800</v>
      </c>
      <c r="AO62" s="12">
        <v>7200</v>
      </c>
      <c r="AP62" s="12">
        <v>2400</v>
      </c>
      <c r="AQ62" s="12">
        <v>3120</v>
      </c>
      <c r="AR62" s="12" t="s">
        <v>73</v>
      </c>
      <c r="AS62" s="12">
        <v>0</v>
      </c>
      <c r="AT62" s="12">
        <v>27</v>
      </c>
      <c r="AU62" s="12">
        <v>14.31</v>
      </c>
      <c r="AV62" s="12">
        <v>4095</v>
      </c>
      <c r="AW62" s="12">
        <v>4095</v>
      </c>
      <c r="AX62" s="12">
        <v>4305</v>
      </c>
      <c r="AY62" s="12">
        <v>6457.5</v>
      </c>
      <c r="AZ62" s="12">
        <v>2520</v>
      </c>
      <c r="BA62" s="12">
        <v>3276</v>
      </c>
    </row>
    <row r="63" spans="1:53" x14ac:dyDescent="0.3">
      <c r="A63" s="12" t="s">
        <v>74</v>
      </c>
      <c r="B63" s="16">
        <v>4218855</v>
      </c>
      <c r="C63" s="12" t="s">
        <v>194</v>
      </c>
      <c r="D63" s="12" t="s">
        <v>73</v>
      </c>
      <c r="E63" s="13">
        <v>0</v>
      </c>
      <c r="F63" s="12">
        <v>98</v>
      </c>
      <c r="G63" s="12">
        <v>51.940000000000005</v>
      </c>
      <c r="H63" s="12">
        <v>6300</v>
      </c>
      <c r="I63" s="12">
        <v>6300</v>
      </c>
      <c r="J63" s="12">
        <v>4872</v>
      </c>
      <c r="K63" s="12">
        <v>7308</v>
      </c>
      <c r="L63" s="12">
        <v>1260</v>
      </c>
      <c r="M63" s="12">
        <v>1638</v>
      </c>
      <c r="N63" s="12" t="s">
        <v>73</v>
      </c>
      <c r="O63" s="12">
        <v>0</v>
      </c>
      <c r="P63" s="12">
        <v>21</v>
      </c>
      <c r="Q63" s="12">
        <v>11.13</v>
      </c>
      <c r="R63" s="12">
        <v>2275</v>
      </c>
      <c r="S63" s="12">
        <v>2275</v>
      </c>
      <c r="T63" s="12">
        <v>3080</v>
      </c>
      <c r="U63" s="12">
        <v>4620</v>
      </c>
      <c r="V63" s="12">
        <v>2400</v>
      </c>
      <c r="W63" s="12">
        <v>3120</v>
      </c>
      <c r="X63" s="12" t="s">
        <v>73</v>
      </c>
      <c r="Y63" s="12">
        <v>0</v>
      </c>
      <c r="Z63" s="12">
        <v>192</v>
      </c>
      <c r="AA63" s="12">
        <v>101.76</v>
      </c>
      <c r="AB63" s="12">
        <v>4680</v>
      </c>
      <c r="AC63" s="12">
        <v>4680</v>
      </c>
      <c r="AD63" s="12">
        <v>3840</v>
      </c>
      <c r="AE63" s="12">
        <v>5760</v>
      </c>
      <c r="AF63" s="12">
        <v>3900</v>
      </c>
      <c r="AG63" s="12">
        <v>5070</v>
      </c>
      <c r="AH63" s="12" t="s">
        <v>73</v>
      </c>
      <c r="AI63" s="12">
        <v>0</v>
      </c>
      <c r="AJ63" s="12">
        <v>128</v>
      </c>
      <c r="AK63" s="12">
        <v>67.84</v>
      </c>
      <c r="AL63" s="12">
        <v>7800</v>
      </c>
      <c r="AM63" s="12">
        <v>7800</v>
      </c>
      <c r="AN63" s="12">
        <v>4800</v>
      </c>
      <c r="AO63" s="12">
        <v>7200</v>
      </c>
      <c r="AP63" s="12">
        <v>2000</v>
      </c>
      <c r="AQ63" s="12">
        <v>2600</v>
      </c>
      <c r="AR63" s="12" t="s">
        <v>73</v>
      </c>
      <c r="AS63" s="12">
        <v>0</v>
      </c>
      <c r="AT63" s="12">
        <v>54</v>
      </c>
      <c r="AU63" s="12">
        <v>28.62</v>
      </c>
      <c r="AV63" s="12">
        <v>4485</v>
      </c>
      <c r="AW63" s="12">
        <v>4485</v>
      </c>
      <c r="AX63" s="12">
        <v>6000</v>
      </c>
      <c r="AY63" s="12">
        <v>9000</v>
      </c>
      <c r="AZ63" s="12">
        <v>2400</v>
      </c>
      <c r="BA63" s="12">
        <v>3120</v>
      </c>
    </row>
    <row r="64" spans="1:53" x14ac:dyDescent="0.3">
      <c r="A64" s="12" t="s">
        <v>70</v>
      </c>
      <c r="B64" s="16">
        <v>42003</v>
      </c>
      <c r="C64" s="12" t="s">
        <v>196</v>
      </c>
      <c r="D64" s="12">
        <v>1</v>
      </c>
      <c r="E64" s="13">
        <v>1.2</v>
      </c>
      <c r="F64" s="12">
        <v>32416</v>
      </c>
      <c r="G64" s="12">
        <v>17180.48</v>
      </c>
      <c r="H64" s="12">
        <v>324920</v>
      </c>
      <c r="I64" s="12">
        <v>324920</v>
      </c>
      <c r="J64" s="12">
        <v>549210</v>
      </c>
      <c r="K64" s="12">
        <v>823815</v>
      </c>
      <c r="L64" s="12">
        <v>36194</v>
      </c>
      <c r="M64" s="12">
        <v>47052.200000000004</v>
      </c>
      <c r="N64" s="12">
        <v>1</v>
      </c>
      <c r="O64" s="12">
        <v>1.2</v>
      </c>
      <c r="P64" s="12">
        <v>27344</v>
      </c>
      <c r="Q64" s="12">
        <v>14492.320000000002</v>
      </c>
      <c r="R64" s="12">
        <v>170400</v>
      </c>
      <c r="S64" s="12">
        <v>170400</v>
      </c>
      <c r="T64" s="12">
        <v>481967</v>
      </c>
      <c r="U64" s="12">
        <v>722950.5</v>
      </c>
      <c r="V64" s="12">
        <v>45782</v>
      </c>
      <c r="W64" s="12">
        <v>59516.6</v>
      </c>
      <c r="X64" s="12">
        <v>1</v>
      </c>
      <c r="Y64" s="12">
        <v>1.2</v>
      </c>
      <c r="Z64" s="12">
        <v>36619</v>
      </c>
      <c r="AA64" s="12">
        <v>19408.07</v>
      </c>
      <c r="AB64" s="12">
        <v>198275</v>
      </c>
      <c r="AC64" s="12">
        <v>198275</v>
      </c>
      <c r="AD64" s="12">
        <v>433776</v>
      </c>
      <c r="AE64" s="12">
        <v>650664</v>
      </c>
      <c r="AF64" s="12">
        <v>83805</v>
      </c>
      <c r="AG64" s="12">
        <v>108946.5</v>
      </c>
      <c r="AH64" s="12">
        <v>1</v>
      </c>
      <c r="AI64" s="12">
        <v>1.2</v>
      </c>
      <c r="AJ64" s="12">
        <v>39345</v>
      </c>
      <c r="AK64" s="12">
        <v>20852.850000000002</v>
      </c>
      <c r="AL64" s="12">
        <v>256072</v>
      </c>
      <c r="AM64" s="12">
        <v>256072</v>
      </c>
      <c r="AN64" s="12">
        <v>624590</v>
      </c>
      <c r="AO64" s="12">
        <v>936885</v>
      </c>
      <c r="AP64" s="12">
        <v>60714</v>
      </c>
      <c r="AQ64" s="12">
        <v>78928.2</v>
      </c>
      <c r="AR64" s="12">
        <v>1</v>
      </c>
      <c r="AS64" s="12">
        <v>1.2</v>
      </c>
      <c r="AT64" s="12">
        <v>42829</v>
      </c>
      <c r="AU64" s="12">
        <v>22699.370000000003</v>
      </c>
      <c r="AV64" s="12">
        <v>176250</v>
      </c>
      <c r="AW64" s="12">
        <v>176250</v>
      </c>
      <c r="AX64" s="12">
        <v>562440</v>
      </c>
      <c r="AY64" s="12">
        <v>843660</v>
      </c>
      <c r="AZ64" s="12">
        <v>78555</v>
      </c>
      <c r="BA64" s="12">
        <v>102121.5</v>
      </c>
    </row>
    <row r="65" spans="1:53" x14ac:dyDescent="0.3">
      <c r="A65" s="12" t="s">
        <v>74</v>
      </c>
      <c r="B65" s="16">
        <v>4200101</v>
      </c>
      <c r="C65" s="12" t="s">
        <v>198</v>
      </c>
      <c r="D65" s="12" t="s">
        <v>73</v>
      </c>
      <c r="E65" s="13">
        <v>0</v>
      </c>
      <c r="F65" s="12">
        <v>14460</v>
      </c>
      <c r="G65" s="12">
        <v>7663.8</v>
      </c>
      <c r="H65" s="12">
        <v>115200</v>
      </c>
      <c r="I65" s="12">
        <v>115200</v>
      </c>
      <c r="J65" s="12">
        <v>184920</v>
      </c>
      <c r="K65" s="12">
        <v>277380</v>
      </c>
      <c r="L65" s="12">
        <v>10500</v>
      </c>
      <c r="M65" s="12">
        <v>13650</v>
      </c>
      <c r="N65" s="12" t="s">
        <v>73</v>
      </c>
      <c r="O65" s="12">
        <v>0</v>
      </c>
      <c r="P65" s="12">
        <v>9000</v>
      </c>
      <c r="Q65" s="12">
        <v>4770</v>
      </c>
      <c r="R65" s="12">
        <v>50000</v>
      </c>
      <c r="S65" s="12">
        <v>50000</v>
      </c>
      <c r="T65" s="12">
        <v>159900</v>
      </c>
      <c r="U65" s="12">
        <v>239850</v>
      </c>
      <c r="V65" s="12">
        <v>7020</v>
      </c>
      <c r="W65" s="12">
        <v>9126</v>
      </c>
      <c r="X65" s="12" t="s">
        <v>73</v>
      </c>
      <c r="Y65" s="12">
        <v>0</v>
      </c>
      <c r="Z65" s="12">
        <v>13140</v>
      </c>
      <c r="AA65" s="12">
        <v>6964.2000000000007</v>
      </c>
      <c r="AB65" s="12">
        <v>45000</v>
      </c>
      <c r="AC65" s="12">
        <v>45000</v>
      </c>
      <c r="AD65" s="12">
        <v>180000</v>
      </c>
      <c r="AE65" s="12">
        <v>270000</v>
      </c>
      <c r="AF65" s="12">
        <v>19800</v>
      </c>
      <c r="AG65" s="12">
        <v>25740</v>
      </c>
      <c r="AH65" s="12" t="s">
        <v>73</v>
      </c>
      <c r="AI65" s="12">
        <v>0</v>
      </c>
      <c r="AJ65" s="12">
        <v>13815</v>
      </c>
      <c r="AK65" s="12">
        <v>7321.9500000000007</v>
      </c>
      <c r="AL65" s="12">
        <v>85200</v>
      </c>
      <c r="AM65" s="12">
        <v>85200</v>
      </c>
      <c r="AN65" s="12">
        <v>225630</v>
      </c>
      <c r="AO65" s="12">
        <v>338445</v>
      </c>
      <c r="AP65" s="12">
        <v>19200</v>
      </c>
      <c r="AQ65" s="12">
        <v>24960</v>
      </c>
      <c r="AR65" s="12" t="s">
        <v>73</v>
      </c>
      <c r="AS65" s="12">
        <v>0</v>
      </c>
      <c r="AT65" s="12">
        <v>13170</v>
      </c>
      <c r="AU65" s="12">
        <v>6980.1</v>
      </c>
      <c r="AV65" s="12">
        <v>50160</v>
      </c>
      <c r="AW65" s="12">
        <v>50160</v>
      </c>
      <c r="AX65" s="12">
        <v>188400</v>
      </c>
      <c r="AY65" s="12">
        <v>282600</v>
      </c>
      <c r="AZ65" s="12">
        <v>22680</v>
      </c>
      <c r="BA65" s="12">
        <v>29484</v>
      </c>
    </row>
    <row r="66" spans="1:53" x14ac:dyDescent="0.3">
      <c r="A66" s="12" t="s">
        <v>74</v>
      </c>
      <c r="B66" s="16">
        <v>4202537</v>
      </c>
      <c r="C66" s="12" t="s">
        <v>200</v>
      </c>
      <c r="D66" s="12" t="s">
        <v>73</v>
      </c>
      <c r="E66" s="13">
        <v>0</v>
      </c>
      <c r="F66" s="12">
        <v>678</v>
      </c>
      <c r="G66" s="12">
        <v>359.34000000000003</v>
      </c>
      <c r="H66" s="12">
        <v>13200</v>
      </c>
      <c r="I66" s="12">
        <v>13200</v>
      </c>
      <c r="J66" s="12">
        <v>10050</v>
      </c>
      <c r="K66" s="12">
        <v>15075</v>
      </c>
      <c r="L66" s="12">
        <v>56</v>
      </c>
      <c r="M66" s="12">
        <v>72.8</v>
      </c>
      <c r="N66" s="12" t="s">
        <v>73</v>
      </c>
      <c r="O66" s="12">
        <v>0</v>
      </c>
      <c r="P66" s="12">
        <v>650</v>
      </c>
      <c r="Q66" s="12">
        <v>344.5</v>
      </c>
      <c r="R66" s="12">
        <v>7776</v>
      </c>
      <c r="S66" s="12">
        <v>7776</v>
      </c>
      <c r="T66" s="12">
        <v>9300</v>
      </c>
      <c r="U66" s="12">
        <v>13950</v>
      </c>
      <c r="V66" s="12">
        <v>300</v>
      </c>
      <c r="W66" s="12">
        <v>390</v>
      </c>
      <c r="X66" s="12" t="s">
        <v>73</v>
      </c>
      <c r="Y66" s="12">
        <v>0</v>
      </c>
      <c r="Z66" s="12">
        <v>525</v>
      </c>
      <c r="AA66" s="12">
        <v>278.25</v>
      </c>
      <c r="AB66" s="12">
        <v>6120</v>
      </c>
      <c r="AC66" s="12">
        <v>6120</v>
      </c>
      <c r="AD66" s="12">
        <v>7695</v>
      </c>
      <c r="AE66" s="12">
        <v>11542.5</v>
      </c>
      <c r="AF66" s="12">
        <v>1200</v>
      </c>
      <c r="AG66" s="12">
        <v>1560</v>
      </c>
      <c r="AH66" s="12" t="s">
        <v>73</v>
      </c>
      <c r="AI66" s="12">
        <v>0</v>
      </c>
      <c r="AJ66" s="12">
        <v>460</v>
      </c>
      <c r="AK66" s="12">
        <v>243.8</v>
      </c>
      <c r="AL66" s="12">
        <v>7200</v>
      </c>
      <c r="AM66" s="12">
        <v>7200</v>
      </c>
      <c r="AN66" s="12">
        <v>13200</v>
      </c>
      <c r="AO66" s="12">
        <v>19800</v>
      </c>
      <c r="AP66" s="12">
        <v>1080</v>
      </c>
      <c r="AQ66" s="12">
        <v>1404</v>
      </c>
      <c r="AR66" s="12" t="s">
        <v>73</v>
      </c>
      <c r="AS66" s="12">
        <v>0</v>
      </c>
      <c r="AT66" s="12">
        <v>846</v>
      </c>
      <c r="AU66" s="12">
        <v>448.38</v>
      </c>
      <c r="AV66" s="12">
        <v>4680</v>
      </c>
      <c r="AW66" s="12">
        <v>4680</v>
      </c>
      <c r="AX66" s="12">
        <v>13560</v>
      </c>
      <c r="AY66" s="12">
        <v>20340</v>
      </c>
      <c r="AZ66" s="12">
        <v>2400</v>
      </c>
      <c r="BA66" s="12">
        <v>3120</v>
      </c>
    </row>
    <row r="67" spans="1:53" x14ac:dyDescent="0.3">
      <c r="A67" s="12" t="s">
        <v>74</v>
      </c>
      <c r="B67" s="16">
        <v>4204459</v>
      </c>
      <c r="C67" s="12" t="s">
        <v>202</v>
      </c>
      <c r="D67" s="12" t="s">
        <v>73</v>
      </c>
      <c r="E67" s="13">
        <v>0</v>
      </c>
      <c r="F67" s="12">
        <v>25</v>
      </c>
      <c r="G67" s="12">
        <v>13.25</v>
      </c>
      <c r="H67" s="12">
        <v>3840</v>
      </c>
      <c r="I67" s="12">
        <v>3840</v>
      </c>
      <c r="J67" s="12">
        <v>8280</v>
      </c>
      <c r="K67" s="12">
        <v>12420</v>
      </c>
      <c r="L67" s="12">
        <v>280</v>
      </c>
      <c r="M67" s="12">
        <v>364</v>
      </c>
      <c r="N67" s="12" t="s">
        <v>73</v>
      </c>
      <c r="O67" s="12">
        <v>0</v>
      </c>
      <c r="P67" s="12">
        <v>49</v>
      </c>
      <c r="Q67" s="12">
        <v>25.970000000000002</v>
      </c>
      <c r="R67" s="12">
        <v>2840</v>
      </c>
      <c r="S67" s="12">
        <v>2840</v>
      </c>
      <c r="T67" s="12">
        <v>5940</v>
      </c>
      <c r="U67" s="12">
        <v>8910</v>
      </c>
      <c r="V67" s="12">
        <v>492</v>
      </c>
      <c r="W67" s="12">
        <v>639.6</v>
      </c>
      <c r="X67" s="12" t="s">
        <v>73</v>
      </c>
      <c r="Y67" s="12">
        <v>0</v>
      </c>
      <c r="Z67" s="12">
        <v>79</v>
      </c>
      <c r="AA67" s="12">
        <v>41.870000000000005</v>
      </c>
      <c r="AB67" s="12">
        <v>680</v>
      </c>
      <c r="AC67" s="12">
        <v>680</v>
      </c>
      <c r="AD67" s="12">
        <v>1980</v>
      </c>
      <c r="AE67" s="12">
        <v>2970</v>
      </c>
      <c r="AF67" s="12">
        <v>1215</v>
      </c>
      <c r="AG67" s="12">
        <v>1579.5</v>
      </c>
      <c r="AH67" s="12" t="s">
        <v>73</v>
      </c>
      <c r="AI67" s="12">
        <v>0</v>
      </c>
      <c r="AJ67" s="12">
        <v>131</v>
      </c>
      <c r="AK67" s="12">
        <v>69.430000000000007</v>
      </c>
      <c r="AL67" s="12">
        <v>1350</v>
      </c>
      <c r="AM67" s="12">
        <v>1350</v>
      </c>
      <c r="AN67" s="12">
        <v>11340</v>
      </c>
      <c r="AO67" s="12">
        <v>17010</v>
      </c>
      <c r="AP67" s="12">
        <v>600</v>
      </c>
      <c r="AQ67" s="12">
        <v>780</v>
      </c>
      <c r="AR67" s="12" t="s">
        <v>73</v>
      </c>
      <c r="AS67" s="12">
        <v>0</v>
      </c>
      <c r="AT67" s="12">
        <v>122</v>
      </c>
      <c r="AU67" s="12">
        <v>64.66</v>
      </c>
      <c r="AV67" s="12">
        <v>1290</v>
      </c>
      <c r="AW67" s="12">
        <v>1290</v>
      </c>
      <c r="AX67" s="12">
        <v>8910</v>
      </c>
      <c r="AY67" s="12">
        <v>13365</v>
      </c>
      <c r="AZ67" s="12">
        <v>990</v>
      </c>
      <c r="BA67" s="12">
        <v>1287</v>
      </c>
    </row>
    <row r="68" spans="1:53" x14ac:dyDescent="0.3">
      <c r="A68" s="12" t="s">
        <v>74</v>
      </c>
      <c r="B68" s="16">
        <v>4205175</v>
      </c>
      <c r="C68" s="12" t="s">
        <v>204</v>
      </c>
      <c r="D68" s="12">
        <v>1</v>
      </c>
      <c r="E68" s="13">
        <v>1.2</v>
      </c>
      <c r="F68" s="12">
        <v>180</v>
      </c>
      <c r="G68" s="12">
        <v>95.4</v>
      </c>
      <c r="H68" s="12">
        <v>840</v>
      </c>
      <c r="I68" s="12">
        <v>840</v>
      </c>
      <c r="J68" s="12">
        <v>6480</v>
      </c>
      <c r="K68" s="12">
        <v>9720</v>
      </c>
      <c r="L68" s="12">
        <v>273</v>
      </c>
      <c r="M68" s="12">
        <v>354.90000000000003</v>
      </c>
      <c r="N68" s="12">
        <v>1</v>
      </c>
      <c r="O68" s="12">
        <v>1.2</v>
      </c>
      <c r="P68" s="12">
        <v>120</v>
      </c>
      <c r="Q68" s="12">
        <v>63.6</v>
      </c>
      <c r="R68" s="12">
        <v>900</v>
      </c>
      <c r="S68" s="12">
        <v>900</v>
      </c>
      <c r="T68" s="12">
        <v>3744</v>
      </c>
      <c r="U68" s="12">
        <v>5616</v>
      </c>
      <c r="V68" s="12">
        <v>540</v>
      </c>
      <c r="W68" s="12">
        <v>702</v>
      </c>
      <c r="X68" s="12">
        <v>1</v>
      </c>
      <c r="Y68" s="12">
        <v>1.2</v>
      </c>
      <c r="Z68" s="12">
        <v>185</v>
      </c>
      <c r="AA68" s="12">
        <v>98.050000000000011</v>
      </c>
      <c r="AB68" s="12">
        <v>585</v>
      </c>
      <c r="AC68" s="12">
        <v>585</v>
      </c>
      <c r="AD68" s="12">
        <v>2520</v>
      </c>
      <c r="AE68" s="12">
        <v>3780</v>
      </c>
      <c r="AF68" s="12">
        <v>945</v>
      </c>
      <c r="AG68" s="12">
        <v>1228.5</v>
      </c>
      <c r="AH68" s="12">
        <v>1</v>
      </c>
      <c r="AI68" s="12">
        <v>1.2</v>
      </c>
      <c r="AJ68" s="12">
        <v>159</v>
      </c>
      <c r="AK68" s="12">
        <v>84.27000000000001</v>
      </c>
      <c r="AL68" s="12">
        <v>1452</v>
      </c>
      <c r="AM68" s="12">
        <v>1452</v>
      </c>
      <c r="AN68" s="12">
        <v>4620</v>
      </c>
      <c r="AO68" s="12">
        <v>6930</v>
      </c>
      <c r="AP68" s="12">
        <v>714</v>
      </c>
      <c r="AQ68" s="12">
        <v>928.2</v>
      </c>
      <c r="AR68" s="12">
        <v>1</v>
      </c>
      <c r="AS68" s="12">
        <v>1.2</v>
      </c>
      <c r="AT68" s="12">
        <v>239</v>
      </c>
      <c r="AU68" s="12">
        <v>126.67</v>
      </c>
      <c r="AV68" s="12">
        <v>960</v>
      </c>
      <c r="AW68" s="12">
        <v>960</v>
      </c>
      <c r="AX68" s="12">
        <v>5940</v>
      </c>
      <c r="AY68" s="12">
        <v>8910</v>
      </c>
      <c r="AZ68" s="12">
        <v>540</v>
      </c>
      <c r="BA68" s="12">
        <v>702</v>
      </c>
    </row>
    <row r="69" spans="1:53" x14ac:dyDescent="0.3">
      <c r="A69" s="12" t="s">
        <v>74</v>
      </c>
      <c r="B69" s="16">
        <v>4205308</v>
      </c>
      <c r="C69" s="12" t="s">
        <v>206</v>
      </c>
      <c r="D69" s="12" t="s">
        <v>73</v>
      </c>
      <c r="E69" s="13">
        <v>0</v>
      </c>
      <c r="F69" s="12">
        <v>1350</v>
      </c>
      <c r="G69" s="12">
        <v>715.5</v>
      </c>
      <c r="H69" s="12">
        <v>22770</v>
      </c>
      <c r="I69" s="12">
        <v>22770</v>
      </c>
      <c r="J69" s="12">
        <v>45630</v>
      </c>
      <c r="K69" s="12">
        <v>68445</v>
      </c>
      <c r="L69" s="12">
        <v>3300</v>
      </c>
      <c r="M69" s="12">
        <v>4290</v>
      </c>
      <c r="N69" s="12" t="s">
        <v>73</v>
      </c>
      <c r="O69" s="12">
        <v>0</v>
      </c>
      <c r="P69" s="12">
        <v>2430</v>
      </c>
      <c r="Q69" s="12">
        <v>1287.9000000000001</v>
      </c>
      <c r="R69" s="12">
        <v>12000</v>
      </c>
      <c r="S69" s="12">
        <v>12000</v>
      </c>
      <c r="T69" s="12">
        <v>45840</v>
      </c>
      <c r="U69" s="12">
        <v>68760</v>
      </c>
      <c r="V69" s="12">
        <v>9000</v>
      </c>
      <c r="W69" s="12">
        <v>11700</v>
      </c>
      <c r="X69" s="12" t="s">
        <v>73</v>
      </c>
      <c r="Y69" s="12">
        <v>0</v>
      </c>
      <c r="Z69" s="12">
        <v>1860</v>
      </c>
      <c r="AA69" s="12">
        <v>985.80000000000007</v>
      </c>
      <c r="AB69" s="12">
        <v>25200</v>
      </c>
      <c r="AC69" s="12">
        <v>25200</v>
      </c>
      <c r="AD69" s="12">
        <v>43500</v>
      </c>
      <c r="AE69" s="12">
        <v>65250</v>
      </c>
      <c r="AF69" s="12">
        <v>10440</v>
      </c>
      <c r="AG69" s="12">
        <v>13572</v>
      </c>
      <c r="AH69" s="12" t="s">
        <v>73</v>
      </c>
      <c r="AI69" s="12">
        <v>0</v>
      </c>
      <c r="AJ69" s="12">
        <v>1980</v>
      </c>
      <c r="AK69" s="12">
        <v>1049.4000000000001</v>
      </c>
      <c r="AL69" s="12">
        <v>19800</v>
      </c>
      <c r="AM69" s="12">
        <v>19800</v>
      </c>
      <c r="AN69" s="12">
        <v>53000</v>
      </c>
      <c r="AO69" s="12">
        <v>79500</v>
      </c>
      <c r="AP69" s="12">
        <v>8700</v>
      </c>
      <c r="AQ69" s="12">
        <v>11310</v>
      </c>
      <c r="AR69" s="12" t="s">
        <v>73</v>
      </c>
      <c r="AS69" s="12">
        <v>0</v>
      </c>
      <c r="AT69" s="12">
        <v>1770</v>
      </c>
      <c r="AU69" s="12">
        <v>938.1</v>
      </c>
      <c r="AV69" s="12">
        <v>15240</v>
      </c>
      <c r="AW69" s="12">
        <v>15240</v>
      </c>
      <c r="AX69" s="12">
        <v>49140</v>
      </c>
      <c r="AY69" s="12">
        <v>73710</v>
      </c>
      <c r="AZ69" s="12">
        <v>7200</v>
      </c>
      <c r="BA69" s="12">
        <v>9360</v>
      </c>
    </row>
    <row r="70" spans="1:53" x14ac:dyDescent="0.3">
      <c r="A70" s="12" t="s">
        <v>74</v>
      </c>
      <c r="B70" s="16">
        <v>4205605</v>
      </c>
      <c r="C70" s="12" t="s">
        <v>208</v>
      </c>
      <c r="D70" s="12" t="s">
        <v>73</v>
      </c>
      <c r="E70" s="13">
        <v>0</v>
      </c>
      <c r="F70" s="12">
        <v>850</v>
      </c>
      <c r="G70" s="12">
        <v>450.5</v>
      </c>
      <c r="H70" s="12">
        <v>5000</v>
      </c>
      <c r="I70" s="12">
        <v>5000</v>
      </c>
      <c r="J70" s="12">
        <v>14790</v>
      </c>
      <c r="K70" s="12">
        <v>22185</v>
      </c>
      <c r="L70" s="12">
        <v>760</v>
      </c>
      <c r="M70" s="12">
        <v>988</v>
      </c>
      <c r="N70" s="12" t="s">
        <v>73</v>
      </c>
      <c r="O70" s="12">
        <v>0</v>
      </c>
      <c r="P70" s="12">
        <v>1210</v>
      </c>
      <c r="Q70" s="12">
        <v>641.30000000000007</v>
      </c>
      <c r="R70" s="12">
        <v>1580</v>
      </c>
      <c r="S70" s="12">
        <v>1580</v>
      </c>
      <c r="T70" s="12">
        <v>5040</v>
      </c>
      <c r="U70" s="12">
        <v>7560</v>
      </c>
      <c r="V70" s="12">
        <v>1200</v>
      </c>
      <c r="W70" s="12">
        <v>1560</v>
      </c>
      <c r="X70" s="12" t="s">
        <v>73</v>
      </c>
      <c r="Y70" s="12">
        <v>0</v>
      </c>
      <c r="Z70" s="12">
        <v>2135</v>
      </c>
      <c r="AA70" s="12">
        <v>1131.55</v>
      </c>
      <c r="AB70" s="12">
        <v>2160</v>
      </c>
      <c r="AC70" s="12">
        <v>2160</v>
      </c>
      <c r="AD70" s="12">
        <v>6525</v>
      </c>
      <c r="AE70" s="12">
        <v>9787.5</v>
      </c>
      <c r="AF70" s="12">
        <v>2400</v>
      </c>
      <c r="AG70" s="12">
        <v>3120</v>
      </c>
      <c r="AH70" s="12" t="s">
        <v>73</v>
      </c>
      <c r="AI70" s="12">
        <v>0</v>
      </c>
      <c r="AJ70" s="12">
        <v>1585</v>
      </c>
      <c r="AK70" s="12">
        <v>840.05000000000007</v>
      </c>
      <c r="AL70" s="12">
        <v>5200</v>
      </c>
      <c r="AM70" s="12">
        <v>5200</v>
      </c>
      <c r="AN70" s="12">
        <v>21180</v>
      </c>
      <c r="AO70" s="12">
        <v>31770</v>
      </c>
      <c r="AP70" s="12">
        <v>1050</v>
      </c>
      <c r="AQ70" s="12">
        <v>1365</v>
      </c>
      <c r="AR70" s="12" t="s">
        <v>73</v>
      </c>
      <c r="AS70" s="12">
        <v>0</v>
      </c>
      <c r="AT70" s="12">
        <v>1845</v>
      </c>
      <c r="AU70" s="12">
        <v>977.85</v>
      </c>
      <c r="AV70" s="12">
        <v>3840</v>
      </c>
      <c r="AW70" s="12">
        <v>3840</v>
      </c>
      <c r="AX70" s="12">
        <v>13980</v>
      </c>
      <c r="AY70" s="12">
        <v>20970</v>
      </c>
      <c r="AZ70" s="12">
        <v>2700</v>
      </c>
      <c r="BA70" s="12">
        <v>3510</v>
      </c>
    </row>
    <row r="71" spans="1:53" x14ac:dyDescent="0.3">
      <c r="A71" s="12" t="s">
        <v>74</v>
      </c>
      <c r="B71" s="16">
        <v>4207684</v>
      </c>
      <c r="C71" s="12" t="s">
        <v>210</v>
      </c>
      <c r="D71" s="12" t="s">
        <v>73</v>
      </c>
      <c r="E71" s="13">
        <v>0</v>
      </c>
      <c r="F71" s="12">
        <v>4380</v>
      </c>
      <c r="G71" s="12">
        <v>2321.4</v>
      </c>
      <c r="H71" s="12">
        <v>20400</v>
      </c>
      <c r="I71" s="12">
        <v>20400</v>
      </c>
      <c r="J71" s="12">
        <v>40020</v>
      </c>
      <c r="K71" s="12">
        <v>60030</v>
      </c>
      <c r="L71" s="12">
        <v>1540</v>
      </c>
      <c r="M71" s="12">
        <v>2002</v>
      </c>
      <c r="N71" s="12" t="s">
        <v>73</v>
      </c>
      <c r="O71" s="12">
        <v>0</v>
      </c>
      <c r="P71" s="12">
        <v>3391</v>
      </c>
      <c r="Q71" s="12">
        <v>1797.23</v>
      </c>
      <c r="R71" s="12">
        <v>5250</v>
      </c>
      <c r="S71" s="12">
        <v>5250</v>
      </c>
      <c r="T71" s="12">
        <v>35880</v>
      </c>
      <c r="U71" s="12">
        <v>53820</v>
      </c>
      <c r="V71" s="12">
        <v>980</v>
      </c>
      <c r="W71" s="12">
        <v>1274</v>
      </c>
      <c r="X71" s="12" t="s">
        <v>73</v>
      </c>
      <c r="Y71" s="12">
        <v>0</v>
      </c>
      <c r="Z71" s="12">
        <v>2760</v>
      </c>
      <c r="AA71" s="12">
        <v>1462.8000000000002</v>
      </c>
      <c r="AB71" s="12">
        <v>13350</v>
      </c>
      <c r="AC71" s="12">
        <v>13350</v>
      </c>
      <c r="AD71" s="12">
        <v>18990</v>
      </c>
      <c r="AE71" s="12">
        <v>28485</v>
      </c>
      <c r="AF71" s="12">
        <v>3600</v>
      </c>
      <c r="AG71" s="12">
        <v>4680</v>
      </c>
      <c r="AH71" s="12" t="s">
        <v>73</v>
      </c>
      <c r="AI71" s="12">
        <v>0</v>
      </c>
      <c r="AJ71" s="12">
        <v>5040</v>
      </c>
      <c r="AK71" s="12">
        <v>2671.2000000000003</v>
      </c>
      <c r="AL71" s="12">
        <v>16080</v>
      </c>
      <c r="AM71" s="12">
        <v>16080</v>
      </c>
      <c r="AN71" s="12">
        <v>34260</v>
      </c>
      <c r="AO71" s="12">
        <v>51390</v>
      </c>
      <c r="AP71" s="12">
        <v>4050</v>
      </c>
      <c r="AQ71" s="12">
        <v>5265</v>
      </c>
      <c r="AR71" s="12" t="s">
        <v>73</v>
      </c>
      <c r="AS71" s="12">
        <v>0</v>
      </c>
      <c r="AT71" s="12">
        <v>1650</v>
      </c>
      <c r="AU71" s="12">
        <v>874.5</v>
      </c>
      <c r="AV71" s="12">
        <v>13740</v>
      </c>
      <c r="AW71" s="12">
        <v>13740</v>
      </c>
      <c r="AX71" s="12">
        <v>36630</v>
      </c>
      <c r="AY71" s="12">
        <v>54945</v>
      </c>
      <c r="AZ71" s="12">
        <v>3600</v>
      </c>
      <c r="BA71" s="12">
        <v>4680</v>
      </c>
    </row>
    <row r="72" spans="1:53" x14ac:dyDescent="0.3">
      <c r="A72" s="12" t="s">
        <v>74</v>
      </c>
      <c r="B72" s="16">
        <v>4209177</v>
      </c>
      <c r="C72" s="12" t="s">
        <v>212</v>
      </c>
      <c r="D72" s="12" t="s">
        <v>73</v>
      </c>
      <c r="E72" s="13">
        <v>0</v>
      </c>
      <c r="F72" s="12">
        <v>309</v>
      </c>
      <c r="G72" s="12">
        <v>163.77000000000001</v>
      </c>
      <c r="H72" s="12">
        <v>7200</v>
      </c>
      <c r="I72" s="12">
        <v>7200</v>
      </c>
      <c r="J72" s="12">
        <v>8310</v>
      </c>
      <c r="K72" s="12">
        <v>12465</v>
      </c>
      <c r="L72" s="12">
        <v>33</v>
      </c>
      <c r="M72" s="12">
        <v>42.9</v>
      </c>
      <c r="N72" s="12" t="s">
        <v>73</v>
      </c>
      <c r="O72" s="12">
        <v>0</v>
      </c>
      <c r="P72" s="12">
        <v>114</v>
      </c>
      <c r="Q72" s="12">
        <v>60.42</v>
      </c>
      <c r="R72" s="12">
        <v>3240</v>
      </c>
      <c r="S72" s="12">
        <v>3240</v>
      </c>
      <c r="T72" s="12">
        <v>3696</v>
      </c>
      <c r="U72" s="12">
        <v>5544</v>
      </c>
      <c r="V72" s="12">
        <v>810</v>
      </c>
      <c r="W72" s="12">
        <v>1053</v>
      </c>
      <c r="X72" s="12" t="s">
        <v>73</v>
      </c>
      <c r="Y72" s="12">
        <v>0</v>
      </c>
      <c r="Z72" s="12">
        <v>350</v>
      </c>
      <c r="AA72" s="12">
        <v>185.5</v>
      </c>
      <c r="AB72" s="12">
        <v>3780</v>
      </c>
      <c r="AC72" s="12">
        <v>3780</v>
      </c>
      <c r="AD72" s="12">
        <v>4056</v>
      </c>
      <c r="AE72" s="12">
        <v>6084</v>
      </c>
      <c r="AF72" s="12">
        <v>880</v>
      </c>
      <c r="AG72" s="12">
        <v>1144</v>
      </c>
      <c r="AH72" s="12" t="s">
        <v>73</v>
      </c>
      <c r="AI72" s="12">
        <v>0</v>
      </c>
      <c r="AJ72" s="12">
        <v>170</v>
      </c>
      <c r="AK72" s="12">
        <v>90.100000000000009</v>
      </c>
      <c r="AL72" s="12">
        <v>4640</v>
      </c>
      <c r="AM72" s="12">
        <v>4640</v>
      </c>
      <c r="AN72" s="12">
        <v>10180</v>
      </c>
      <c r="AO72" s="12">
        <v>15270</v>
      </c>
      <c r="AP72" s="12">
        <v>480</v>
      </c>
      <c r="AQ72" s="12">
        <v>624</v>
      </c>
      <c r="AR72" s="12" t="s">
        <v>73</v>
      </c>
      <c r="AS72" s="12">
        <v>0</v>
      </c>
      <c r="AT72" s="12">
        <v>381</v>
      </c>
      <c r="AU72" s="12">
        <v>201.93</v>
      </c>
      <c r="AV72" s="12">
        <v>2340</v>
      </c>
      <c r="AW72" s="12">
        <v>2340</v>
      </c>
      <c r="AX72" s="12">
        <v>7020</v>
      </c>
      <c r="AY72" s="12">
        <v>10530</v>
      </c>
      <c r="AZ72" s="12">
        <v>480</v>
      </c>
      <c r="BA72" s="12">
        <v>624</v>
      </c>
    </row>
    <row r="73" spans="1:53" x14ac:dyDescent="0.3">
      <c r="A73" s="12" t="s">
        <v>74</v>
      </c>
      <c r="B73" s="16">
        <v>4209458</v>
      </c>
      <c r="C73" s="12" t="s">
        <v>214</v>
      </c>
      <c r="D73" s="12" t="s">
        <v>73</v>
      </c>
      <c r="E73" s="13">
        <v>0</v>
      </c>
      <c r="F73" s="12">
        <v>463</v>
      </c>
      <c r="G73" s="12">
        <v>245.39000000000001</v>
      </c>
      <c r="H73" s="12">
        <v>7200</v>
      </c>
      <c r="I73" s="12">
        <v>7200</v>
      </c>
      <c r="J73" s="12">
        <v>8640</v>
      </c>
      <c r="K73" s="12">
        <v>12960</v>
      </c>
      <c r="L73" s="12">
        <v>1350</v>
      </c>
      <c r="M73" s="12">
        <v>1755</v>
      </c>
      <c r="N73" s="12" t="s">
        <v>73</v>
      </c>
      <c r="O73" s="12">
        <v>0</v>
      </c>
      <c r="P73" s="12">
        <v>378</v>
      </c>
      <c r="Q73" s="12">
        <v>200.34</v>
      </c>
      <c r="R73" s="12">
        <v>3780</v>
      </c>
      <c r="S73" s="12">
        <v>3780</v>
      </c>
      <c r="T73" s="12">
        <v>5400</v>
      </c>
      <c r="U73" s="12">
        <v>8100</v>
      </c>
      <c r="V73" s="12">
        <v>1500</v>
      </c>
      <c r="W73" s="12">
        <v>1950</v>
      </c>
      <c r="X73" s="12" t="s">
        <v>73</v>
      </c>
      <c r="Y73" s="12">
        <v>0</v>
      </c>
      <c r="Z73" s="12">
        <v>540</v>
      </c>
      <c r="AA73" s="12">
        <v>286.2</v>
      </c>
      <c r="AB73" s="12">
        <v>5040</v>
      </c>
      <c r="AC73" s="12">
        <v>5040</v>
      </c>
      <c r="AD73" s="12">
        <v>5760</v>
      </c>
      <c r="AE73" s="12">
        <v>8640</v>
      </c>
      <c r="AF73" s="12">
        <v>2340</v>
      </c>
      <c r="AG73" s="12">
        <v>3042</v>
      </c>
      <c r="AH73" s="12" t="s">
        <v>73</v>
      </c>
      <c r="AI73" s="12">
        <v>0</v>
      </c>
      <c r="AJ73" s="12">
        <v>240</v>
      </c>
      <c r="AK73" s="12">
        <v>127.2</v>
      </c>
      <c r="AL73" s="12">
        <v>8820</v>
      </c>
      <c r="AM73" s="12">
        <v>8820</v>
      </c>
      <c r="AN73" s="12">
        <v>10800</v>
      </c>
      <c r="AO73" s="12">
        <v>16200</v>
      </c>
      <c r="AP73" s="12">
        <v>1560</v>
      </c>
      <c r="AQ73" s="12">
        <v>2028</v>
      </c>
      <c r="AR73" s="12" t="s">
        <v>73</v>
      </c>
      <c r="AS73" s="12">
        <v>0</v>
      </c>
      <c r="AT73" s="12">
        <v>588</v>
      </c>
      <c r="AU73" s="12">
        <v>311.64000000000004</v>
      </c>
      <c r="AV73" s="12">
        <v>8640</v>
      </c>
      <c r="AW73" s="12">
        <v>8640</v>
      </c>
      <c r="AX73" s="12">
        <v>10080</v>
      </c>
      <c r="AY73" s="12">
        <v>15120</v>
      </c>
      <c r="AZ73" s="12">
        <v>1950</v>
      </c>
      <c r="BA73" s="12">
        <v>2535</v>
      </c>
    </row>
    <row r="74" spans="1:53" x14ac:dyDescent="0.3">
      <c r="A74" s="12" t="s">
        <v>74</v>
      </c>
      <c r="B74" s="16">
        <v>4210555</v>
      </c>
      <c r="C74" s="12" t="s">
        <v>216</v>
      </c>
      <c r="D74" s="12" t="s">
        <v>73</v>
      </c>
      <c r="E74" s="13">
        <v>0</v>
      </c>
      <c r="F74" s="12">
        <v>102</v>
      </c>
      <c r="G74" s="12">
        <v>54.06</v>
      </c>
      <c r="H74" s="12">
        <v>4500</v>
      </c>
      <c r="I74" s="12">
        <v>4500</v>
      </c>
      <c r="J74" s="12">
        <v>3000</v>
      </c>
      <c r="K74" s="12">
        <v>4500</v>
      </c>
      <c r="L74" s="12" t="s">
        <v>73</v>
      </c>
      <c r="M74" s="12">
        <v>0</v>
      </c>
      <c r="N74" s="12" t="s">
        <v>73</v>
      </c>
      <c r="O74" s="12">
        <v>0</v>
      </c>
      <c r="P74" s="12">
        <v>47</v>
      </c>
      <c r="Q74" s="12">
        <v>24.91</v>
      </c>
      <c r="R74" s="12">
        <v>1200</v>
      </c>
      <c r="S74" s="12">
        <v>1200</v>
      </c>
      <c r="T74" s="12">
        <v>2400</v>
      </c>
      <c r="U74" s="12">
        <v>3600</v>
      </c>
      <c r="V74" s="12">
        <v>150</v>
      </c>
      <c r="W74" s="12">
        <v>195</v>
      </c>
      <c r="X74" s="12" t="s">
        <v>73</v>
      </c>
      <c r="Y74" s="12">
        <v>0</v>
      </c>
      <c r="Z74" s="12">
        <v>162</v>
      </c>
      <c r="AA74" s="12">
        <v>85.86</v>
      </c>
      <c r="AB74" s="12">
        <v>1920</v>
      </c>
      <c r="AC74" s="12">
        <v>1920</v>
      </c>
      <c r="AD74" s="12">
        <v>1440</v>
      </c>
      <c r="AE74" s="12">
        <v>2160</v>
      </c>
      <c r="AF74" s="12">
        <v>495</v>
      </c>
      <c r="AG74" s="12">
        <v>643.5</v>
      </c>
      <c r="AH74" s="12" t="s">
        <v>73</v>
      </c>
      <c r="AI74" s="12">
        <v>0</v>
      </c>
      <c r="AJ74" s="12">
        <v>189</v>
      </c>
      <c r="AK74" s="12">
        <v>100.17</v>
      </c>
      <c r="AL74" s="12">
        <v>4300</v>
      </c>
      <c r="AM74" s="12">
        <v>4300</v>
      </c>
      <c r="AN74" s="12">
        <v>2800</v>
      </c>
      <c r="AO74" s="12">
        <v>4200</v>
      </c>
      <c r="AP74" s="12">
        <v>360</v>
      </c>
      <c r="AQ74" s="12">
        <v>468</v>
      </c>
      <c r="AR74" s="12" t="s">
        <v>73</v>
      </c>
      <c r="AS74" s="12">
        <v>0</v>
      </c>
      <c r="AT74" s="12">
        <v>161</v>
      </c>
      <c r="AU74" s="12">
        <v>85.33</v>
      </c>
      <c r="AV74" s="12">
        <v>3060</v>
      </c>
      <c r="AW74" s="12">
        <v>3060</v>
      </c>
      <c r="AX74" s="12">
        <v>2790</v>
      </c>
      <c r="AY74" s="12">
        <v>4185</v>
      </c>
      <c r="AZ74" s="12">
        <v>405</v>
      </c>
      <c r="BA74" s="12">
        <v>526.5</v>
      </c>
    </row>
    <row r="75" spans="1:53" x14ac:dyDescent="0.3">
      <c r="A75" s="12" t="s">
        <v>74</v>
      </c>
      <c r="B75" s="16">
        <v>4211850</v>
      </c>
      <c r="C75" s="12" t="s">
        <v>218</v>
      </c>
      <c r="D75" s="12" t="s">
        <v>73</v>
      </c>
      <c r="E75" s="13">
        <v>0</v>
      </c>
      <c r="F75" s="12">
        <v>3748</v>
      </c>
      <c r="G75" s="12">
        <v>1986.44</v>
      </c>
      <c r="H75" s="12">
        <v>21660</v>
      </c>
      <c r="I75" s="12">
        <v>21660</v>
      </c>
      <c r="J75" s="12">
        <v>42000</v>
      </c>
      <c r="K75" s="12">
        <v>63000</v>
      </c>
      <c r="L75" s="12">
        <v>5280</v>
      </c>
      <c r="M75" s="12">
        <v>6864</v>
      </c>
      <c r="N75" s="12" t="s">
        <v>73</v>
      </c>
      <c r="O75" s="12">
        <v>0</v>
      </c>
      <c r="P75" s="12">
        <v>4032</v>
      </c>
      <c r="Q75" s="12">
        <v>2136.96</v>
      </c>
      <c r="R75" s="12">
        <v>16000</v>
      </c>
      <c r="S75" s="12">
        <v>16000</v>
      </c>
      <c r="T75" s="12">
        <v>36600</v>
      </c>
      <c r="U75" s="12">
        <v>54900</v>
      </c>
      <c r="V75" s="12">
        <v>6600</v>
      </c>
      <c r="W75" s="12">
        <v>8580</v>
      </c>
      <c r="X75" s="12" t="s">
        <v>73</v>
      </c>
      <c r="Y75" s="12">
        <v>0</v>
      </c>
      <c r="Z75" s="12">
        <v>5472</v>
      </c>
      <c r="AA75" s="12">
        <v>2900.1600000000003</v>
      </c>
      <c r="AB75" s="12">
        <v>27570</v>
      </c>
      <c r="AC75" s="12">
        <v>27570</v>
      </c>
      <c r="AD75" s="12">
        <v>34224</v>
      </c>
      <c r="AE75" s="12">
        <v>51336</v>
      </c>
      <c r="AF75" s="12">
        <v>7000</v>
      </c>
      <c r="AG75" s="12">
        <v>9100</v>
      </c>
      <c r="AH75" s="12" t="s">
        <v>73</v>
      </c>
      <c r="AI75" s="12">
        <v>0</v>
      </c>
      <c r="AJ75" s="12">
        <v>4350</v>
      </c>
      <c r="AK75" s="12">
        <v>2305.5</v>
      </c>
      <c r="AL75" s="12">
        <v>20100</v>
      </c>
      <c r="AM75" s="12">
        <v>20100</v>
      </c>
      <c r="AN75" s="12">
        <v>39060</v>
      </c>
      <c r="AO75" s="12">
        <v>58590</v>
      </c>
      <c r="AP75" s="12">
        <v>5040</v>
      </c>
      <c r="AQ75" s="12">
        <v>6552</v>
      </c>
      <c r="AR75" s="12" t="s">
        <v>73</v>
      </c>
      <c r="AS75" s="12">
        <v>0</v>
      </c>
      <c r="AT75" s="12">
        <v>5640</v>
      </c>
      <c r="AU75" s="12">
        <v>2989.2000000000003</v>
      </c>
      <c r="AV75" s="12">
        <v>17100</v>
      </c>
      <c r="AW75" s="12">
        <v>17100</v>
      </c>
      <c r="AX75" s="12">
        <v>39180</v>
      </c>
      <c r="AY75" s="12">
        <v>58770</v>
      </c>
      <c r="AZ75" s="12">
        <v>7020</v>
      </c>
      <c r="BA75" s="12">
        <v>9126</v>
      </c>
    </row>
    <row r="76" spans="1:53" x14ac:dyDescent="0.3">
      <c r="A76" s="12" t="s">
        <v>74</v>
      </c>
      <c r="B76" s="16">
        <v>4212270</v>
      </c>
      <c r="C76" s="12" t="s">
        <v>220</v>
      </c>
      <c r="D76" s="12" t="s">
        <v>73</v>
      </c>
      <c r="E76" s="13">
        <v>0</v>
      </c>
      <c r="F76" s="12">
        <v>160</v>
      </c>
      <c r="G76" s="12">
        <v>84.800000000000011</v>
      </c>
      <c r="H76" s="12">
        <v>15120</v>
      </c>
      <c r="I76" s="12">
        <v>15120</v>
      </c>
      <c r="J76" s="12">
        <v>22620</v>
      </c>
      <c r="K76" s="12">
        <v>33930</v>
      </c>
      <c r="L76" s="12" t="s">
        <v>73</v>
      </c>
      <c r="M76" s="12">
        <v>0</v>
      </c>
      <c r="N76" s="12" t="s">
        <v>73</v>
      </c>
      <c r="O76" s="12">
        <v>0</v>
      </c>
      <c r="P76" s="12">
        <v>98</v>
      </c>
      <c r="Q76" s="12">
        <v>51.940000000000005</v>
      </c>
      <c r="R76" s="12">
        <v>10800</v>
      </c>
      <c r="S76" s="12">
        <v>10800</v>
      </c>
      <c r="T76" s="12">
        <v>23000</v>
      </c>
      <c r="U76" s="12">
        <v>34500</v>
      </c>
      <c r="V76" s="12">
        <v>600</v>
      </c>
      <c r="W76" s="12">
        <v>780</v>
      </c>
      <c r="X76" s="12" t="s">
        <v>73</v>
      </c>
      <c r="Y76" s="12">
        <v>0</v>
      </c>
      <c r="Z76" s="12">
        <v>108</v>
      </c>
      <c r="AA76" s="12">
        <v>57.24</v>
      </c>
      <c r="AB76" s="12">
        <v>7800</v>
      </c>
      <c r="AC76" s="12">
        <v>7800</v>
      </c>
      <c r="AD76" s="12">
        <v>20400</v>
      </c>
      <c r="AE76" s="12">
        <v>30600</v>
      </c>
      <c r="AF76" s="12">
        <v>1600</v>
      </c>
      <c r="AG76" s="12">
        <v>2080</v>
      </c>
      <c r="AH76" s="12" t="s">
        <v>73</v>
      </c>
      <c r="AI76" s="12">
        <v>0</v>
      </c>
      <c r="AJ76" s="12">
        <v>84</v>
      </c>
      <c r="AK76" s="12">
        <v>44.52</v>
      </c>
      <c r="AL76" s="12">
        <v>7800</v>
      </c>
      <c r="AM76" s="12">
        <v>7800</v>
      </c>
      <c r="AN76" s="12">
        <v>28800</v>
      </c>
      <c r="AO76" s="12">
        <v>43200</v>
      </c>
      <c r="AP76" s="12">
        <v>1050</v>
      </c>
      <c r="AQ76" s="12">
        <v>1365</v>
      </c>
      <c r="AR76" s="12" t="s">
        <v>73</v>
      </c>
      <c r="AS76" s="12">
        <v>0</v>
      </c>
      <c r="AT76" s="12">
        <v>480</v>
      </c>
      <c r="AU76" s="12">
        <v>254.4</v>
      </c>
      <c r="AV76" s="12">
        <v>6720</v>
      </c>
      <c r="AW76" s="12">
        <v>6720</v>
      </c>
      <c r="AX76" s="12">
        <v>29700</v>
      </c>
      <c r="AY76" s="12">
        <v>44550</v>
      </c>
      <c r="AZ76" s="12">
        <v>600</v>
      </c>
      <c r="BA76" s="12">
        <v>780</v>
      </c>
    </row>
    <row r="77" spans="1:53" x14ac:dyDescent="0.3">
      <c r="A77" s="12" t="s">
        <v>74</v>
      </c>
      <c r="B77" s="16">
        <v>4213401</v>
      </c>
      <c r="C77" s="12" t="s">
        <v>222</v>
      </c>
      <c r="D77" s="12" t="s">
        <v>73</v>
      </c>
      <c r="E77" s="13">
        <v>0</v>
      </c>
      <c r="F77" s="12">
        <v>20</v>
      </c>
      <c r="G77" s="12">
        <v>10.600000000000001</v>
      </c>
      <c r="H77" s="12">
        <v>9600</v>
      </c>
      <c r="I77" s="12">
        <v>9600</v>
      </c>
      <c r="J77" s="12">
        <v>20202</v>
      </c>
      <c r="K77" s="12">
        <v>30303</v>
      </c>
      <c r="L77" s="12" t="s">
        <v>73</v>
      </c>
      <c r="M77" s="12">
        <v>0</v>
      </c>
      <c r="N77" s="12" t="s">
        <v>73</v>
      </c>
      <c r="O77" s="12">
        <v>0</v>
      </c>
      <c r="P77" s="12">
        <v>15</v>
      </c>
      <c r="Q77" s="12">
        <v>7.95</v>
      </c>
      <c r="R77" s="12">
        <v>6600</v>
      </c>
      <c r="S77" s="12">
        <v>6600</v>
      </c>
      <c r="T77" s="12">
        <v>16500</v>
      </c>
      <c r="U77" s="12">
        <v>24750</v>
      </c>
      <c r="V77" s="12">
        <v>900</v>
      </c>
      <c r="W77" s="12">
        <v>1170</v>
      </c>
      <c r="X77" s="12" t="s">
        <v>73</v>
      </c>
      <c r="Y77" s="12">
        <v>0</v>
      </c>
      <c r="Z77" s="12">
        <v>18</v>
      </c>
      <c r="AA77" s="12">
        <v>9.5400000000000009</v>
      </c>
      <c r="AB77" s="12">
        <v>5880</v>
      </c>
      <c r="AC77" s="12">
        <v>5880</v>
      </c>
      <c r="AD77" s="12">
        <v>20670</v>
      </c>
      <c r="AE77" s="12">
        <v>31005</v>
      </c>
      <c r="AF77" s="12">
        <v>990</v>
      </c>
      <c r="AG77" s="12">
        <v>1287</v>
      </c>
      <c r="AH77" s="12" t="s">
        <v>73</v>
      </c>
      <c r="AI77" s="12">
        <v>0</v>
      </c>
      <c r="AJ77" s="12">
        <v>18</v>
      </c>
      <c r="AK77" s="12">
        <v>9.5400000000000009</v>
      </c>
      <c r="AL77" s="12">
        <v>4500</v>
      </c>
      <c r="AM77" s="12">
        <v>4500</v>
      </c>
      <c r="AN77" s="12">
        <v>23940</v>
      </c>
      <c r="AO77" s="12">
        <v>35910</v>
      </c>
      <c r="AP77" s="12">
        <v>900</v>
      </c>
      <c r="AQ77" s="12">
        <v>1170</v>
      </c>
      <c r="AR77" s="12" t="s">
        <v>73</v>
      </c>
      <c r="AS77" s="12">
        <v>0</v>
      </c>
      <c r="AT77" s="12">
        <v>15</v>
      </c>
      <c r="AU77" s="12">
        <v>7.95</v>
      </c>
      <c r="AV77" s="12">
        <v>2880</v>
      </c>
      <c r="AW77" s="12">
        <v>2880</v>
      </c>
      <c r="AX77" s="12">
        <v>21240</v>
      </c>
      <c r="AY77" s="12">
        <v>31860</v>
      </c>
      <c r="AZ77" s="12">
        <v>150</v>
      </c>
      <c r="BA77" s="12">
        <v>195</v>
      </c>
    </row>
    <row r="78" spans="1:53" x14ac:dyDescent="0.3">
      <c r="A78" s="12" t="s">
        <v>74</v>
      </c>
      <c r="B78" s="16">
        <v>4216107</v>
      </c>
      <c r="C78" s="12" t="s">
        <v>224</v>
      </c>
      <c r="D78" s="12" t="s">
        <v>73</v>
      </c>
      <c r="E78" s="13">
        <v>0</v>
      </c>
      <c r="F78" s="12">
        <v>2121</v>
      </c>
      <c r="G78" s="12">
        <v>1124.1300000000001</v>
      </c>
      <c r="H78" s="12">
        <v>27000</v>
      </c>
      <c r="I78" s="12">
        <v>27000</v>
      </c>
      <c r="J78" s="12">
        <v>53100</v>
      </c>
      <c r="K78" s="12">
        <v>79650</v>
      </c>
      <c r="L78" s="12">
        <v>3000</v>
      </c>
      <c r="M78" s="12">
        <v>3900</v>
      </c>
      <c r="N78" s="12" t="s">
        <v>73</v>
      </c>
      <c r="O78" s="12">
        <v>0</v>
      </c>
      <c r="P78" s="12">
        <v>2625</v>
      </c>
      <c r="Q78" s="12">
        <v>1391.25</v>
      </c>
      <c r="R78" s="12">
        <v>17360</v>
      </c>
      <c r="S78" s="12">
        <v>17360</v>
      </c>
      <c r="T78" s="12">
        <v>59520</v>
      </c>
      <c r="U78" s="12">
        <v>89280</v>
      </c>
      <c r="V78" s="12">
        <v>6000</v>
      </c>
      <c r="W78" s="12">
        <v>7800</v>
      </c>
      <c r="X78" s="12" t="s">
        <v>73</v>
      </c>
      <c r="Y78" s="12">
        <v>0</v>
      </c>
      <c r="Z78" s="12">
        <v>3700</v>
      </c>
      <c r="AA78" s="12">
        <v>1961</v>
      </c>
      <c r="AB78" s="12">
        <v>22320</v>
      </c>
      <c r="AC78" s="12">
        <v>22320</v>
      </c>
      <c r="AD78" s="12">
        <v>35136</v>
      </c>
      <c r="AE78" s="12">
        <v>52704</v>
      </c>
      <c r="AF78" s="12">
        <v>15480</v>
      </c>
      <c r="AG78" s="12">
        <v>20124</v>
      </c>
      <c r="AH78" s="12" t="s">
        <v>73</v>
      </c>
      <c r="AI78" s="12">
        <v>0</v>
      </c>
      <c r="AJ78" s="12">
        <v>7230</v>
      </c>
      <c r="AK78" s="12">
        <v>3831.9</v>
      </c>
      <c r="AL78" s="12">
        <v>25680</v>
      </c>
      <c r="AM78" s="12">
        <v>25680</v>
      </c>
      <c r="AN78" s="12">
        <v>63100</v>
      </c>
      <c r="AO78" s="12">
        <v>94650</v>
      </c>
      <c r="AP78" s="12">
        <v>10500</v>
      </c>
      <c r="AQ78" s="12">
        <v>13650</v>
      </c>
      <c r="AR78" s="12" t="s">
        <v>73</v>
      </c>
      <c r="AS78" s="12">
        <v>0</v>
      </c>
      <c r="AT78" s="12">
        <v>10900</v>
      </c>
      <c r="AU78" s="12">
        <v>5777</v>
      </c>
      <c r="AV78" s="12">
        <v>6660</v>
      </c>
      <c r="AW78" s="12">
        <v>6660</v>
      </c>
      <c r="AX78" s="12">
        <v>55920</v>
      </c>
      <c r="AY78" s="12">
        <v>83880</v>
      </c>
      <c r="AZ78" s="12">
        <v>12000</v>
      </c>
      <c r="BA78" s="12">
        <v>15600</v>
      </c>
    </row>
    <row r="79" spans="1:53" x14ac:dyDescent="0.3">
      <c r="A79" s="12" t="s">
        <v>74</v>
      </c>
      <c r="B79" s="16">
        <v>4219101</v>
      </c>
      <c r="C79" s="12" t="s">
        <v>226</v>
      </c>
      <c r="D79" s="12" t="s">
        <v>73</v>
      </c>
      <c r="E79" s="13">
        <v>0</v>
      </c>
      <c r="F79" s="12">
        <v>90</v>
      </c>
      <c r="G79" s="12">
        <v>47.7</v>
      </c>
      <c r="H79" s="12">
        <v>7200</v>
      </c>
      <c r="I79" s="12">
        <v>7200</v>
      </c>
      <c r="J79" s="12">
        <v>17250</v>
      </c>
      <c r="K79" s="12">
        <v>25875</v>
      </c>
      <c r="L79" s="12">
        <v>630</v>
      </c>
      <c r="M79" s="12">
        <v>819</v>
      </c>
      <c r="N79" s="12" t="s">
        <v>73</v>
      </c>
      <c r="O79" s="12">
        <v>0</v>
      </c>
      <c r="P79" s="12">
        <v>80</v>
      </c>
      <c r="Q79" s="12">
        <v>42.400000000000006</v>
      </c>
      <c r="R79" s="12">
        <v>6000</v>
      </c>
      <c r="S79" s="12">
        <v>6000</v>
      </c>
      <c r="T79" s="12">
        <v>18975</v>
      </c>
      <c r="U79" s="12">
        <v>28462.5</v>
      </c>
      <c r="V79" s="12">
        <v>1650</v>
      </c>
      <c r="W79" s="12">
        <v>2145</v>
      </c>
      <c r="X79" s="12" t="s">
        <v>73</v>
      </c>
      <c r="Y79" s="12">
        <v>0</v>
      </c>
      <c r="Z79" s="12">
        <v>80</v>
      </c>
      <c r="AA79" s="12">
        <v>42.400000000000006</v>
      </c>
      <c r="AB79" s="12">
        <v>5850</v>
      </c>
      <c r="AC79" s="12">
        <v>5850</v>
      </c>
      <c r="AD79" s="12">
        <v>17400</v>
      </c>
      <c r="AE79" s="12">
        <v>26100</v>
      </c>
      <c r="AF79" s="12">
        <v>2100</v>
      </c>
      <c r="AG79" s="12">
        <v>2730</v>
      </c>
      <c r="AH79" s="12" t="s">
        <v>73</v>
      </c>
      <c r="AI79" s="12">
        <v>0</v>
      </c>
      <c r="AJ79" s="12">
        <v>90</v>
      </c>
      <c r="AK79" s="12">
        <v>47.7</v>
      </c>
      <c r="AL79" s="12">
        <v>6750</v>
      </c>
      <c r="AM79" s="12">
        <v>6750</v>
      </c>
      <c r="AN79" s="12">
        <v>24360</v>
      </c>
      <c r="AO79" s="12">
        <v>36540</v>
      </c>
      <c r="AP79" s="12">
        <v>1200</v>
      </c>
      <c r="AQ79" s="12">
        <v>1560</v>
      </c>
      <c r="AR79" s="12" t="s">
        <v>73</v>
      </c>
      <c r="AS79" s="12">
        <v>0</v>
      </c>
      <c r="AT79" s="12">
        <v>84</v>
      </c>
      <c r="AU79" s="12">
        <v>44.52</v>
      </c>
      <c r="AV79" s="12">
        <v>6300</v>
      </c>
      <c r="AW79" s="12">
        <v>6300</v>
      </c>
      <c r="AX79" s="12">
        <v>20880</v>
      </c>
      <c r="AY79" s="12">
        <v>31320</v>
      </c>
      <c r="AZ79" s="12">
        <v>990</v>
      </c>
      <c r="BA79" s="12">
        <v>1287</v>
      </c>
    </row>
    <row r="80" spans="1:53" x14ac:dyDescent="0.3">
      <c r="A80" s="12" t="s">
        <v>74</v>
      </c>
      <c r="B80" s="16">
        <v>4219507</v>
      </c>
      <c r="C80" s="12" t="s">
        <v>228</v>
      </c>
      <c r="D80" s="12" t="s">
        <v>73</v>
      </c>
      <c r="E80" s="13">
        <v>0</v>
      </c>
      <c r="F80" s="12">
        <v>2100</v>
      </c>
      <c r="G80" s="12">
        <v>1113</v>
      </c>
      <c r="H80" s="12">
        <v>33390</v>
      </c>
      <c r="I80" s="12">
        <v>33390</v>
      </c>
      <c r="J80" s="12">
        <v>45942</v>
      </c>
      <c r="K80" s="12">
        <v>68913</v>
      </c>
      <c r="L80" s="12">
        <v>6600</v>
      </c>
      <c r="M80" s="12">
        <v>8580</v>
      </c>
      <c r="N80" s="12" t="s">
        <v>73</v>
      </c>
      <c r="O80" s="12">
        <v>0</v>
      </c>
      <c r="P80" s="12">
        <v>1725</v>
      </c>
      <c r="Q80" s="12">
        <v>914.25</v>
      </c>
      <c r="R80" s="12">
        <v>20034</v>
      </c>
      <c r="S80" s="12">
        <v>20034</v>
      </c>
      <c r="T80" s="12">
        <v>34782</v>
      </c>
      <c r="U80" s="12">
        <v>52173</v>
      </c>
      <c r="V80" s="12">
        <v>4800</v>
      </c>
      <c r="W80" s="12">
        <v>6240</v>
      </c>
      <c r="X80" s="12" t="s">
        <v>73</v>
      </c>
      <c r="Y80" s="12">
        <v>0</v>
      </c>
      <c r="Z80" s="12">
        <v>4320</v>
      </c>
      <c r="AA80" s="12">
        <v>2289.6</v>
      </c>
      <c r="AB80" s="12">
        <v>19080</v>
      </c>
      <c r="AC80" s="12">
        <v>19080</v>
      </c>
      <c r="AD80" s="12">
        <v>25650</v>
      </c>
      <c r="AE80" s="12">
        <v>38475</v>
      </c>
      <c r="AF80" s="12">
        <v>8640</v>
      </c>
      <c r="AG80" s="12">
        <v>11232</v>
      </c>
      <c r="AH80" s="12" t="s">
        <v>73</v>
      </c>
      <c r="AI80" s="12">
        <v>0</v>
      </c>
      <c r="AJ80" s="12">
        <v>2964</v>
      </c>
      <c r="AK80" s="12">
        <v>1570.92</v>
      </c>
      <c r="AL80" s="12">
        <v>28620</v>
      </c>
      <c r="AM80" s="12">
        <v>28620</v>
      </c>
      <c r="AN80" s="12">
        <v>42000</v>
      </c>
      <c r="AO80" s="12">
        <v>63000</v>
      </c>
      <c r="AP80" s="12">
        <v>1260</v>
      </c>
      <c r="AQ80" s="12">
        <v>1638</v>
      </c>
      <c r="AR80" s="12" t="s">
        <v>73</v>
      </c>
      <c r="AS80" s="12">
        <v>0</v>
      </c>
      <c r="AT80" s="12">
        <v>4368</v>
      </c>
      <c r="AU80" s="12">
        <v>2315.04</v>
      </c>
      <c r="AV80" s="12">
        <v>22500</v>
      </c>
      <c r="AW80" s="12">
        <v>22500</v>
      </c>
      <c r="AX80" s="12">
        <v>42000</v>
      </c>
      <c r="AY80" s="12">
        <v>63000</v>
      </c>
      <c r="AZ80" s="12">
        <v>10890</v>
      </c>
      <c r="BA80" s="12">
        <v>14157</v>
      </c>
    </row>
    <row r="81" spans="1:53" x14ac:dyDescent="0.3">
      <c r="A81" s="12" t="s">
        <v>74</v>
      </c>
      <c r="B81" s="16">
        <v>4219705</v>
      </c>
      <c r="C81" s="12" t="s">
        <v>230</v>
      </c>
      <c r="D81" s="12" t="s">
        <v>73</v>
      </c>
      <c r="E81" s="13">
        <v>0</v>
      </c>
      <c r="F81" s="12">
        <v>1380</v>
      </c>
      <c r="G81" s="12">
        <v>731.40000000000009</v>
      </c>
      <c r="H81" s="12">
        <v>10800</v>
      </c>
      <c r="I81" s="12">
        <v>10800</v>
      </c>
      <c r="J81" s="12">
        <v>17976</v>
      </c>
      <c r="K81" s="12">
        <v>26964</v>
      </c>
      <c r="L81" s="12">
        <v>2592</v>
      </c>
      <c r="M81" s="12">
        <v>3369.6</v>
      </c>
      <c r="N81" s="12" t="s">
        <v>73</v>
      </c>
      <c r="O81" s="12">
        <v>0</v>
      </c>
      <c r="P81" s="12">
        <v>1380</v>
      </c>
      <c r="Q81" s="12">
        <v>731.40000000000009</v>
      </c>
      <c r="R81" s="12">
        <v>5040</v>
      </c>
      <c r="S81" s="12">
        <v>5040</v>
      </c>
      <c r="T81" s="12">
        <v>15450</v>
      </c>
      <c r="U81" s="12">
        <v>23175</v>
      </c>
      <c r="V81" s="12">
        <v>3240</v>
      </c>
      <c r="W81" s="12">
        <v>4212</v>
      </c>
      <c r="X81" s="12" t="s">
        <v>73</v>
      </c>
      <c r="Y81" s="12">
        <v>0</v>
      </c>
      <c r="Z81" s="12">
        <v>1185</v>
      </c>
      <c r="AA81" s="12">
        <v>628.05000000000007</v>
      </c>
      <c r="AB81" s="12">
        <v>5940</v>
      </c>
      <c r="AC81" s="12">
        <v>5940</v>
      </c>
      <c r="AD81" s="12">
        <v>7830</v>
      </c>
      <c r="AE81" s="12">
        <v>11745</v>
      </c>
      <c r="AF81" s="12">
        <v>4680</v>
      </c>
      <c r="AG81" s="12">
        <v>6084</v>
      </c>
      <c r="AH81" s="12" t="s">
        <v>73</v>
      </c>
      <c r="AI81" s="12">
        <v>0</v>
      </c>
      <c r="AJ81" s="12">
        <v>840</v>
      </c>
      <c r="AK81" s="12">
        <v>445.20000000000005</v>
      </c>
      <c r="AL81" s="12">
        <v>8580</v>
      </c>
      <c r="AM81" s="12">
        <v>8580</v>
      </c>
      <c r="AN81" s="12">
        <v>16320</v>
      </c>
      <c r="AO81" s="12">
        <v>24480</v>
      </c>
      <c r="AP81" s="12">
        <v>2970</v>
      </c>
      <c r="AQ81" s="12">
        <v>3861</v>
      </c>
      <c r="AR81" s="12" t="s">
        <v>73</v>
      </c>
      <c r="AS81" s="12">
        <v>0</v>
      </c>
      <c r="AT81" s="12">
        <v>570</v>
      </c>
      <c r="AU81" s="12">
        <v>302.10000000000002</v>
      </c>
      <c r="AV81" s="12">
        <v>10140</v>
      </c>
      <c r="AW81" s="12">
        <v>10140</v>
      </c>
      <c r="AX81" s="12">
        <v>17070</v>
      </c>
      <c r="AY81" s="12">
        <v>25605</v>
      </c>
      <c r="AZ81" s="12">
        <v>3960</v>
      </c>
      <c r="BA81" s="12">
        <v>5148</v>
      </c>
    </row>
    <row r="82" spans="1:53" x14ac:dyDescent="0.3">
      <c r="A82" s="12" t="s">
        <v>70</v>
      </c>
      <c r="B82" s="16">
        <v>42004</v>
      </c>
      <c r="C82" s="12" t="s">
        <v>232</v>
      </c>
      <c r="D82" s="12" t="s">
        <v>73</v>
      </c>
      <c r="E82" s="13">
        <v>0</v>
      </c>
      <c r="F82" s="12">
        <v>5428</v>
      </c>
      <c r="G82" s="12">
        <v>2876.84</v>
      </c>
      <c r="H82" s="12">
        <v>507766</v>
      </c>
      <c r="I82" s="12">
        <v>507766</v>
      </c>
      <c r="J82" s="12">
        <v>151532</v>
      </c>
      <c r="K82" s="12">
        <v>227298</v>
      </c>
      <c r="L82" s="12">
        <v>8991</v>
      </c>
      <c r="M82" s="12">
        <v>11688.300000000001</v>
      </c>
      <c r="N82" s="12" t="s">
        <v>73</v>
      </c>
      <c r="O82" s="12">
        <v>0</v>
      </c>
      <c r="P82" s="12">
        <v>5911</v>
      </c>
      <c r="Q82" s="12">
        <v>3132.8300000000004</v>
      </c>
      <c r="R82" s="12">
        <v>374299</v>
      </c>
      <c r="S82" s="12">
        <v>374299</v>
      </c>
      <c r="T82" s="12">
        <v>160752</v>
      </c>
      <c r="U82" s="12">
        <v>241128</v>
      </c>
      <c r="V82" s="12">
        <v>18864</v>
      </c>
      <c r="W82" s="12">
        <v>24523.200000000001</v>
      </c>
      <c r="X82" s="12" t="s">
        <v>73</v>
      </c>
      <c r="Y82" s="12">
        <v>0</v>
      </c>
      <c r="Z82" s="12">
        <v>5389</v>
      </c>
      <c r="AA82" s="12">
        <v>2856.17</v>
      </c>
      <c r="AB82" s="12">
        <v>424066</v>
      </c>
      <c r="AC82" s="12">
        <v>424066</v>
      </c>
      <c r="AD82" s="12">
        <v>192658</v>
      </c>
      <c r="AE82" s="12">
        <v>288987</v>
      </c>
      <c r="AF82" s="12">
        <v>33004</v>
      </c>
      <c r="AG82" s="12">
        <v>42905.200000000004</v>
      </c>
      <c r="AH82" s="12" t="s">
        <v>73</v>
      </c>
      <c r="AI82" s="12">
        <v>0</v>
      </c>
      <c r="AJ82" s="12">
        <v>6565</v>
      </c>
      <c r="AK82" s="12">
        <v>3479.4500000000003</v>
      </c>
      <c r="AL82" s="12">
        <v>490048</v>
      </c>
      <c r="AM82" s="12">
        <v>490048</v>
      </c>
      <c r="AN82" s="12">
        <v>230181</v>
      </c>
      <c r="AO82" s="12">
        <v>345271.5</v>
      </c>
      <c r="AP82" s="12">
        <v>23107</v>
      </c>
      <c r="AQ82" s="12">
        <v>30039.100000000002</v>
      </c>
      <c r="AR82" s="12" t="s">
        <v>73</v>
      </c>
      <c r="AS82" s="12">
        <v>0</v>
      </c>
      <c r="AT82" s="12">
        <v>4791</v>
      </c>
      <c r="AU82" s="12">
        <v>2539.23</v>
      </c>
      <c r="AV82" s="12">
        <v>337599</v>
      </c>
      <c r="AW82" s="12">
        <v>337599</v>
      </c>
      <c r="AX82" s="12">
        <v>220106</v>
      </c>
      <c r="AY82" s="12">
        <v>330159</v>
      </c>
      <c r="AZ82" s="12">
        <v>28968</v>
      </c>
      <c r="BA82" s="12">
        <v>37658.400000000001</v>
      </c>
    </row>
    <row r="83" spans="1:53" x14ac:dyDescent="0.3">
      <c r="A83" s="12" t="s">
        <v>74</v>
      </c>
      <c r="B83" s="16">
        <v>4200408</v>
      </c>
      <c r="C83" s="12" t="s">
        <v>234</v>
      </c>
      <c r="D83" s="12" t="s">
        <v>73</v>
      </c>
      <c r="E83" s="13">
        <v>0</v>
      </c>
      <c r="F83" s="12">
        <v>90</v>
      </c>
      <c r="G83" s="12">
        <v>47.7</v>
      </c>
      <c r="H83" s="12">
        <v>49560</v>
      </c>
      <c r="I83" s="12">
        <v>49560</v>
      </c>
      <c r="J83" s="12">
        <v>52938</v>
      </c>
      <c r="K83" s="12">
        <v>79407</v>
      </c>
      <c r="L83" s="12" t="s">
        <v>73</v>
      </c>
      <c r="M83" s="12">
        <v>0</v>
      </c>
      <c r="N83" s="12" t="s">
        <v>73</v>
      </c>
      <c r="O83" s="12">
        <v>0</v>
      </c>
      <c r="P83" s="12">
        <v>65</v>
      </c>
      <c r="Q83" s="12">
        <v>34.450000000000003</v>
      </c>
      <c r="R83" s="12">
        <v>42480</v>
      </c>
      <c r="S83" s="12">
        <v>42480</v>
      </c>
      <c r="T83" s="12">
        <v>58080</v>
      </c>
      <c r="U83" s="12">
        <v>87120</v>
      </c>
      <c r="V83" s="12">
        <v>800</v>
      </c>
      <c r="W83" s="12">
        <v>1040</v>
      </c>
      <c r="X83" s="12" t="s">
        <v>73</v>
      </c>
      <c r="Y83" s="12">
        <v>0</v>
      </c>
      <c r="Z83" s="12">
        <v>80</v>
      </c>
      <c r="AA83" s="12">
        <v>42.400000000000006</v>
      </c>
      <c r="AB83" s="12">
        <v>37800</v>
      </c>
      <c r="AC83" s="12">
        <v>37800</v>
      </c>
      <c r="AD83" s="12">
        <v>83700</v>
      </c>
      <c r="AE83" s="12">
        <v>125550</v>
      </c>
      <c r="AF83" s="12">
        <v>1680</v>
      </c>
      <c r="AG83" s="12">
        <v>2184</v>
      </c>
      <c r="AH83" s="12" t="s">
        <v>73</v>
      </c>
      <c r="AI83" s="12">
        <v>0</v>
      </c>
      <c r="AJ83" s="12" t="s">
        <v>73</v>
      </c>
      <c r="AK83" s="12">
        <v>0</v>
      </c>
      <c r="AL83" s="12">
        <v>36500</v>
      </c>
      <c r="AM83" s="12">
        <v>36500</v>
      </c>
      <c r="AN83" s="12">
        <v>90000</v>
      </c>
      <c r="AO83" s="12">
        <v>135000</v>
      </c>
      <c r="AP83" s="12">
        <v>984</v>
      </c>
      <c r="AQ83" s="12">
        <v>1279.2</v>
      </c>
      <c r="AR83" s="12" t="s">
        <v>73</v>
      </c>
      <c r="AS83" s="12">
        <v>0</v>
      </c>
      <c r="AT83" s="12" t="s">
        <v>73</v>
      </c>
      <c r="AU83" s="12">
        <v>0</v>
      </c>
      <c r="AV83" s="12">
        <v>27000</v>
      </c>
      <c r="AW83" s="12">
        <v>27000</v>
      </c>
      <c r="AX83" s="12">
        <v>82000</v>
      </c>
      <c r="AY83" s="12">
        <v>123000</v>
      </c>
      <c r="AZ83" s="12">
        <v>840</v>
      </c>
      <c r="BA83" s="12">
        <v>1092</v>
      </c>
    </row>
    <row r="84" spans="1:53" x14ac:dyDescent="0.3">
      <c r="A84" s="12" t="s">
        <v>74</v>
      </c>
      <c r="B84" s="16">
        <v>4201604</v>
      </c>
      <c r="C84" s="12" t="s">
        <v>236</v>
      </c>
      <c r="D84" s="12" t="s">
        <v>73</v>
      </c>
      <c r="E84" s="13">
        <v>0</v>
      </c>
      <c r="F84" s="12">
        <v>17</v>
      </c>
      <c r="G84" s="12">
        <v>9.01</v>
      </c>
      <c r="H84" s="12">
        <v>12090</v>
      </c>
      <c r="I84" s="12">
        <v>12090</v>
      </c>
      <c r="J84" s="12">
        <v>495</v>
      </c>
      <c r="K84" s="12">
        <v>742.5</v>
      </c>
      <c r="L84" s="12">
        <v>250</v>
      </c>
      <c r="M84" s="12">
        <v>325</v>
      </c>
      <c r="N84" s="12" t="s">
        <v>73</v>
      </c>
      <c r="O84" s="12">
        <v>0</v>
      </c>
      <c r="P84" s="12">
        <v>17</v>
      </c>
      <c r="Q84" s="12">
        <v>9.01</v>
      </c>
      <c r="R84" s="12">
        <v>6200</v>
      </c>
      <c r="S84" s="12">
        <v>6200</v>
      </c>
      <c r="T84" s="12">
        <v>495</v>
      </c>
      <c r="U84" s="12">
        <v>742.5</v>
      </c>
      <c r="V84" s="12">
        <v>375</v>
      </c>
      <c r="W84" s="12">
        <v>487.5</v>
      </c>
      <c r="X84" s="12" t="s">
        <v>73</v>
      </c>
      <c r="Y84" s="12">
        <v>0</v>
      </c>
      <c r="Z84" s="12">
        <v>14</v>
      </c>
      <c r="AA84" s="12">
        <v>7.42</v>
      </c>
      <c r="AB84" s="12">
        <v>10440</v>
      </c>
      <c r="AC84" s="12">
        <v>10440</v>
      </c>
      <c r="AD84" s="12">
        <v>875</v>
      </c>
      <c r="AE84" s="12">
        <v>1312.5</v>
      </c>
      <c r="AF84" s="12">
        <v>810</v>
      </c>
      <c r="AG84" s="12">
        <v>1053</v>
      </c>
      <c r="AH84" s="12" t="s">
        <v>73</v>
      </c>
      <c r="AI84" s="12">
        <v>0</v>
      </c>
      <c r="AJ84" s="12">
        <v>29</v>
      </c>
      <c r="AK84" s="12">
        <v>15.370000000000001</v>
      </c>
      <c r="AL84" s="12">
        <v>8700</v>
      </c>
      <c r="AM84" s="12">
        <v>8700</v>
      </c>
      <c r="AN84" s="12">
        <v>825</v>
      </c>
      <c r="AO84" s="12">
        <v>1237.5</v>
      </c>
      <c r="AP84" s="12">
        <v>459</v>
      </c>
      <c r="AQ84" s="12">
        <v>596.70000000000005</v>
      </c>
      <c r="AR84" s="12" t="s">
        <v>73</v>
      </c>
      <c r="AS84" s="12">
        <v>0</v>
      </c>
      <c r="AT84" s="12">
        <v>12</v>
      </c>
      <c r="AU84" s="12">
        <v>6.36</v>
      </c>
      <c r="AV84" s="12">
        <v>5220</v>
      </c>
      <c r="AW84" s="12">
        <v>5220</v>
      </c>
      <c r="AX84" s="12">
        <v>825</v>
      </c>
      <c r="AY84" s="12">
        <v>1237.5</v>
      </c>
      <c r="AZ84" s="12">
        <v>375</v>
      </c>
      <c r="BA84" s="12">
        <v>487.5</v>
      </c>
    </row>
    <row r="85" spans="1:53" x14ac:dyDescent="0.3">
      <c r="A85" s="12" t="s">
        <v>74</v>
      </c>
      <c r="B85" s="16">
        <v>4203006</v>
      </c>
      <c r="C85" s="12" t="s">
        <v>238</v>
      </c>
      <c r="D85" s="12" t="s">
        <v>73</v>
      </c>
      <c r="E85" s="13">
        <v>0</v>
      </c>
      <c r="F85" s="12">
        <v>378</v>
      </c>
      <c r="G85" s="12">
        <v>200.34</v>
      </c>
      <c r="H85" s="12">
        <v>24000</v>
      </c>
      <c r="I85" s="12">
        <v>24000</v>
      </c>
      <c r="J85" s="12">
        <v>6600</v>
      </c>
      <c r="K85" s="12">
        <v>9900</v>
      </c>
      <c r="L85" s="12">
        <v>240</v>
      </c>
      <c r="M85" s="12">
        <v>312</v>
      </c>
      <c r="N85" s="12" t="s">
        <v>73</v>
      </c>
      <c r="O85" s="12">
        <v>0</v>
      </c>
      <c r="P85" s="12">
        <v>342</v>
      </c>
      <c r="Q85" s="12">
        <v>181.26000000000002</v>
      </c>
      <c r="R85" s="12">
        <v>19600</v>
      </c>
      <c r="S85" s="12">
        <v>19600</v>
      </c>
      <c r="T85" s="12">
        <v>7040</v>
      </c>
      <c r="U85" s="12">
        <v>10560</v>
      </c>
      <c r="V85" s="12">
        <v>357</v>
      </c>
      <c r="W85" s="12">
        <v>464.1</v>
      </c>
      <c r="X85" s="12" t="s">
        <v>73</v>
      </c>
      <c r="Y85" s="12">
        <v>0</v>
      </c>
      <c r="Z85" s="12">
        <v>235</v>
      </c>
      <c r="AA85" s="12">
        <v>124.55000000000001</v>
      </c>
      <c r="AB85" s="12">
        <v>13680</v>
      </c>
      <c r="AC85" s="12">
        <v>13680</v>
      </c>
      <c r="AD85" s="12">
        <v>5472</v>
      </c>
      <c r="AE85" s="12">
        <v>8208</v>
      </c>
      <c r="AF85" s="12">
        <v>1050</v>
      </c>
      <c r="AG85" s="12">
        <v>1365</v>
      </c>
      <c r="AH85" s="12" t="s">
        <v>73</v>
      </c>
      <c r="AI85" s="12">
        <v>0</v>
      </c>
      <c r="AJ85" s="12">
        <v>324</v>
      </c>
      <c r="AK85" s="12">
        <v>171.72</v>
      </c>
      <c r="AL85" s="12">
        <v>21000</v>
      </c>
      <c r="AM85" s="12">
        <v>21000</v>
      </c>
      <c r="AN85" s="12">
        <v>9600</v>
      </c>
      <c r="AO85" s="12">
        <v>14400</v>
      </c>
      <c r="AP85" s="12">
        <v>360</v>
      </c>
      <c r="AQ85" s="12">
        <v>468</v>
      </c>
      <c r="AR85" s="12" t="s">
        <v>73</v>
      </c>
      <c r="AS85" s="12">
        <v>0</v>
      </c>
      <c r="AT85" s="12">
        <v>288</v>
      </c>
      <c r="AU85" s="12">
        <v>152.64000000000001</v>
      </c>
      <c r="AV85" s="12">
        <v>19500</v>
      </c>
      <c r="AW85" s="12">
        <v>19500</v>
      </c>
      <c r="AX85" s="12">
        <v>10400</v>
      </c>
      <c r="AY85" s="12">
        <v>15600</v>
      </c>
      <c r="AZ85" s="12">
        <v>500</v>
      </c>
      <c r="BA85" s="12">
        <v>650</v>
      </c>
    </row>
    <row r="86" spans="1:53" x14ac:dyDescent="0.3">
      <c r="A86" s="12" t="s">
        <v>74</v>
      </c>
      <c r="B86" s="16">
        <v>4203154</v>
      </c>
      <c r="C86" s="12" t="s">
        <v>240</v>
      </c>
      <c r="D86" s="12" t="s">
        <v>73</v>
      </c>
      <c r="E86" s="13">
        <v>0</v>
      </c>
      <c r="F86" s="12">
        <v>38</v>
      </c>
      <c r="G86" s="12">
        <v>20.14</v>
      </c>
      <c r="H86" s="12">
        <v>2310</v>
      </c>
      <c r="I86" s="12">
        <v>2310</v>
      </c>
      <c r="J86" s="12">
        <v>2750</v>
      </c>
      <c r="K86" s="12">
        <v>4125</v>
      </c>
      <c r="L86" s="12" t="s">
        <v>73</v>
      </c>
      <c r="M86" s="12">
        <v>0</v>
      </c>
      <c r="N86" s="12" t="s">
        <v>73</v>
      </c>
      <c r="O86" s="12">
        <v>0</v>
      </c>
      <c r="P86" s="12">
        <v>58</v>
      </c>
      <c r="Q86" s="12">
        <v>30.740000000000002</v>
      </c>
      <c r="R86" s="12">
        <v>2100</v>
      </c>
      <c r="S86" s="12">
        <v>2100</v>
      </c>
      <c r="T86" s="12">
        <v>3300</v>
      </c>
      <c r="U86" s="12">
        <v>4950</v>
      </c>
      <c r="V86" s="12">
        <v>130</v>
      </c>
      <c r="W86" s="12">
        <v>169</v>
      </c>
      <c r="X86" s="12" t="s">
        <v>73</v>
      </c>
      <c r="Y86" s="12">
        <v>0</v>
      </c>
      <c r="Z86" s="12">
        <v>91</v>
      </c>
      <c r="AA86" s="12">
        <v>48.230000000000004</v>
      </c>
      <c r="AB86" s="12">
        <v>2750</v>
      </c>
      <c r="AC86" s="12">
        <v>2750</v>
      </c>
      <c r="AD86" s="12">
        <v>2340</v>
      </c>
      <c r="AE86" s="12">
        <v>3510</v>
      </c>
      <c r="AF86" s="12">
        <v>300</v>
      </c>
      <c r="AG86" s="12">
        <v>390</v>
      </c>
      <c r="AH86" s="12" t="s">
        <v>73</v>
      </c>
      <c r="AI86" s="12">
        <v>0</v>
      </c>
      <c r="AJ86" s="12">
        <v>135</v>
      </c>
      <c r="AK86" s="12">
        <v>71.55</v>
      </c>
      <c r="AL86" s="12">
        <v>5000</v>
      </c>
      <c r="AM86" s="12">
        <v>5000</v>
      </c>
      <c r="AN86" s="12">
        <v>4500</v>
      </c>
      <c r="AO86" s="12">
        <v>6750</v>
      </c>
      <c r="AP86" s="12">
        <v>240</v>
      </c>
      <c r="AQ86" s="12">
        <v>312</v>
      </c>
      <c r="AR86" s="12" t="s">
        <v>73</v>
      </c>
      <c r="AS86" s="12">
        <v>0</v>
      </c>
      <c r="AT86" s="12">
        <v>130</v>
      </c>
      <c r="AU86" s="12">
        <v>68.900000000000006</v>
      </c>
      <c r="AV86" s="12">
        <v>4800</v>
      </c>
      <c r="AW86" s="12">
        <v>4800</v>
      </c>
      <c r="AX86" s="12">
        <v>4250</v>
      </c>
      <c r="AY86" s="12">
        <v>6375</v>
      </c>
      <c r="AZ86" s="12">
        <v>300</v>
      </c>
      <c r="BA86" s="12">
        <v>390</v>
      </c>
    </row>
    <row r="87" spans="1:53" x14ac:dyDescent="0.3">
      <c r="A87" s="12" t="s">
        <v>74</v>
      </c>
      <c r="B87" s="16">
        <v>4203907</v>
      </c>
      <c r="C87" s="12" t="s">
        <v>242</v>
      </c>
      <c r="D87" s="12" t="s">
        <v>73</v>
      </c>
      <c r="E87" s="13">
        <v>0</v>
      </c>
      <c r="F87" s="12">
        <v>216</v>
      </c>
      <c r="G87" s="12">
        <v>114.48</v>
      </c>
      <c r="H87" s="12">
        <v>7140</v>
      </c>
      <c r="I87" s="12">
        <v>7140</v>
      </c>
      <c r="J87" s="12">
        <v>13254</v>
      </c>
      <c r="K87" s="12">
        <v>19881</v>
      </c>
      <c r="L87" s="12">
        <v>2480</v>
      </c>
      <c r="M87" s="12">
        <v>3224</v>
      </c>
      <c r="N87" s="12" t="s">
        <v>73</v>
      </c>
      <c r="O87" s="12">
        <v>0</v>
      </c>
      <c r="P87" s="12">
        <v>588</v>
      </c>
      <c r="Q87" s="12">
        <v>311.64000000000004</v>
      </c>
      <c r="R87" s="12">
        <v>5148</v>
      </c>
      <c r="S87" s="12">
        <v>5148</v>
      </c>
      <c r="T87" s="12">
        <v>14946</v>
      </c>
      <c r="U87" s="12">
        <v>22419</v>
      </c>
      <c r="V87" s="12">
        <v>5600</v>
      </c>
      <c r="W87" s="12">
        <v>7280</v>
      </c>
      <c r="X87" s="12" t="s">
        <v>73</v>
      </c>
      <c r="Y87" s="12">
        <v>0</v>
      </c>
      <c r="Z87" s="12">
        <v>840</v>
      </c>
      <c r="AA87" s="12">
        <v>445.20000000000005</v>
      </c>
      <c r="AB87" s="12">
        <v>9300</v>
      </c>
      <c r="AC87" s="12">
        <v>9300</v>
      </c>
      <c r="AD87" s="12">
        <v>18000</v>
      </c>
      <c r="AE87" s="12">
        <v>27000</v>
      </c>
      <c r="AF87" s="12">
        <v>6500</v>
      </c>
      <c r="AG87" s="12">
        <v>8450</v>
      </c>
      <c r="AH87" s="12" t="s">
        <v>73</v>
      </c>
      <c r="AI87" s="12">
        <v>0</v>
      </c>
      <c r="AJ87" s="12" t="s">
        <v>73</v>
      </c>
      <c r="AK87" s="12">
        <v>0</v>
      </c>
      <c r="AL87" s="12">
        <v>7590</v>
      </c>
      <c r="AM87" s="12">
        <v>7590</v>
      </c>
      <c r="AN87" s="12">
        <v>21000</v>
      </c>
      <c r="AO87" s="12">
        <v>31500</v>
      </c>
      <c r="AP87" s="12">
        <v>6612</v>
      </c>
      <c r="AQ87" s="12">
        <v>8595.6</v>
      </c>
      <c r="AR87" s="12" t="s">
        <v>73</v>
      </c>
      <c r="AS87" s="12">
        <v>0</v>
      </c>
      <c r="AT87" s="12" t="s">
        <v>73</v>
      </c>
      <c r="AU87" s="12">
        <v>0</v>
      </c>
      <c r="AV87" s="12">
        <v>6250</v>
      </c>
      <c r="AW87" s="12">
        <v>6250</v>
      </c>
      <c r="AX87" s="12">
        <v>16000</v>
      </c>
      <c r="AY87" s="12">
        <v>24000</v>
      </c>
      <c r="AZ87" s="12">
        <v>7440</v>
      </c>
      <c r="BA87" s="12">
        <v>9672</v>
      </c>
    </row>
    <row r="88" spans="1:53" x14ac:dyDescent="0.3">
      <c r="A88" s="12" t="s">
        <v>74</v>
      </c>
      <c r="B88" s="16">
        <v>4204004</v>
      </c>
      <c r="C88" s="12" t="s">
        <v>244</v>
      </c>
      <c r="D88" s="12" t="s">
        <v>73</v>
      </c>
      <c r="E88" s="13">
        <v>0</v>
      </c>
      <c r="F88" s="12" t="s">
        <v>73</v>
      </c>
      <c r="G88" s="12">
        <v>0</v>
      </c>
      <c r="H88" s="12">
        <v>4680</v>
      </c>
      <c r="I88" s="12">
        <v>4680</v>
      </c>
      <c r="J88" s="12">
        <v>1200</v>
      </c>
      <c r="K88" s="12">
        <v>1800</v>
      </c>
      <c r="L88" s="12" t="s">
        <v>73</v>
      </c>
      <c r="M88" s="12">
        <v>0</v>
      </c>
      <c r="N88" s="12" t="s">
        <v>73</v>
      </c>
      <c r="O88" s="12">
        <v>0</v>
      </c>
      <c r="P88" s="12" t="s">
        <v>73</v>
      </c>
      <c r="Q88" s="12">
        <v>0</v>
      </c>
      <c r="R88" s="12">
        <v>4320</v>
      </c>
      <c r="S88" s="12">
        <v>4320</v>
      </c>
      <c r="T88" s="12">
        <v>1304</v>
      </c>
      <c r="U88" s="12">
        <v>1956</v>
      </c>
      <c r="V88" s="12" t="s">
        <v>73</v>
      </c>
      <c r="W88" s="12">
        <v>0</v>
      </c>
      <c r="X88" s="12" t="s">
        <v>73</v>
      </c>
      <c r="Y88" s="12">
        <v>0</v>
      </c>
      <c r="Z88" s="12" t="s">
        <v>73</v>
      </c>
      <c r="AA88" s="12">
        <v>0</v>
      </c>
      <c r="AB88" s="12">
        <v>4000</v>
      </c>
      <c r="AC88" s="12">
        <v>4000</v>
      </c>
      <c r="AD88" s="12">
        <v>2200</v>
      </c>
      <c r="AE88" s="12">
        <v>3300</v>
      </c>
      <c r="AF88" s="12">
        <v>1100</v>
      </c>
      <c r="AG88" s="12">
        <v>1430</v>
      </c>
      <c r="AH88" s="12" t="s">
        <v>73</v>
      </c>
      <c r="AI88" s="12">
        <v>0</v>
      </c>
      <c r="AJ88" s="12" t="s">
        <v>73</v>
      </c>
      <c r="AK88" s="12">
        <v>0</v>
      </c>
      <c r="AL88" s="12">
        <v>3250</v>
      </c>
      <c r="AM88" s="12">
        <v>3250</v>
      </c>
      <c r="AN88" s="12">
        <v>2400</v>
      </c>
      <c r="AO88" s="12">
        <v>3600</v>
      </c>
      <c r="AP88" s="12">
        <v>999</v>
      </c>
      <c r="AQ88" s="12">
        <v>1298.7</v>
      </c>
      <c r="AR88" s="12" t="s">
        <v>73</v>
      </c>
      <c r="AS88" s="12">
        <v>0</v>
      </c>
      <c r="AT88" s="12" t="s">
        <v>73</v>
      </c>
      <c r="AU88" s="12">
        <v>0</v>
      </c>
      <c r="AV88" s="12">
        <v>2050</v>
      </c>
      <c r="AW88" s="12">
        <v>2050</v>
      </c>
      <c r="AX88" s="12">
        <v>2160</v>
      </c>
      <c r="AY88" s="12">
        <v>3240</v>
      </c>
      <c r="AZ88" s="12">
        <v>1170</v>
      </c>
      <c r="BA88" s="12">
        <v>1521</v>
      </c>
    </row>
    <row r="89" spans="1:53" x14ac:dyDescent="0.3">
      <c r="A89" s="12" t="s">
        <v>74</v>
      </c>
      <c r="B89" s="16">
        <v>4205209</v>
      </c>
      <c r="C89" s="12" t="s">
        <v>246</v>
      </c>
      <c r="D89" s="12" t="s">
        <v>73</v>
      </c>
      <c r="E89" s="13">
        <v>0</v>
      </c>
      <c r="F89" s="12">
        <v>9</v>
      </c>
      <c r="G89" s="12">
        <v>4.7700000000000005</v>
      </c>
      <c r="H89" s="12">
        <v>10800</v>
      </c>
      <c r="I89" s="12">
        <v>10800</v>
      </c>
      <c r="J89" s="12">
        <v>5400</v>
      </c>
      <c r="K89" s="12">
        <v>8100</v>
      </c>
      <c r="L89" s="12">
        <v>380</v>
      </c>
      <c r="M89" s="12">
        <v>494</v>
      </c>
      <c r="N89" s="12" t="s">
        <v>73</v>
      </c>
      <c r="O89" s="12">
        <v>0</v>
      </c>
      <c r="P89" s="12">
        <v>8</v>
      </c>
      <c r="Q89" s="12">
        <v>4.24</v>
      </c>
      <c r="R89" s="12">
        <v>11490</v>
      </c>
      <c r="S89" s="12">
        <v>11490</v>
      </c>
      <c r="T89" s="12">
        <v>5796</v>
      </c>
      <c r="U89" s="12">
        <v>8694</v>
      </c>
      <c r="V89" s="12">
        <v>1230</v>
      </c>
      <c r="W89" s="12">
        <v>1599</v>
      </c>
      <c r="X89" s="12" t="s">
        <v>73</v>
      </c>
      <c r="Y89" s="12">
        <v>0</v>
      </c>
      <c r="Z89" s="12" t="s">
        <v>73</v>
      </c>
      <c r="AA89" s="12">
        <v>0</v>
      </c>
      <c r="AB89" s="12">
        <v>27000</v>
      </c>
      <c r="AC89" s="12">
        <v>27000</v>
      </c>
      <c r="AD89" s="12">
        <v>7200</v>
      </c>
      <c r="AE89" s="12">
        <v>10800</v>
      </c>
      <c r="AF89" s="12">
        <v>1260</v>
      </c>
      <c r="AG89" s="12">
        <v>1638</v>
      </c>
      <c r="AH89" s="12" t="s">
        <v>73</v>
      </c>
      <c r="AI89" s="12">
        <v>0</v>
      </c>
      <c r="AJ89" s="12" t="s">
        <v>73</v>
      </c>
      <c r="AK89" s="12">
        <v>0</v>
      </c>
      <c r="AL89" s="12">
        <v>26730</v>
      </c>
      <c r="AM89" s="12">
        <v>26730</v>
      </c>
      <c r="AN89" s="12">
        <v>10350</v>
      </c>
      <c r="AO89" s="12">
        <v>15525</v>
      </c>
      <c r="AP89" s="12">
        <v>684</v>
      </c>
      <c r="AQ89" s="12">
        <v>889.2</v>
      </c>
      <c r="AR89" s="12" t="s">
        <v>73</v>
      </c>
      <c r="AS89" s="12">
        <v>0</v>
      </c>
      <c r="AT89" s="12" t="s">
        <v>73</v>
      </c>
      <c r="AU89" s="12">
        <v>0</v>
      </c>
      <c r="AV89" s="12">
        <v>16000</v>
      </c>
      <c r="AW89" s="12">
        <v>16000</v>
      </c>
      <c r="AX89" s="12">
        <v>9250</v>
      </c>
      <c r="AY89" s="12">
        <v>13875</v>
      </c>
      <c r="AZ89" s="12">
        <v>780</v>
      </c>
      <c r="BA89" s="12">
        <v>1014</v>
      </c>
    </row>
    <row r="90" spans="1:53" x14ac:dyDescent="0.3">
      <c r="A90" s="12" t="s">
        <v>74</v>
      </c>
      <c r="B90" s="16">
        <v>4205506</v>
      </c>
      <c r="C90" s="12" t="s">
        <v>248</v>
      </c>
      <c r="D90" s="12" t="s">
        <v>73</v>
      </c>
      <c r="E90" s="13">
        <v>0</v>
      </c>
      <c r="F90" s="12">
        <v>2550</v>
      </c>
      <c r="G90" s="12">
        <v>1351.5</v>
      </c>
      <c r="H90" s="12">
        <v>56550</v>
      </c>
      <c r="I90" s="12">
        <v>56550</v>
      </c>
      <c r="J90" s="12">
        <v>18150</v>
      </c>
      <c r="K90" s="12">
        <v>27225</v>
      </c>
      <c r="L90" s="12">
        <v>1768</v>
      </c>
      <c r="M90" s="12">
        <v>2298.4</v>
      </c>
      <c r="N90" s="12" t="s">
        <v>73</v>
      </c>
      <c r="O90" s="12">
        <v>0</v>
      </c>
      <c r="P90" s="12">
        <v>2783</v>
      </c>
      <c r="Q90" s="12">
        <v>1474.99</v>
      </c>
      <c r="R90" s="12">
        <v>33150</v>
      </c>
      <c r="S90" s="12">
        <v>33150</v>
      </c>
      <c r="T90" s="12">
        <v>18810</v>
      </c>
      <c r="U90" s="12">
        <v>28215</v>
      </c>
      <c r="V90" s="12">
        <v>1950</v>
      </c>
      <c r="W90" s="12">
        <v>2535</v>
      </c>
      <c r="X90" s="12" t="s">
        <v>73</v>
      </c>
      <c r="Y90" s="12">
        <v>0</v>
      </c>
      <c r="Z90" s="12">
        <v>2625</v>
      </c>
      <c r="AA90" s="12">
        <v>1391.25</v>
      </c>
      <c r="AB90" s="12">
        <v>44850</v>
      </c>
      <c r="AC90" s="12">
        <v>44850</v>
      </c>
      <c r="AD90" s="12">
        <v>17400</v>
      </c>
      <c r="AE90" s="12">
        <v>26100</v>
      </c>
      <c r="AF90" s="12">
        <v>4200</v>
      </c>
      <c r="AG90" s="12">
        <v>5460</v>
      </c>
      <c r="AH90" s="12" t="s">
        <v>73</v>
      </c>
      <c r="AI90" s="12">
        <v>0</v>
      </c>
      <c r="AJ90" s="12">
        <v>4005</v>
      </c>
      <c r="AK90" s="12">
        <v>2122.65</v>
      </c>
      <c r="AL90" s="12">
        <v>54600</v>
      </c>
      <c r="AM90" s="12">
        <v>54600</v>
      </c>
      <c r="AN90" s="12">
        <v>19372</v>
      </c>
      <c r="AO90" s="12">
        <v>29058</v>
      </c>
      <c r="AP90" s="12">
        <v>1560</v>
      </c>
      <c r="AQ90" s="12">
        <v>2028</v>
      </c>
      <c r="AR90" s="12" t="s">
        <v>73</v>
      </c>
      <c r="AS90" s="12">
        <v>0</v>
      </c>
      <c r="AT90" s="12">
        <v>2460</v>
      </c>
      <c r="AU90" s="12">
        <v>1303.8</v>
      </c>
      <c r="AV90" s="12">
        <v>32400</v>
      </c>
      <c r="AW90" s="12">
        <v>32400</v>
      </c>
      <c r="AX90" s="12">
        <v>23040</v>
      </c>
      <c r="AY90" s="12">
        <v>34560</v>
      </c>
      <c r="AZ90" s="12">
        <v>2635</v>
      </c>
      <c r="BA90" s="12">
        <v>3425.5</v>
      </c>
    </row>
    <row r="91" spans="1:53" x14ac:dyDescent="0.3">
      <c r="A91" s="12" t="s">
        <v>74</v>
      </c>
      <c r="B91" s="16">
        <v>4206702</v>
      </c>
      <c r="C91" s="12" t="s">
        <v>250</v>
      </c>
      <c r="D91" s="12" t="s">
        <v>73</v>
      </c>
      <c r="E91" s="13">
        <v>0</v>
      </c>
      <c r="F91" s="12">
        <v>4</v>
      </c>
      <c r="G91" s="12">
        <v>2.12</v>
      </c>
      <c r="H91" s="12">
        <v>14440</v>
      </c>
      <c r="I91" s="12">
        <v>14440</v>
      </c>
      <c r="J91" s="12">
        <v>1440</v>
      </c>
      <c r="K91" s="12">
        <v>2160</v>
      </c>
      <c r="L91" s="12">
        <v>116</v>
      </c>
      <c r="M91" s="12">
        <v>150.80000000000001</v>
      </c>
      <c r="N91" s="12" t="s">
        <v>73</v>
      </c>
      <c r="O91" s="12">
        <v>0</v>
      </c>
      <c r="P91" s="12">
        <v>4</v>
      </c>
      <c r="Q91" s="12">
        <v>2.12</v>
      </c>
      <c r="R91" s="12">
        <v>14554</v>
      </c>
      <c r="S91" s="12">
        <v>14554</v>
      </c>
      <c r="T91" s="12">
        <v>1320</v>
      </c>
      <c r="U91" s="12">
        <v>1980</v>
      </c>
      <c r="V91" s="12">
        <v>195</v>
      </c>
      <c r="W91" s="12">
        <v>253.5</v>
      </c>
      <c r="X91" s="12" t="s">
        <v>73</v>
      </c>
      <c r="Y91" s="12">
        <v>0</v>
      </c>
      <c r="Z91" s="12" t="s">
        <v>73</v>
      </c>
      <c r="AA91" s="12">
        <v>0</v>
      </c>
      <c r="AB91" s="12">
        <v>12350</v>
      </c>
      <c r="AC91" s="12">
        <v>12350</v>
      </c>
      <c r="AD91" s="12">
        <v>1440</v>
      </c>
      <c r="AE91" s="12">
        <v>2160</v>
      </c>
      <c r="AF91" s="12">
        <v>546</v>
      </c>
      <c r="AG91" s="12">
        <v>709.80000000000007</v>
      </c>
      <c r="AH91" s="12" t="s">
        <v>73</v>
      </c>
      <c r="AI91" s="12">
        <v>0</v>
      </c>
      <c r="AJ91" s="12" t="s">
        <v>73</v>
      </c>
      <c r="AK91" s="12">
        <v>0</v>
      </c>
      <c r="AL91" s="12">
        <v>11500</v>
      </c>
      <c r="AM91" s="12">
        <v>11500</v>
      </c>
      <c r="AN91" s="12">
        <v>1650</v>
      </c>
      <c r="AO91" s="12">
        <v>2475</v>
      </c>
      <c r="AP91" s="12">
        <v>350</v>
      </c>
      <c r="AQ91" s="12">
        <v>455</v>
      </c>
      <c r="AR91" s="12" t="s">
        <v>73</v>
      </c>
      <c r="AS91" s="12">
        <v>0</v>
      </c>
      <c r="AT91" s="12" t="s">
        <v>73</v>
      </c>
      <c r="AU91" s="12">
        <v>0</v>
      </c>
      <c r="AV91" s="12">
        <v>7800</v>
      </c>
      <c r="AW91" s="12">
        <v>7800</v>
      </c>
      <c r="AX91" s="12">
        <v>1780</v>
      </c>
      <c r="AY91" s="12">
        <v>2670</v>
      </c>
      <c r="AZ91" s="12">
        <v>546</v>
      </c>
      <c r="BA91" s="12">
        <v>709.80000000000007</v>
      </c>
    </row>
    <row r="92" spans="1:53" x14ac:dyDescent="0.3">
      <c r="A92" s="12" t="s">
        <v>74</v>
      </c>
      <c r="B92" s="16">
        <v>4206751</v>
      </c>
      <c r="C92" s="12" t="s">
        <v>252</v>
      </c>
      <c r="D92" s="12" t="s">
        <v>73</v>
      </c>
      <c r="E92" s="13">
        <v>0</v>
      </c>
      <c r="F92" s="12">
        <v>57</v>
      </c>
      <c r="G92" s="12">
        <v>30.21</v>
      </c>
      <c r="H92" s="12">
        <v>6534</v>
      </c>
      <c r="I92" s="12">
        <v>6534</v>
      </c>
      <c r="J92" s="12">
        <v>1030</v>
      </c>
      <c r="K92" s="12">
        <v>1545</v>
      </c>
      <c r="L92" s="12">
        <v>120</v>
      </c>
      <c r="M92" s="12">
        <v>156</v>
      </c>
      <c r="N92" s="12" t="s">
        <v>73</v>
      </c>
      <c r="O92" s="12">
        <v>0</v>
      </c>
      <c r="P92" s="12">
        <v>57</v>
      </c>
      <c r="Q92" s="12">
        <v>30.21</v>
      </c>
      <c r="R92" s="12">
        <v>6050</v>
      </c>
      <c r="S92" s="12">
        <v>6050</v>
      </c>
      <c r="T92" s="12">
        <v>1266</v>
      </c>
      <c r="U92" s="12">
        <v>1899</v>
      </c>
      <c r="V92" s="12">
        <v>425</v>
      </c>
      <c r="W92" s="12">
        <v>552.5</v>
      </c>
      <c r="X92" s="12" t="s">
        <v>73</v>
      </c>
      <c r="Y92" s="12">
        <v>0</v>
      </c>
      <c r="Z92" s="12">
        <v>43</v>
      </c>
      <c r="AA92" s="12">
        <v>22.790000000000003</v>
      </c>
      <c r="AB92" s="12">
        <v>5324</v>
      </c>
      <c r="AC92" s="12">
        <v>5324</v>
      </c>
      <c r="AD92" s="12">
        <v>870</v>
      </c>
      <c r="AE92" s="12">
        <v>1305</v>
      </c>
      <c r="AF92" s="12">
        <v>500</v>
      </c>
      <c r="AG92" s="12">
        <v>650</v>
      </c>
      <c r="AH92" s="12" t="s">
        <v>73</v>
      </c>
      <c r="AI92" s="12">
        <v>0</v>
      </c>
      <c r="AJ92" s="12">
        <v>57</v>
      </c>
      <c r="AK92" s="12">
        <v>30.21</v>
      </c>
      <c r="AL92" s="12">
        <v>7260</v>
      </c>
      <c r="AM92" s="12">
        <v>7260</v>
      </c>
      <c r="AN92" s="12">
        <v>1278</v>
      </c>
      <c r="AO92" s="12">
        <v>1917</v>
      </c>
      <c r="AP92" s="12">
        <v>300</v>
      </c>
      <c r="AQ92" s="12">
        <v>390</v>
      </c>
      <c r="AR92" s="12" t="s">
        <v>73</v>
      </c>
      <c r="AS92" s="12">
        <v>0</v>
      </c>
      <c r="AT92" s="12">
        <v>48</v>
      </c>
      <c r="AU92" s="12">
        <v>25.44</v>
      </c>
      <c r="AV92" s="12">
        <v>6615</v>
      </c>
      <c r="AW92" s="12">
        <v>6615</v>
      </c>
      <c r="AX92" s="12">
        <v>1180</v>
      </c>
      <c r="AY92" s="12">
        <v>1770</v>
      </c>
      <c r="AZ92" s="12">
        <v>520</v>
      </c>
      <c r="BA92" s="12">
        <v>676</v>
      </c>
    </row>
    <row r="93" spans="1:53" x14ac:dyDescent="0.3">
      <c r="A93" s="12" t="s">
        <v>74</v>
      </c>
      <c r="B93" s="16">
        <v>4206801</v>
      </c>
      <c r="C93" s="12" t="s">
        <v>254</v>
      </c>
      <c r="D93" s="12" t="s">
        <v>73</v>
      </c>
      <c r="E93" s="13">
        <v>0</v>
      </c>
      <c r="F93" s="12">
        <v>6</v>
      </c>
      <c r="G93" s="12">
        <v>3.18</v>
      </c>
      <c r="H93" s="12">
        <v>22752</v>
      </c>
      <c r="I93" s="12">
        <v>22752</v>
      </c>
      <c r="J93" s="12">
        <v>660</v>
      </c>
      <c r="K93" s="12">
        <v>990</v>
      </c>
      <c r="L93" s="12">
        <v>140</v>
      </c>
      <c r="M93" s="12">
        <v>182</v>
      </c>
      <c r="N93" s="12" t="s">
        <v>73</v>
      </c>
      <c r="O93" s="12">
        <v>0</v>
      </c>
      <c r="P93" s="12">
        <v>5</v>
      </c>
      <c r="Q93" s="12">
        <v>2.6500000000000004</v>
      </c>
      <c r="R93" s="12">
        <v>21197</v>
      </c>
      <c r="S93" s="12">
        <v>21197</v>
      </c>
      <c r="T93" s="12">
        <v>600</v>
      </c>
      <c r="U93" s="12">
        <v>900</v>
      </c>
      <c r="V93" s="12">
        <v>180</v>
      </c>
      <c r="W93" s="12">
        <v>234</v>
      </c>
      <c r="X93" s="12" t="s">
        <v>73</v>
      </c>
      <c r="Y93" s="12">
        <v>0</v>
      </c>
      <c r="Z93" s="12">
        <v>6</v>
      </c>
      <c r="AA93" s="12">
        <v>3.18</v>
      </c>
      <c r="AB93" s="12">
        <v>22500</v>
      </c>
      <c r="AC93" s="12">
        <v>22500</v>
      </c>
      <c r="AD93" s="12">
        <v>1450</v>
      </c>
      <c r="AE93" s="12">
        <v>2175</v>
      </c>
      <c r="AF93" s="12">
        <v>1050</v>
      </c>
      <c r="AG93" s="12">
        <v>1365</v>
      </c>
      <c r="AH93" s="12" t="s">
        <v>73</v>
      </c>
      <c r="AI93" s="12">
        <v>0</v>
      </c>
      <c r="AJ93" s="12">
        <v>6</v>
      </c>
      <c r="AK93" s="12">
        <v>3.18</v>
      </c>
      <c r="AL93" s="12">
        <v>21000</v>
      </c>
      <c r="AM93" s="12">
        <v>21000</v>
      </c>
      <c r="AN93" s="12">
        <v>1650</v>
      </c>
      <c r="AO93" s="12">
        <v>2475</v>
      </c>
      <c r="AP93" s="12">
        <v>648</v>
      </c>
      <c r="AQ93" s="12">
        <v>842.4</v>
      </c>
      <c r="AR93" s="12" t="s">
        <v>73</v>
      </c>
      <c r="AS93" s="12">
        <v>0</v>
      </c>
      <c r="AT93" s="12">
        <v>6</v>
      </c>
      <c r="AU93" s="12">
        <v>3.18</v>
      </c>
      <c r="AV93" s="12">
        <v>14000</v>
      </c>
      <c r="AW93" s="12">
        <v>14000</v>
      </c>
      <c r="AX93" s="12">
        <v>1850</v>
      </c>
      <c r="AY93" s="12">
        <v>2775</v>
      </c>
      <c r="AZ93" s="12">
        <v>780</v>
      </c>
      <c r="BA93" s="12">
        <v>1014</v>
      </c>
    </row>
    <row r="94" spans="1:53" x14ac:dyDescent="0.3">
      <c r="A94" s="12" t="s">
        <v>74</v>
      </c>
      <c r="B94" s="16">
        <v>4207577</v>
      </c>
      <c r="C94" s="12" t="s">
        <v>256</v>
      </c>
      <c r="D94" s="12" t="s">
        <v>73</v>
      </c>
      <c r="E94" s="13">
        <v>0</v>
      </c>
      <c r="F94" s="12">
        <v>11</v>
      </c>
      <c r="G94" s="12">
        <v>5.83</v>
      </c>
      <c r="H94" s="12">
        <v>18450</v>
      </c>
      <c r="I94" s="12">
        <v>18450</v>
      </c>
      <c r="J94" s="12">
        <v>1350</v>
      </c>
      <c r="K94" s="12">
        <v>2025</v>
      </c>
      <c r="L94" s="12">
        <v>138</v>
      </c>
      <c r="M94" s="12">
        <v>179.4</v>
      </c>
      <c r="N94" s="12" t="s">
        <v>73</v>
      </c>
      <c r="O94" s="12">
        <v>0</v>
      </c>
      <c r="P94" s="12">
        <v>8</v>
      </c>
      <c r="Q94" s="12">
        <v>4.24</v>
      </c>
      <c r="R94" s="12">
        <v>9635</v>
      </c>
      <c r="S94" s="12">
        <v>9635</v>
      </c>
      <c r="T94" s="12">
        <v>1350</v>
      </c>
      <c r="U94" s="12">
        <v>2025</v>
      </c>
      <c r="V94" s="12">
        <v>300</v>
      </c>
      <c r="W94" s="12">
        <v>390</v>
      </c>
      <c r="X94" s="12" t="s">
        <v>73</v>
      </c>
      <c r="Y94" s="12">
        <v>0</v>
      </c>
      <c r="Z94" s="12">
        <v>11</v>
      </c>
      <c r="AA94" s="12">
        <v>5.83</v>
      </c>
      <c r="AB94" s="12">
        <v>9594</v>
      </c>
      <c r="AC94" s="12">
        <v>9594</v>
      </c>
      <c r="AD94" s="12">
        <v>1215</v>
      </c>
      <c r="AE94" s="12">
        <v>1822.5</v>
      </c>
      <c r="AF94" s="12">
        <v>308</v>
      </c>
      <c r="AG94" s="12">
        <v>400.40000000000003</v>
      </c>
      <c r="AH94" s="12" t="s">
        <v>73</v>
      </c>
      <c r="AI94" s="12">
        <v>0</v>
      </c>
      <c r="AJ94" s="12">
        <v>11</v>
      </c>
      <c r="AK94" s="12">
        <v>5.83</v>
      </c>
      <c r="AL94" s="12">
        <v>14350</v>
      </c>
      <c r="AM94" s="12">
        <v>14350</v>
      </c>
      <c r="AN94" s="12">
        <v>1575</v>
      </c>
      <c r="AO94" s="12">
        <v>2362.5</v>
      </c>
      <c r="AP94" s="12">
        <v>240</v>
      </c>
      <c r="AQ94" s="12">
        <v>312</v>
      </c>
      <c r="AR94" s="12" t="s">
        <v>73</v>
      </c>
      <c r="AS94" s="12">
        <v>0</v>
      </c>
      <c r="AT94" s="12">
        <v>11</v>
      </c>
      <c r="AU94" s="12">
        <v>5.83</v>
      </c>
      <c r="AV94" s="12">
        <v>12300</v>
      </c>
      <c r="AW94" s="12">
        <v>12300</v>
      </c>
      <c r="AX94" s="12">
        <v>1350</v>
      </c>
      <c r="AY94" s="12">
        <v>2025</v>
      </c>
      <c r="AZ94" s="12">
        <v>875</v>
      </c>
      <c r="BA94" s="12">
        <v>1137.5</v>
      </c>
    </row>
    <row r="95" spans="1:53" x14ac:dyDescent="0.3">
      <c r="A95" s="12" t="s">
        <v>74</v>
      </c>
      <c r="B95" s="16">
        <v>4208609</v>
      </c>
      <c r="C95" s="12" t="s">
        <v>258</v>
      </c>
      <c r="D95" s="12" t="s">
        <v>73</v>
      </c>
      <c r="E95" s="13">
        <v>0</v>
      </c>
      <c r="F95" s="12" t="s">
        <v>73</v>
      </c>
      <c r="G95" s="12">
        <v>0</v>
      </c>
      <c r="H95" s="12">
        <v>16146</v>
      </c>
      <c r="I95" s="12">
        <v>16146</v>
      </c>
      <c r="J95" s="12">
        <v>1500</v>
      </c>
      <c r="K95" s="12">
        <v>2250</v>
      </c>
      <c r="L95" s="12">
        <v>60</v>
      </c>
      <c r="M95" s="12">
        <v>78</v>
      </c>
      <c r="N95" s="12" t="s">
        <v>73</v>
      </c>
      <c r="O95" s="12">
        <v>0</v>
      </c>
      <c r="P95" s="12" t="s">
        <v>73</v>
      </c>
      <c r="Q95" s="12">
        <v>0</v>
      </c>
      <c r="R95" s="12">
        <v>15856</v>
      </c>
      <c r="S95" s="12">
        <v>15856</v>
      </c>
      <c r="T95" s="12">
        <v>1610</v>
      </c>
      <c r="U95" s="12">
        <v>2415</v>
      </c>
      <c r="V95" s="12">
        <v>73</v>
      </c>
      <c r="W95" s="12">
        <v>94.9</v>
      </c>
      <c r="X95" s="12" t="s">
        <v>73</v>
      </c>
      <c r="Y95" s="12">
        <v>0</v>
      </c>
      <c r="Z95" s="12" t="s">
        <v>73</v>
      </c>
      <c r="AA95" s="12">
        <v>0</v>
      </c>
      <c r="AB95" s="12">
        <v>18000</v>
      </c>
      <c r="AC95" s="12">
        <v>18000</v>
      </c>
      <c r="AD95" s="12">
        <v>3600</v>
      </c>
      <c r="AE95" s="12">
        <v>5400</v>
      </c>
      <c r="AF95" s="12">
        <v>1200</v>
      </c>
      <c r="AG95" s="12">
        <v>1560</v>
      </c>
      <c r="AH95" s="12" t="s">
        <v>73</v>
      </c>
      <c r="AI95" s="12">
        <v>0</v>
      </c>
      <c r="AJ95" s="12" t="s">
        <v>73</v>
      </c>
      <c r="AK95" s="12">
        <v>0</v>
      </c>
      <c r="AL95" s="12">
        <v>18000</v>
      </c>
      <c r="AM95" s="12">
        <v>18000</v>
      </c>
      <c r="AN95" s="12">
        <v>5300</v>
      </c>
      <c r="AO95" s="12">
        <v>7950</v>
      </c>
      <c r="AP95" s="12">
        <v>1200</v>
      </c>
      <c r="AQ95" s="12">
        <v>1560</v>
      </c>
      <c r="AR95" s="12" t="s">
        <v>73</v>
      </c>
      <c r="AS95" s="12">
        <v>0</v>
      </c>
      <c r="AT95" s="12" t="s">
        <v>73</v>
      </c>
      <c r="AU95" s="12">
        <v>0</v>
      </c>
      <c r="AV95" s="12">
        <v>10000</v>
      </c>
      <c r="AW95" s="12">
        <v>10000</v>
      </c>
      <c r="AX95" s="12">
        <v>5500</v>
      </c>
      <c r="AY95" s="12">
        <v>8250</v>
      </c>
      <c r="AZ95" s="12">
        <v>2520</v>
      </c>
      <c r="BA95" s="12">
        <v>3276</v>
      </c>
    </row>
    <row r="96" spans="1:53" x14ac:dyDescent="0.3">
      <c r="A96" s="12" t="s">
        <v>74</v>
      </c>
      <c r="B96" s="16">
        <v>4209003</v>
      </c>
      <c r="C96" s="12" t="s">
        <v>260</v>
      </c>
      <c r="D96" s="12" t="s">
        <v>73</v>
      </c>
      <c r="E96" s="13">
        <v>0</v>
      </c>
      <c r="F96" s="12">
        <v>19</v>
      </c>
      <c r="G96" s="12">
        <v>10.07</v>
      </c>
      <c r="H96" s="12">
        <v>25620</v>
      </c>
      <c r="I96" s="12">
        <v>25620</v>
      </c>
      <c r="J96" s="12">
        <v>1716</v>
      </c>
      <c r="K96" s="12">
        <v>2574</v>
      </c>
      <c r="L96" s="12">
        <v>75</v>
      </c>
      <c r="M96" s="12">
        <v>97.5</v>
      </c>
      <c r="N96" s="12" t="s">
        <v>73</v>
      </c>
      <c r="O96" s="12">
        <v>0</v>
      </c>
      <c r="P96" s="12">
        <v>18</v>
      </c>
      <c r="Q96" s="12">
        <v>9.5400000000000009</v>
      </c>
      <c r="R96" s="12">
        <v>23180</v>
      </c>
      <c r="S96" s="12">
        <v>23180</v>
      </c>
      <c r="T96" s="12">
        <v>1760</v>
      </c>
      <c r="U96" s="12">
        <v>2640</v>
      </c>
      <c r="V96" s="12">
        <v>400</v>
      </c>
      <c r="W96" s="12">
        <v>520</v>
      </c>
      <c r="X96" s="12" t="s">
        <v>73</v>
      </c>
      <c r="Y96" s="12">
        <v>0</v>
      </c>
      <c r="Z96" s="12">
        <v>12</v>
      </c>
      <c r="AA96" s="12">
        <v>6.36</v>
      </c>
      <c r="AB96" s="12">
        <v>27000</v>
      </c>
      <c r="AC96" s="12">
        <v>27000</v>
      </c>
      <c r="AD96" s="12">
        <v>4700</v>
      </c>
      <c r="AE96" s="12">
        <v>7050</v>
      </c>
      <c r="AF96" s="12">
        <v>1000</v>
      </c>
      <c r="AG96" s="12">
        <v>1300</v>
      </c>
      <c r="AH96" s="12" t="s">
        <v>73</v>
      </c>
      <c r="AI96" s="12">
        <v>0</v>
      </c>
      <c r="AJ96" s="12">
        <v>24</v>
      </c>
      <c r="AK96" s="12">
        <v>12.72</v>
      </c>
      <c r="AL96" s="12">
        <v>25400</v>
      </c>
      <c r="AM96" s="12">
        <v>25400</v>
      </c>
      <c r="AN96" s="12">
        <v>5400</v>
      </c>
      <c r="AO96" s="12">
        <v>8100</v>
      </c>
      <c r="AP96" s="12">
        <v>600</v>
      </c>
      <c r="AQ96" s="12">
        <v>780</v>
      </c>
      <c r="AR96" s="12" t="s">
        <v>73</v>
      </c>
      <c r="AS96" s="12">
        <v>0</v>
      </c>
      <c r="AT96" s="12">
        <v>7</v>
      </c>
      <c r="AU96" s="12">
        <v>3.71</v>
      </c>
      <c r="AV96" s="12">
        <v>16700</v>
      </c>
      <c r="AW96" s="12">
        <v>16700</v>
      </c>
      <c r="AX96" s="12">
        <v>5210</v>
      </c>
      <c r="AY96" s="12">
        <v>7815</v>
      </c>
      <c r="AZ96" s="12">
        <v>975</v>
      </c>
      <c r="BA96" s="12">
        <v>1267.5</v>
      </c>
    </row>
    <row r="97" spans="1:53" x14ac:dyDescent="0.3">
      <c r="A97" s="12" t="s">
        <v>74</v>
      </c>
      <c r="B97" s="16">
        <v>4209201</v>
      </c>
      <c r="C97" s="12" t="s">
        <v>262</v>
      </c>
      <c r="D97" s="12" t="s">
        <v>73</v>
      </c>
      <c r="E97" s="13">
        <v>0</v>
      </c>
      <c r="F97" s="12" t="s">
        <v>73</v>
      </c>
      <c r="G97" s="12">
        <v>0</v>
      </c>
      <c r="H97" s="12">
        <v>12714</v>
      </c>
      <c r="I97" s="12">
        <v>12714</v>
      </c>
      <c r="J97" s="12">
        <v>187</v>
      </c>
      <c r="K97" s="12">
        <v>280.5</v>
      </c>
      <c r="L97" s="12">
        <v>87</v>
      </c>
      <c r="M97" s="12">
        <v>113.10000000000001</v>
      </c>
      <c r="N97" s="12" t="s">
        <v>73</v>
      </c>
      <c r="O97" s="12">
        <v>0</v>
      </c>
      <c r="P97" s="12" t="s">
        <v>73</v>
      </c>
      <c r="Q97" s="12">
        <v>0</v>
      </c>
      <c r="R97" s="12">
        <v>9617</v>
      </c>
      <c r="S97" s="12">
        <v>9617</v>
      </c>
      <c r="T97" s="12">
        <v>184</v>
      </c>
      <c r="U97" s="12">
        <v>276</v>
      </c>
      <c r="V97" s="12">
        <v>180</v>
      </c>
      <c r="W97" s="12">
        <v>234</v>
      </c>
      <c r="X97" s="12" t="s">
        <v>73</v>
      </c>
      <c r="Y97" s="12">
        <v>0</v>
      </c>
      <c r="Z97" s="12" t="s">
        <v>73</v>
      </c>
      <c r="AA97" s="12">
        <v>0</v>
      </c>
      <c r="AB97" s="12">
        <v>18000</v>
      </c>
      <c r="AC97" s="12">
        <v>18000</v>
      </c>
      <c r="AD97" s="12">
        <v>1510</v>
      </c>
      <c r="AE97" s="12">
        <v>2265</v>
      </c>
      <c r="AF97" s="12">
        <v>580</v>
      </c>
      <c r="AG97" s="12">
        <v>754</v>
      </c>
      <c r="AH97" s="12" t="s">
        <v>73</v>
      </c>
      <c r="AI97" s="12">
        <v>0</v>
      </c>
      <c r="AJ97" s="12" t="s">
        <v>73</v>
      </c>
      <c r="AK97" s="12">
        <v>0</v>
      </c>
      <c r="AL97" s="12">
        <v>17500</v>
      </c>
      <c r="AM97" s="12">
        <v>17500</v>
      </c>
      <c r="AN97" s="12">
        <v>1700</v>
      </c>
      <c r="AO97" s="12">
        <v>2550</v>
      </c>
      <c r="AP97" s="12">
        <v>350</v>
      </c>
      <c r="AQ97" s="12">
        <v>455</v>
      </c>
      <c r="AR97" s="12" t="s">
        <v>73</v>
      </c>
      <c r="AS97" s="12">
        <v>0</v>
      </c>
      <c r="AT97" s="12" t="s">
        <v>73</v>
      </c>
      <c r="AU97" s="12">
        <v>0</v>
      </c>
      <c r="AV97" s="12">
        <v>13000</v>
      </c>
      <c r="AW97" s="12">
        <v>13000</v>
      </c>
      <c r="AX97" s="12">
        <v>1777</v>
      </c>
      <c r="AY97" s="12">
        <v>2665.5</v>
      </c>
      <c r="AZ97" s="12">
        <v>585</v>
      </c>
      <c r="BA97" s="12">
        <v>760.5</v>
      </c>
    </row>
    <row r="98" spans="1:53" x14ac:dyDescent="0.3">
      <c r="A98" s="12" t="s">
        <v>74</v>
      </c>
      <c r="B98" s="16">
        <v>4209706</v>
      </c>
      <c r="C98" s="12" t="s">
        <v>264</v>
      </c>
      <c r="D98" s="12" t="s">
        <v>73</v>
      </c>
      <c r="E98" s="13">
        <v>0</v>
      </c>
      <c r="F98" s="12">
        <v>1081</v>
      </c>
      <c r="G98" s="12">
        <v>572.93000000000006</v>
      </c>
      <c r="H98" s="12">
        <v>25200</v>
      </c>
      <c r="I98" s="12">
        <v>25200</v>
      </c>
      <c r="J98" s="12">
        <v>10989</v>
      </c>
      <c r="K98" s="12">
        <v>16483.5</v>
      </c>
      <c r="L98" s="12">
        <v>448</v>
      </c>
      <c r="M98" s="12">
        <v>582.4</v>
      </c>
      <c r="N98" s="12" t="s">
        <v>73</v>
      </c>
      <c r="O98" s="12">
        <v>0</v>
      </c>
      <c r="P98" s="12">
        <v>1089</v>
      </c>
      <c r="Q98" s="12">
        <v>577.17000000000007</v>
      </c>
      <c r="R98" s="12">
        <v>15300</v>
      </c>
      <c r="S98" s="12">
        <v>15300</v>
      </c>
      <c r="T98" s="12">
        <v>10890</v>
      </c>
      <c r="U98" s="12">
        <v>16335</v>
      </c>
      <c r="V98" s="12">
        <v>1215</v>
      </c>
      <c r="W98" s="12">
        <v>1579.5</v>
      </c>
      <c r="X98" s="12" t="s">
        <v>73</v>
      </c>
      <c r="Y98" s="12">
        <v>0</v>
      </c>
      <c r="Z98" s="12">
        <v>684</v>
      </c>
      <c r="AA98" s="12">
        <v>362.52000000000004</v>
      </c>
      <c r="AB98" s="12">
        <v>11895</v>
      </c>
      <c r="AC98" s="12">
        <v>11895</v>
      </c>
      <c r="AD98" s="12">
        <v>7560</v>
      </c>
      <c r="AE98" s="12">
        <v>11340</v>
      </c>
      <c r="AF98" s="12">
        <v>1200</v>
      </c>
      <c r="AG98" s="12">
        <v>1560</v>
      </c>
      <c r="AH98" s="12" t="s">
        <v>73</v>
      </c>
      <c r="AI98" s="12">
        <v>0</v>
      </c>
      <c r="AJ98" s="12">
        <v>1197</v>
      </c>
      <c r="AK98" s="12">
        <v>634.41000000000008</v>
      </c>
      <c r="AL98" s="12">
        <v>23485</v>
      </c>
      <c r="AM98" s="12">
        <v>23485</v>
      </c>
      <c r="AN98" s="12">
        <v>11550</v>
      </c>
      <c r="AO98" s="12">
        <v>17325</v>
      </c>
      <c r="AP98" s="12">
        <v>1440</v>
      </c>
      <c r="AQ98" s="12">
        <v>1872</v>
      </c>
      <c r="AR98" s="12" t="s">
        <v>73</v>
      </c>
      <c r="AS98" s="12">
        <v>0</v>
      </c>
      <c r="AT98" s="12">
        <v>1140</v>
      </c>
      <c r="AU98" s="12">
        <v>604.20000000000005</v>
      </c>
      <c r="AV98" s="12">
        <v>16909</v>
      </c>
      <c r="AW98" s="12">
        <v>16909</v>
      </c>
      <c r="AX98" s="12">
        <v>12540</v>
      </c>
      <c r="AY98" s="12">
        <v>18810</v>
      </c>
      <c r="AZ98" s="12">
        <v>1050</v>
      </c>
      <c r="BA98" s="12">
        <v>1365</v>
      </c>
    </row>
    <row r="99" spans="1:53" x14ac:dyDescent="0.3">
      <c r="A99" s="12" t="s">
        <v>74</v>
      </c>
      <c r="B99" s="16">
        <v>4210035</v>
      </c>
      <c r="C99" s="12" t="s">
        <v>266</v>
      </c>
      <c r="D99" s="12" t="s">
        <v>73</v>
      </c>
      <c r="E99" s="13">
        <v>0</v>
      </c>
      <c r="F99" s="12">
        <v>29</v>
      </c>
      <c r="G99" s="12">
        <v>15.370000000000001</v>
      </c>
      <c r="H99" s="12">
        <v>11760</v>
      </c>
      <c r="I99" s="12">
        <v>11760</v>
      </c>
      <c r="J99" s="12">
        <v>686</v>
      </c>
      <c r="K99" s="12">
        <v>1029</v>
      </c>
      <c r="L99" s="12">
        <v>50</v>
      </c>
      <c r="M99" s="12">
        <v>65</v>
      </c>
      <c r="N99" s="12" t="s">
        <v>73</v>
      </c>
      <c r="O99" s="12">
        <v>0</v>
      </c>
      <c r="P99" s="12">
        <v>18</v>
      </c>
      <c r="Q99" s="12">
        <v>9.5400000000000009</v>
      </c>
      <c r="R99" s="12">
        <v>9120</v>
      </c>
      <c r="S99" s="12">
        <v>9120</v>
      </c>
      <c r="T99" s="12">
        <v>1386</v>
      </c>
      <c r="U99" s="12">
        <v>2079</v>
      </c>
      <c r="V99" s="12">
        <v>183</v>
      </c>
      <c r="W99" s="12">
        <v>237.9</v>
      </c>
      <c r="X99" s="12" t="s">
        <v>73</v>
      </c>
      <c r="Y99" s="12">
        <v>0</v>
      </c>
      <c r="Z99" s="12">
        <v>21</v>
      </c>
      <c r="AA99" s="12">
        <v>11.13</v>
      </c>
      <c r="AB99" s="12">
        <v>18000</v>
      </c>
      <c r="AC99" s="12">
        <v>18000</v>
      </c>
      <c r="AD99" s="12">
        <v>1512</v>
      </c>
      <c r="AE99" s="12">
        <v>2268</v>
      </c>
      <c r="AF99" s="12">
        <v>350</v>
      </c>
      <c r="AG99" s="12">
        <v>455</v>
      </c>
      <c r="AH99" s="12" t="s">
        <v>73</v>
      </c>
      <c r="AI99" s="12">
        <v>0</v>
      </c>
      <c r="AJ99" s="12">
        <v>20</v>
      </c>
      <c r="AK99" s="12">
        <v>10.600000000000001</v>
      </c>
      <c r="AL99" s="12">
        <v>16800</v>
      </c>
      <c r="AM99" s="12">
        <v>16800</v>
      </c>
      <c r="AN99" s="12">
        <v>1770</v>
      </c>
      <c r="AO99" s="12">
        <v>2655</v>
      </c>
      <c r="AP99" s="12">
        <v>243</v>
      </c>
      <c r="AQ99" s="12">
        <v>315.90000000000003</v>
      </c>
      <c r="AR99" s="12" t="s">
        <v>73</v>
      </c>
      <c r="AS99" s="12">
        <v>0</v>
      </c>
      <c r="AT99" s="12">
        <v>8</v>
      </c>
      <c r="AU99" s="12">
        <v>4.24</v>
      </c>
      <c r="AV99" s="12">
        <v>11340</v>
      </c>
      <c r="AW99" s="12">
        <v>11340</v>
      </c>
      <c r="AX99" s="12">
        <v>2080</v>
      </c>
      <c r="AY99" s="12">
        <v>3120</v>
      </c>
      <c r="AZ99" s="12">
        <v>351</v>
      </c>
      <c r="BA99" s="12">
        <v>456.3</v>
      </c>
    </row>
    <row r="100" spans="1:53" x14ac:dyDescent="0.3">
      <c r="A100" s="12" t="s">
        <v>74</v>
      </c>
      <c r="B100" s="16">
        <v>4210050</v>
      </c>
      <c r="C100" s="12" t="s">
        <v>268</v>
      </c>
      <c r="D100" s="12" t="s">
        <v>73</v>
      </c>
      <c r="E100" s="13">
        <v>0</v>
      </c>
      <c r="F100" s="12">
        <v>14</v>
      </c>
      <c r="G100" s="12">
        <v>7.42</v>
      </c>
      <c r="H100" s="12">
        <v>8400</v>
      </c>
      <c r="I100" s="12">
        <v>8400</v>
      </c>
      <c r="J100" s="12">
        <v>290</v>
      </c>
      <c r="K100" s="12">
        <v>435</v>
      </c>
      <c r="L100" s="12" t="s">
        <v>73</v>
      </c>
      <c r="M100" s="12">
        <v>0</v>
      </c>
      <c r="N100" s="12" t="s">
        <v>73</v>
      </c>
      <c r="O100" s="12">
        <v>0</v>
      </c>
      <c r="P100" s="12">
        <v>14</v>
      </c>
      <c r="Q100" s="12">
        <v>7.42</v>
      </c>
      <c r="R100" s="12">
        <v>5040</v>
      </c>
      <c r="S100" s="12">
        <v>5040</v>
      </c>
      <c r="T100" s="12">
        <v>297</v>
      </c>
      <c r="U100" s="12">
        <v>445.5</v>
      </c>
      <c r="V100" s="12">
        <v>338</v>
      </c>
      <c r="W100" s="12">
        <v>439.40000000000003</v>
      </c>
      <c r="X100" s="12" t="s">
        <v>73</v>
      </c>
      <c r="Y100" s="12">
        <v>0</v>
      </c>
      <c r="Z100" s="12">
        <v>14</v>
      </c>
      <c r="AA100" s="12">
        <v>7.42</v>
      </c>
      <c r="AB100" s="12">
        <v>7560</v>
      </c>
      <c r="AC100" s="12">
        <v>7560</v>
      </c>
      <c r="AD100" s="12">
        <v>435</v>
      </c>
      <c r="AE100" s="12">
        <v>652.5</v>
      </c>
      <c r="AF100" s="12">
        <v>828</v>
      </c>
      <c r="AG100" s="12">
        <v>1076.4000000000001</v>
      </c>
      <c r="AH100" s="12" t="s">
        <v>73</v>
      </c>
      <c r="AI100" s="12">
        <v>0</v>
      </c>
      <c r="AJ100" s="12">
        <v>14</v>
      </c>
      <c r="AK100" s="12">
        <v>7.42</v>
      </c>
      <c r="AL100" s="12">
        <v>8640</v>
      </c>
      <c r="AM100" s="12">
        <v>8640</v>
      </c>
      <c r="AN100" s="12">
        <v>540</v>
      </c>
      <c r="AO100" s="12">
        <v>810</v>
      </c>
      <c r="AP100" s="12">
        <v>400</v>
      </c>
      <c r="AQ100" s="12">
        <v>520</v>
      </c>
      <c r="AR100" s="12" t="s">
        <v>73</v>
      </c>
      <c r="AS100" s="12">
        <v>0</v>
      </c>
      <c r="AT100" s="12">
        <v>8</v>
      </c>
      <c r="AU100" s="12">
        <v>4.24</v>
      </c>
      <c r="AV100" s="12">
        <v>6480</v>
      </c>
      <c r="AW100" s="12">
        <v>6480</v>
      </c>
      <c r="AX100" s="12">
        <v>444</v>
      </c>
      <c r="AY100" s="12">
        <v>666</v>
      </c>
      <c r="AZ100" s="12">
        <v>250</v>
      </c>
      <c r="BA100" s="12">
        <v>325</v>
      </c>
    </row>
    <row r="101" spans="1:53" x14ac:dyDescent="0.3">
      <c r="A101" s="12" t="s">
        <v>74</v>
      </c>
      <c r="B101" s="16">
        <v>4210704</v>
      </c>
      <c r="C101" s="12" t="s">
        <v>270</v>
      </c>
      <c r="D101" s="12" t="s">
        <v>73</v>
      </c>
      <c r="E101" s="13">
        <v>0</v>
      </c>
      <c r="F101" s="12">
        <v>272</v>
      </c>
      <c r="G101" s="12">
        <v>144.16</v>
      </c>
      <c r="H101" s="12">
        <v>7200</v>
      </c>
      <c r="I101" s="12">
        <v>7200</v>
      </c>
      <c r="J101" s="12">
        <v>900</v>
      </c>
      <c r="K101" s="12">
        <v>1350</v>
      </c>
      <c r="L101" s="12" t="s">
        <v>73</v>
      </c>
      <c r="M101" s="12">
        <v>0</v>
      </c>
      <c r="N101" s="12" t="s">
        <v>73</v>
      </c>
      <c r="O101" s="12">
        <v>0</v>
      </c>
      <c r="P101" s="12">
        <v>207</v>
      </c>
      <c r="Q101" s="12">
        <v>109.71000000000001</v>
      </c>
      <c r="R101" s="12">
        <v>6000</v>
      </c>
      <c r="S101" s="12">
        <v>6000</v>
      </c>
      <c r="T101" s="12">
        <v>920</v>
      </c>
      <c r="U101" s="12">
        <v>1380</v>
      </c>
      <c r="V101" s="12" t="s">
        <v>73</v>
      </c>
      <c r="W101" s="12">
        <v>0</v>
      </c>
      <c r="X101" s="12" t="s">
        <v>73</v>
      </c>
      <c r="Y101" s="12">
        <v>0</v>
      </c>
      <c r="Z101" s="12">
        <v>212</v>
      </c>
      <c r="AA101" s="12">
        <v>112.36</v>
      </c>
      <c r="AB101" s="12">
        <v>5980</v>
      </c>
      <c r="AC101" s="12">
        <v>5980</v>
      </c>
      <c r="AD101" s="12">
        <v>957</v>
      </c>
      <c r="AE101" s="12">
        <v>1435.5</v>
      </c>
      <c r="AF101" s="12">
        <v>63</v>
      </c>
      <c r="AG101" s="12">
        <v>81.900000000000006</v>
      </c>
      <c r="AH101" s="12" t="s">
        <v>73</v>
      </c>
      <c r="AI101" s="12">
        <v>0</v>
      </c>
      <c r="AJ101" s="12">
        <v>86</v>
      </c>
      <c r="AK101" s="12">
        <v>45.580000000000005</v>
      </c>
      <c r="AL101" s="12">
        <v>6593</v>
      </c>
      <c r="AM101" s="12">
        <v>6593</v>
      </c>
      <c r="AN101" s="12">
        <v>1200</v>
      </c>
      <c r="AO101" s="12">
        <v>1800</v>
      </c>
      <c r="AP101" s="12">
        <v>25</v>
      </c>
      <c r="AQ101" s="12">
        <v>32.5</v>
      </c>
      <c r="AR101" s="12" t="s">
        <v>73</v>
      </c>
      <c r="AS101" s="12">
        <v>0</v>
      </c>
      <c r="AT101" s="12">
        <v>89</v>
      </c>
      <c r="AU101" s="12">
        <v>47.17</v>
      </c>
      <c r="AV101" s="12">
        <v>4025</v>
      </c>
      <c r="AW101" s="12">
        <v>4025</v>
      </c>
      <c r="AX101" s="12">
        <v>1209</v>
      </c>
      <c r="AY101" s="12">
        <v>1813.5</v>
      </c>
      <c r="AZ101" s="12">
        <v>13</v>
      </c>
      <c r="BA101" s="12">
        <v>16.900000000000002</v>
      </c>
    </row>
    <row r="102" spans="1:53" x14ac:dyDescent="0.3">
      <c r="A102" s="12" t="s">
        <v>74</v>
      </c>
      <c r="B102" s="16">
        <v>4211801</v>
      </c>
      <c r="C102" s="12" t="s">
        <v>272</v>
      </c>
      <c r="D102" s="12" t="s">
        <v>73</v>
      </c>
      <c r="E102" s="13">
        <v>0</v>
      </c>
      <c r="F102" s="12">
        <v>27</v>
      </c>
      <c r="G102" s="12">
        <v>14.31</v>
      </c>
      <c r="H102" s="12">
        <v>15960</v>
      </c>
      <c r="I102" s="12">
        <v>15960</v>
      </c>
      <c r="J102" s="12">
        <v>1650</v>
      </c>
      <c r="K102" s="12">
        <v>2475</v>
      </c>
      <c r="L102" s="12">
        <v>150</v>
      </c>
      <c r="M102" s="12">
        <v>195</v>
      </c>
      <c r="N102" s="12" t="s">
        <v>73</v>
      </c>
      <c r="O102" s="12">
        <v>0</v>
      </c>
      <c r="P102" s="12">
        <v>16</v>
      </c>
      <c r="Q102" s="12">
        <v>8.48</v>
      </c>
      <c r="R102" s="12">
        <v>15200</v>
      </c>
      <c r="S102" s="12">
        <v>15200</v>
      </c>
      <c r="T102" s="12">
        <v>1760</v>
      </c>
      <c r="U102" s="12">
        <v>2640</v>
      </c>
      <c r="V102" s="12">
        <v>183</v>
      </c>
      <c r="W102" s="12">
        <v>237.9</v>
      </c>
      <c r="X102" s="12" t="s">
        <v>73</v>
      </c>
      <c r="Y102" s="12">
        <v>0</v>
      </c>
      <c r="Z102" s="12">
        <v>18</v>
      </c>
      <c r="AA102" s="12">
        <v>9.5400000000000009</v>
      </c>
      <c r="AB102" s="12">
        <v>9000</v>
      </c>
      <c r="AC102" s="12">
        <v>9000</v>
      </c>
      <c r="AD102" s="12">
        <v>2500</v>
      </c>
      <c r="AE102" s="12">
        <v>3750</v>
      </c>
      <c r="AF102" s="12">
        <v>780</v>
      </c>
      <c r="AG102" s="12">
        <v>1014</v>
      </c>
      <c r="AH102" s="12" t="s">
        <v>73</v>
      </c>
      <c r="AI102" s="12">
        <v>0</v>
      </c>
      <c r="AJ102" s="12">
        <v>16</v>
      </c>
      <c r="AK102" s="12">
        <v>8.48</v>
      </c>
      <c r="AL102" s="12">
        <v>15800</v>
      </c>
      <c r="AM102" s="12">
        <v>15800</v>
      </c>
      <c r="AN102" s="12">
        <v>3000</v>
      </c>
      <c r="AO102" s="12">
        <v>4500</v>
      </c>
      <c r="AP102" s="12">
        <v>810</v>
      </c>
      <c r="AQ102" s="12">
        <v>1053</v>
      </c>
      <c r="AR102" s="12" t="s">
        <v>73</v>
      </c>
      <c r="AS102" s="12">
        <v>0</v>
      </c>
      <c r="AT102" s="12">
        <v>7</v>
      </c>
      <c r="AU102" s="12">
        <v>3.71</v>
      </c>
      <c r="AV102" s="12">
        <v>11500</v>
      </c>
      <c r="AW102" s="12">
        <v>11500</v>
      </c>
      <c r="AX102" s="12">
        <v>3000</v>
      </c>
      <c r="AY102" s="12">
        <v>4500</v>
      </c>
      <c r="AZ102" s="12">
        <v>1170</v>
      </c>
      <c r="BA102" s="12">
        <v>1521</v>
      </c>
    </row>
    <row r="103" spans="1:53" x14ac:dyDescent="0.3">
      <c r="A103" s="12" t="s">
        <v>74</v>
      </c>
      <c r="B103" s="16">
        <v>4213005</v>
      </c>
      <c r="C103" s="12" t="s">
        <v>274</v>
      </c>
      <c r="D103" s="12" t="s">
        <v>73</v>
      </c>
      <c r="E103" s="13">
        <v>0</v>
      </c>
      <c r="F103" s="12">
        <v>11</v>
      </c>
      <c r="G103" s="12">
        <v>5.83</v>
      </c>
      <c r="H103" s="12">
        <v>7500</v>
      </c>
      <c r="I103" s="12">
        <v>7500</v>
      </c>
      <c r="J103" s="12">
        <v>828</v>
      </c>
      <c r="K103" s="12">
        <v>1242</v>
      </c>
      <c r="L103" s="12">
        <v>22</v>
      </c>
      <c r="M103" s="12">
        <v>28.6</v>
      </c>
      <c r="N103" s="12" t="s">
        <v>73</v>
      </c>
      <c r="O103" s="12">
        <v>0</v>
      </c>
      <c r="P103" s="12">
        <v>11</v>
      </c>
      <c r="Q103" s="12">
        <v>5.83</v>
      </c>
      <c r="R103" s="12">
        <v>4220</v>
      </c>
      <c r="S103" s="12">
        <v>4220</v>
      </c>
      <c r="T103" s="12">
        <v>165</v>
      </c>
      <c r="U103" s="12">
        <v>247.5</v>
      </c>
      <c r="V103" s="12">
        <v>168</v>
      </c>
      <c r="W103" s="12">
        <v>218.4</v>
      </c>
      <c r="X103" s="12" t="s">
        <v>73</v>
      </c>
      <c r="Y103" s="12">
        <v>0</v>
      </c>
      <c r="Z103" s="12">
        <v>11</v>
      </c>
      <c r="AA103" s="12">
        <v>5.83</v>
      </c>
      <c r="AB103" s="12">
        <v>6000</v>
      </c>
      <c r="AC103" s="12">
        <v>6000</v>
      </c>
      <c r="AD103" s="12">
        <v>121</v>
      </c>
      <c r="AE103" s="12">
        <v>181.5</v>
      </c>
      <c r="AF103" s="12">
        <v>600</v>
      </c>
      <c r="AG103" s="12">
        <v>780</v>
      </c>
      <c r="AH103" s="12" t="s">
        <v>73</v>
      </c>
      <c r="AI103" s="12">
        <v>0</v>
      </c>
      <c r="AJ103" s="12">
        <v>11</v>
      </c>
      <c r="AK103" s="12">
        <v>5.83</v>
      </c>
      <c r="AL103" s="12">
        <v>7200</v>
      </c>
      <c r="AM103" s="12">
        <v>7200</v>
      </c>
      <c r="AN103" s="12">
        <v>600</v>
      </c>
      <c r="AO103" s="12">
        <v>900</v>
      </c>
      <c r="AP103" s="12">
        <v>140</v>
      </c>
      <c r="AQ103" s="12">
        <v>182</v>
      </c>
      <c r="AR103" s="12" t="s">
        <v>73</v>
      </c>
      <c r="AS103" s="12">
        <v>0</v>
      </c>
      <c r="AT103" s="12">
        <v>54</v>
      </c>
      <c r="AU103" s="12">
        <v>28.62</v>
      </c>
      <c r="AV103" s="12">
        <v>6300</v>
      </c>
      <c r="AW103" s="12">
        <v>6300</v>
      </c>
      <c r="AX103" s="12">
        <v>625</v>
      </c>
      <c r="AY103" s="12">
        <v>937.5</v>
      </c>
      <c r="AZ103" s="12">
        <v>168</v>
      </c>
      <c r="BA103" s="12">
        <v>218.4</v>
      </c>
    </row>
    <row r="104" spans="1:53" x14ac:dyDescent="0.3">
      <c r="A104" s="12" t="s">
        <v>74</v>
      </c>
      <c r="B104" s="16">
        <v>4214409</v>
      </c>
      <c r="C104" s="12" t="s">
        <v>276</v>
      </c>
      <c r="D104" s="12" t="s">
        <v>73</v>
      </c>
      <c r="E104" s="13">
        <v>0</v>
      </c>
      <c r="F104" s="12">
        <v>49</v>
      </c>
      <c r="G104" s="12">
        <v>25.970000000000002</v>
      </c>
      <c r="H104" s="12">
        <v>34200</v>
      </c>
      <c r="I104" s="12">
        <v>34200</v>
      </c>
      <c r="J104" s="12">
        <v>6300</v>
      </c>
      <c r="K104" s="12">
        <v>9450</v>
      </c>
      <c r="L104" s="12">
        <v>125</v>
      </c>
      <c r="M104" s="12">
        <v>162.5</v>
      </c>
      <c r="N104" s="12" t="s">
        <v>73</v>
      </c>
      <c r="O104" s="12">
        <v>0</v>
      </c>
      <c r="P104" s="12">
        <v>50</v>
      </c>
      <c r="Q104" s="12">
        <v>26.5</v>
      </c>
      <c r="R104" s="12">
        <v>13680</v>
      </c>
      <c r="S104" s="12">
        <v>13680</v>
      </c>
      <c r="T104" s="12">
        <v>6359</v>
      </c>
      <c r="U104" s="12">
        <v>9538.5</v>
      </c>
      <c r="V104" s="12">
        <v>1250</v>
      </c>
      <c r="W104" s="12">
        <v>1625</v>
      </c>
      <c r="X104" s="12" t="s">
        <v>73</v>
      </c>
      <c r="Y104" s="12">
        <v>0</v>
      </c>
      <c r="Z104" s="12">
        <v>40</v>
      </c>
      <c r="AA104" s="12">
        <v>21.200000000000003</v>
      </c>
      <c r="AB104" s="12">
        <v>24500</v>
      </c>
      <c r="AC104" s="12">
        <v>24500</v>
      </c>
      <c r="AD104" s="12">
        <v>5940</v>
      </c>
      <c r="AE104" s="12">
        <v>8910</v>
      </c>
      <c r="AF104" s="12">
        <v>1404</v>
      </c>
      <c r="AG104" s="12">
        <v>1825.2</v>
      </c>
      <c r="AH104" s="12" t="s">
        <v>73</v>
      </c>
      <c r="AI104" s="12">
        <v>0</v>
      </c>
      <c r="AJ104" s="12">
        <v>104</v>
      </c>
      <c r="AK104" s="12">
        <v>55.120000000000005</v>
      </c>
      <c r="AL104" s="12">
        <v>25110</v>
      </c>
      <c r="AM104" s="12">
        <v>25110</v>
      </c>
      <c r="AN104" s="12">
        <v>7040</v>
      </c>
      <c r="AO104" s="12">
        <v>10560</v>
      </c>
      <c r="AP104" s="12">
        <v>945</v>
      </c>
      <c r="AQ104" s="12">
        <v>1228.5</v>
      </c>
      <c r="AR104" s="12" t="s">
        <v>73</v>
      </c>
      <c r="AS104" s="12">
        <v>0</v>
      </c>
      <c r="AT104" s="12">
        <v>83</v>
      </c>
      <c r="AU104" s="12">
        <v>43.99</v>
      </c>
      <c r="AV104" s="12">
        <v>13750</v>
      </c>
      <c r="AW104" s="12">
        <v>13750</v>
      </c>
      <c r="AX104" s="12">
        <v>7680</v>
      </c>
      <c r="AY104" s="12">
        <v>11520</v>
      </c>
      <c r="AZ104" s="12">
        <v>975</v>
      </c>
      <c r="BA104" s="12">
        <v>1267.5</v>
      </c>
    </row>
    <row r="105" spans="1:53" x14ac:dyDescent="0.3">
      <c r="A105" s="12" t="s">
        <v>74</v>
      </c>
      <c r="B105" s="16">
        <v>4215406</v>
      </c>
      <c r="C105" s="12" t="s">
        <v>278</v>
      </c>
      <c r="D105" s="12" t="s">
        <v>73</v>
      </c>
      <c r="E105" s="13">
        <v>0</v>
      </c>
      <c r="F105" s="12">
        <v>20</v>
      </c>
      <c r="G105" s="12">
        <v>10.600000000000001</v>
      </c>
      <c r="H105" s="12">
        <v>9600</v>
      </c>
      <c r="I105" s="12">
        <v>9600</v>
      </c>
      <c r="J105" s="12">
        <v>100</v>
      </c>
      <c r="K105" s="12">
        <v>150</v>
      </c>
      <c r="L105" s="12">
        <v>150</v>
      </c>
      <c r="M105" s="12">
        <v>195</v>
      </c>
      <c r="N105" s="12" t="s">
        <v>73</v>
      </c>
      <c r="O105" s="12">
        <v>0</v>
      </c>
      <c r="P105" s="12">
        <v>20</v>
      </c>
      <c r="Q105" s="12">
        <v>10.600000000000001</v>
      </c>
      <c r="R105" s="12">
        <v>1410</v>
      </c>
      <c r="S105" s="12">
        <v>1410</v>
      </c>
      <c r="T105" s="12">
        <v>130</v>
      </c>
      <c r="U105" s="12">
        <v>195</v>
      </c>
      <c r="V105" s="12">
        <v>210</v>
      </c>
      <c r="W105" s="12">
        <v>273</v>
      </c>
      <c r="X105" s="12" t="s">
        <v>73</v>
      </c>
      <c r="Y105" s="12">
        <v>0</v>
      </c>
      <c r="Z105" s="12">
        <v>20</v>
      </c>
      <c r="AA105" s="12">
        <v>10.600000000000001</v>
      </c>
      <c r="AB105" s="12">
        <v>9000</v>
      </c>
      <c r="AC105" s="12">
        <v>9000</v>
      </c>
      <c r="AD105" s="12">
        <v>231</v>
      </c>
      <c r="AE105" s="12">
        <v>346.5</v>
      </c>
      <c r="AF105" s="12">
        <v>270</v>
      </c>
      <c r="AG105" s="12">
        <v>351</v>
      </c>
      <c r="AH105" s="12" t="s">
        <v>73</v>
      </c>
      <c r="AI105" s="12">
        <v>0</v>
      </c>
      <c r="AJ105" s="12">
        <v>20</v>
      </c>
      <c r="AK105" s="12">
        <v>10.600000000000001</v>
      </c>
      <c r="AL105" s="12">
        <v>8100</v>
      </c>
      <c r="AM105" s="12">
        <v>8100</v>
      </c>
      <c r="AN105" s="12">
        <v>231</v>
      </c>
      <c r="AO105" s="12">
        <v>346.5</v>
      </c>
      <c r="AP105" s="12">
        <v>200</v>
      </c>
      <c r="AQ105" s="12">
        <v>260</v>
      </c>
      <c r="AR105" s="12" t="s">
        <v>73</v>
      </c>
      <c r="AS105" s="12">
        <v>0</v>
      </c>
      <c r="AT105" s="12">
        <v>20</v>
      </c>
      <c r="AU105" s="12">
        <v>10.600000000000001</v>
      </c>
      <c r="AV105" s="12">
        <v>6750</v>
      </c>
      <c r="AW105" s="12">
        <v>6750</v>
      </c>
      <c r="AX105" s="12">
        <v>196</v>
      </c>
      <c r="AY105" s="12">
        <v>294</v>
      </c>
      <c r="AZ105" s="12">
        <v>30</v>
      </c>
      <c r="BA105" s="12">
        <v>39</v>
      </c>
    </row>
    <row r="106" spans="1:53" x14ac:dyDescent="0.3">
      <c r="A106" s="12" t="s">
        <v>74</v>
      </c>
      <c r="B106" s="16">
        <v>4217907</v>
      </c>
      <c r="C106" s="12" t="s">
        <v>280</v>
      </c>
      <c r="D106" s="12" t="s">
        <v>73</v>
      </c>
      <c r="E106" s="13">
        <v>0</v>
      </c>
      <c r="F106" s="12">
        <v>105</v>
      </c>
      <c r="G106" s="12">
        <v>55.650000000000006</v>
      </c>
      <c r="H106" s="12">
        <v>39600</v>
      </c>
      <c r="I106" s="12">
        <v>39600</v>
      </c>
      <c r="J106" s="12">
        <v>9000</v>
      </c>
      <c r="K106" s="12">
        <v>13500</v>
      </c>
      <c r="L106" s="12">
        <v>1640</v>
      </c>
      <c r="M106" s="12">
        <v>2132</v>
      </c>
      <c r="N106" s="12" t="s">
        <v>73</v>
      </c>
      <c r="O106" s="12">
        <v>0</v>
      </c>
      <c r="P106" s="12">
        <v>108</v>
      </c>
      <c r="Q106" s="12">
        <v>57.24</v>
      </c>
      <c r="R106" s="12">
        <v>27500</v>
      </c>
      <c r="S106" s="12">
        <v>27500</v>
      </c>
      <c r="T106" s="12">
        <v>9000</v>
      </c>
      <c r="U106" s="12">
        <v>13500</v>
      </c>
      <c r="V106" s="12">
        <v>2210</v>
      </c>
      <c r="W106" s="12">
        <v>2873</v>
      </c>
      <c r="X106" s="12" t="s">
        <v>73</v>
      </c>
      <c r="Y106" s="12">
        <v>0</v>
      </c>
      <c r="Z106" s="12">
        <v>106</v>
      </c>
      <c r="AA106" s="12">
        <v>56.18</v>
      </c>
      <c r="AB106" s="12">
        <v>26460</v>
      </c>
      <c r="AC106" s="12">
        <v>26460</v>
      </c>
      <c r="AD106" s="12">
        <v>9450</v>
      </c>
      <c r="AE106" s="12">
        <v>14175</v>
      </c>
      <c r="AF106" s="12">
        <v>3000</v>
      </c>
      <c r="AG106" s="12">
        <v>3900</v>
      </c>
      <c r="AH106" s="12" t="s">
        <v>73</v>
      </c>
      <c r="AI106" s="12">
        <v>0</v>
      </c>
      <c r="AJ106" s="12">
        <v>105</v>
      </c>
      <c r="AK106" s="12">
        <v>55.650000000000006</v>
      </c>
      <c r="AL106" s="12">
        <v>33840</v>
      </c>
      <c r="AM106" s="12">
        <v>33840</v>
      </c>
      <c r="AN106" s="12">
        <v>10850</v>
      </c>
      <c r="AO106" s="12">
        <v>16275</v>
      </c>
      <c r="AP106" s="12">
        <v>1500</v>
      </c>
      <c r="AQ106" s="12">
        <v>1950</v>
      </c>
      <c r="AR106" s="12" t="s">
        <v>73</v>
      </c>
      <c r="AS106" s="12">
        <v>0</v>
      </c>
      <c r="AT106" s="12">
        <v>105</v>
      </c>
      <c r="AU106" s="12">
        <v>55.650000000000006</v>
      </c>
      <c r="AV106" s="12">
        <v>25380</v>
      </c>
      <c r="AW106" s="12">
        <v>25380</v>
      </c>
      <c r="AX106" s="12">
        <v>10616</v>
      </c>
      <c r="AY106" s="12">
        <v>15924</v>
      </c>
      <c r="AZ106" s="12">
        <v>1560</v>
      </c>
      <c r="BA106" s="12">
        <v>2028</v>
      </c>
    </row>
    <row r="107" spans="1:53" x14ac:dyDescent="0.3">
      <c r="A107" s="12" t="s">
        <v>74</v>
      </c>
      <c r="B107" s="16">
        <v>4218509</v>
      </c>
      <c r="C107" s="12" t="s">
        <v>282</v>
      </c>
      <c r="D107" s="12" t="s">
        <v>73</v>
      </c>
      <c r="E107" s="13">
        <v>0</v>
      </c>
      <c r="F107" s="12" t="s">
        <v>73</v>
      </c>
      <c r="G107" s="12">
        <v>0</v>
      </c>
      <c r="H107" s="12">
        <v>14985</v>
      </c>
      <c r="I107" s="12">
        <v>14985</v>
      </c>
      <c r="J107" s="12">
        <v>1344</v>
      </c>
      <c r="K107" s="12">
        <v>2016</v>
      </c>
      <c r="L107" s="12" t="s">
        <v>73</v>
      </c>
      <c r="M107" s="12">
        <v>0</v>
      </c>
      <c r="N107" s="12" t="s">
        <v>73</v>
      </c>
      <c r="O107" s="12">
        <v>0</v>
      </c>
      <c r="P107" s="12" t="s">
        <v>73</v>
      </c>
      <c r="Q107" s="12">
        <v>0</v>
      </c>
      <c r="R107" s="12">
        <v>14060</v>
      </c>
      <c r="S107" s="12">
        <v>14060</v>
      </c>
      <c r="T107" s="12">
        <v>1304</v>
      </c>
      <c r="U107" s="12">
        <v>1956</v>
      </c>
      <c r="V107" s="12">
        <v>183</v>
      </c>
      <c r="W107" s="12">
        <v>237.9</v>
      </c>
      <c r="X107" s="12" t="s">
        <v>73</v>
      </c>
      <c r="Y107" s="12">
        <v>0</v>
      </c>
      <c r="Z107" s="12" t="s">
        <v>73</v>
      </c>
      <c r="AA107" s="12">
        <v>0</v>
      </c>
      <c r="AB107" s="12">
        <v>9000</v>
      </c>
      <c r="AC107" s="12">
        <v>9000</v>
      </c>
      <c r="AD107" s="12">
        <v>2800</v>
      </c>
      <c r="AE107" s="12">
        <v>4200</v>
      </c>
      <c r="AF107" s="12">
        <v>1550</v>
      </c>
      <c r="AG107" s="12">
        <v>2015</v>
      </c>
      <c r="AH107" s="12" t="s">
        <v>73</v>
      </c>
      <c r="AI107" s="12">
        <v>0</v>
      </c>
      <c r="AJ107" s="12" t="s">
        <v>73</v>
      </c>
      <c r="AK107" s="12">
        <v>0</v>
      </c>
      <c r="AL107" s="12">
        <v>15500</v>
      </c>
      <c r="AM107" s="12">
        <v>15500</v>
      </c>
      <c r="AN107" s="12">
        <v>3400</v>
      </c>
      <c r="AO107" s="12">
        <v>5100</v>
      </c>
      <c r="AP107" s="12">
        <v>720</v>
      </c>
      <c r="AQ107" s="12">
        <v>936</v>
      </c>
      <c r="AR107" s="12" t="s">
        <v>73</v>
      </c>
      <c r="AS107" s="12">
        <v>0</v>
      </c>
      <c r="AT107" s="12" t="s">
        <v>73</v>
      </c>
      <c r="AU107" s="12">
        <v>0</v>
      </c>
      <c r="AV107" s="12">
        <v>9200</v>
      </c>
      <c r="AW107" s="12">
        <v>9200</v>
      </c>
      <c r="AX107" s="12">
        <v>3040</v>
      </c>
      <c r="AY107" s="12">
        <v>4560</v>
      </c>
      <c r="AZ107" s="12">
        <v>780</v>
      </c>
      <c r="BA107" s="12">
        <v>1014</v>
      </c>
    </row>
    <row r="108" spans="1:53" x14ac:dyDescent="0.3">
      <c r="A108" s="12" t="s">
        <v>74</v>
      </c>
      <c r="B108" s="16">
        <v>4219176</v>
      </c>
      <c r="C108" s="12" t="s">
        <v>284</v>
      </c>
      <c r="D108" s="12" t="s">
        <v>73</v>
      </c>
      <c r="E108" s="13">
        <v>0</v>
      </c>
      <c r="F108" s="12" t="s">
        <v>73</v>
      </c>
      <c r="G108" s="12">
        <v>0</v>
      </c>
      <c r="H108" s="12">
        <v>10800</v>
      </c>
      <c r="I108" s="12">
        <v>10800</v>
      </c>
      <c r="J108" s="12">
        <v>3600</v>
      </c>
      <c r="K108" s="12">
        <v>5400</v>
      </c>
      <c r="L108" s="12" t="s">
        <v>73</v>
      </c>
      <c r="M108" s="12">
        <v>0</v>
      </c>
      <c r="N108" s="12" t="s">
        <v>73</v>
      </c>
      <c r="O108" s="12">
        <v>0</v>
      </c>
      <c r="P108" s="12" t="s">
        <v>73</v>
      </c>
      <c r="Q108" s="12">
        <v>0</v>
      </c>
      <c r="R108" s="12">
        <v>9192</v>
      </c>
      <c r="S108" s="12">
        <v>9192</v>
      </c>
      <c r="T108" s="12">
        <v>3260</v>
      </c>
      <c r="U108" s="12">
        <v>4890</v>
      </c>
      <c r="V108" s="12" t="s">
        <v>73</v>
      </c>
      <c r="W108" s="12">
        <v>0</v>
      </c>
      <c r="X108" s="12" t="s">
        <v>73</v>
      </c>
      <c r="Y108" s="12">
        <v>0</v>
      </c>
      <c r="Z108" s="12" t="s">
        <v>73</v>
      </c>
      <c r="AA108" s="12">
        <v>0</v>
      </c>
      <c r="AB108" s="12">
        <v>7623</v>
      </c>
      <c r="AC108" s="12">
        <v>7623</v>
      </c>
      <c r="AD108" s="12">
        <v>3660</v>
      </c>
      <c r="AE108" s="12">
        <v>5490</v>
      </c>
      <c r="AF108" s="12" t="s">
        <v>73</v>
      </c>
      <c r="AG108" s="12">
        <v>0</v>
      </c>
      <c r="AH108" s="12" t="s">
        <v>73</v>
      </c>
      <c r="AI108" s="12">
        <v>0</v>
      </c>
      <c r="AJ108" s="12" t="s">
        <v>73</v>
      </c>
      <c r="AK108" s="12">
        <v>0</v>
      </c>
      <c r="AL108" s="12">
        <v>6500</v>
      </c>
      <c r="AM108" s="12">
        <v>6500</v>
      </c>
      <c r="AN108" s="12">
        <v>4200</v>
      </c>
      <c r="AO108" s="12">
        <v>6300</v>
      </c>
      <c r="AP108" s="12">
        <v>468</v>
      </c>
      <c r="AQ108" s="12">
        <v>608.4</v>
      </c>
      <c r="AR108" s="12" t="s">
        <v>73</v>
      </c>
      <c r="AS108" s="12">
        <v>0</v>
      </c>
      <c r="AT108" s="12" t="s">
        <v>73</v>
      </c>
      <c r="AU108" s="12">
        <v>0</v>
      </c>
      <c r="AV108" s="12">
        <v>2930</v>
      </c>
      <c r="AW108" s="12">
        <v>2930</v>
      </c>
      <c r="AX108" s="12">
        <v>4070</v>
      </c>
      <c r="AY108" s="12">
        <v>6105</v>
      </c>
      <c r="AZ108" s="12">
        <v>780</v>
      </c>
      <c r="BA108" s="12">
        <v>1014</v>
      </c>
    </row>
    <row r="109" spans="1:53" x14ac:dyDescent="0.3">
      <c r="A109" s="12" t="s">
        <v>74</v>
      </c>
      <c r="B109" s="16">
        <v>4219309</v>
      </c>
      <c r="C109" s="12" t="s">
        <v>286</v>
      </c>
      <c r="D109" s="12" t="s">
        <v>73</v>
      </c>
      <c r="E109" s="13">
        <v>0</v>
      </c>
      <c r="F109" s="12">
        <v>425</v>
      </c>
      <c r="G109" s="12">
        <v>225.25</v>
      </c>
      <c r="H109" s="12">
        <v>38775</v>
      </c>
      <c r="I109" s="12">
        <v>38775</v>
      </c>
      <c r="J109" s="12">
        <v>7175</v>
      </c>
      <c r="K109" s="12">
        <v>10762.5</v>
      </c>
      <c r="L109" s="12">
        <v>552</v>
      </c>
      <c r="M109" s="12">
        <v>717.6</v>
      </c>
      <c r="N109" s="12" t="s">
        <v>73</v>
      </c>
      <c r="O109" s="12">
        <v>0</v>
      </c>
      <c r="P109" s="12">
        <v>425</v>
      </c>
      <c r="Q109" s="12">
        <v>225.25</v>
      </c>
      <c r="R109" s="12">
        <v>29000</v>
      </c>
      <c r="S109" s="12">
        <v>29000</v>
      </c>
      <c r="T109" s="12">
        <v>7420</v>
      </c>
      <c r="U109" s="12">
        <v>11130</v>
      </c>
      <c r="V109" s="12">
        <v>729</v>
      </c>
      <c r="W109" s="12">
        <v>947.7</v>
      </c>
      <c r="X109" s="12" t="s">
        <v>73</v>
      </c>
      <c r="Y109" s="12">
        <v>0</v>
      </c>
      <c r="Z109" s="12">
        <v>306</v>
      </c>
      <c r="AA109" s="12">
        <v>162.18</v>
      </c>
      <c r="AB109" s="12">
        <v>26460</v>
      </c>
      <c r="AC109" s="12">
        <v>26460</v>
      </c>
      <c r="AD109" s="12">
        <v>5520</v>
      </c>
      <c r="AE109" s="12">
        <v>8280</v>
      </c>
      <c r="AF109" s="12">
        <v>875</v>
      </c>
      <c r="AG109" s="12">
        <v>1137.5</v>
      </c>
      <c r="AH109" s="12" t="s">
        <v>73</v>
      </c>
      <c r="AI109" s="12">
        <v>0</v>
      </c>
      <c r="AJ109" s="12">
        <v>401</v>
      </c>
      <c r="AK109" s="12">
        <v>212.53</v>
      </c>
      <c r="AL109" s="12">
        <v>44100</v>
      </c>
      <c r="AM109" s="12">
        <v>44100</v>
      </c>
      <c r="AN109" s="12">
        <v>9200</v>
      </c>
      <c r="AO109" s="12">
        <v>13800</v>
      </c>
      <c r="AP109" s="12">
        <v>630</v>
      </c>
      <c r="AQ109" s="12">
        <v>819</v>
      </c>
      <c r="AR109" s="12" t="s">
        <v>73</v>
      </c>
      <c r="AS109" s="12">
        <v>0</v>
      </c>
      <c r="AT109" s="12">
        <v>315</v>
      </c>
      <c r="AU109" s="12">
        <v>166.95000000000002</v>
      </c>
      <c r="AV109" s="12">
        <v>29400</v>
      </c>
      <c r="AW109" s="12">
        <v>29400</v>
      </c>
      <c r="AX109" s="12">
        <v>8034</v>
      </c>
      <c r="AY109" s="12">
        <v>12051</v>
      </c>
      <c r="AZ109" s="12">
        <v>1000</v>
      </c>
      <c r="BA109" s="12">
        <v>1300</v>
      </c>
    </row>
    <row r="110" spans="1:53" x14ac:dyDescent="0.3">
      <c r="A110" s="12" t="s">
        <v>70</v>
      </c>
      <c r="B110" s="16">
        <v>42005</v>
      </c>
      <c r="C110" s="12" t="s">
        <v>288</v>
      </c>
      <c r="D110" s="12">
        <v>3</v>
      </c>
      <c r="E110" s="13">
        <v>3.5999999999999996</v>
      </c>
      <c r="F110" s="12">
        <v>677</v>
      </c>
      <c r="G110" s="12">
        <v>358.81</v>
      </c>
      <c r="H110" s="12">
        <v>161493</v>
      </c>
      <c r="I110" s="12">
        <v>161493</v>
      </c>
      <c r="J110" s="12">
        <v>22128</v>
      </c>
      <c r="K110" s="12">
        <v>33192</v>
      </c>
      <c r="L110" s="12">
        <v>1440</v>
      </c>
      <c r="M110" s="12">
        <v>1872</v>
      </c>
      <c r="N110" s="12">
        <v>2</v>
      </c>
      <c r="O110" s="12">
        <v>2.4</v>
      </c>
      <c r="P110" s="12">
        <v>536</v>
      </c>
      <c r="Q110" s="12">
        <v>284.08000000000004</v>
      </c>
      <c r="R110" s="12">
        <v>62166</v>
      </c>
      <c r="S110" s="12">
        <v>62166</v>
      </c>
      <c r="T110" s="12">
        <v>21725</v>
      </c>
      <c r="U110" s="12">
        <v>32587.5</v>
      </c>
      <c r="V110" s="12">
        <v>5690</v>
      </c>
      <c r="W110" s="12">
        <v>7397</v>
      </c>
      <c r="X110" s="12">
        <v>3</v>
      </c>
      <c r="Y110" s="12">
        <v>3.5999999999999996</v>
      </c>
      <c r="Z110" s="12">
        <v>632</v>
      </c>
      <c r="AA110" s="12">
        <v>334.96000000000004</v>
      </c>
      <c r="AB110" s="12">
        <v>92620</v>
      </c>
      <c r="AC110" s="12">
        <v>92620</v>
      </c>
      <c r="AD110" s="12">
        <v>21598</v>
      </c>
      <c r="AE110" s="12">
        <v>32397</v>
      </c>
      <c r="AF110" s="12">
        <v>8677</v>
      </c>
      <c r="AG110" s="12">
        <v>11280.1</v>
      </c>
      <c r="AH110" s="12" t="s">
        <v>73</v>
      </c>
      <c r="AI110" s="12">
        <v>0</v>
      </c>
      <c r="AJ110" s="12">
        <v>362</v>
      </c>
      <c r="AK110" s="12">
        <v>191.86</v>
      </c>
      <c r="AL110" s="12">
        <v>95915</v>
      </c>
      <c r="AM110" s="12">
        <v>95915</v>
      </c>
      <c r="AN110" s="12">
        <v>32544</v>
      </c>
      <c r="AO110" s="12">
        <v>48816</v>
      </c>
      <c r="AP110" s="12">
        <v>7795</v>
      </c>
      <c r="AQ110" s="12">
        <v>10133.5</v>
      </c>
      <c r="AR110" s="12" t="s">
        <v>73</v>
      </c>
      <c r="AS110" s="12">
        <v>0</v>
      </c>
      <c r="AT110" s="12">
        <v>382</v>
      </c>
      <c r="AU110" s="12">
        <v>202.46</v>
      </c>
      <c r="AV110" s="12">
        <v>74092</v>
      </c>
      <c r="AW110" s="12">
        <v>74092</v>
      </c>
      <c r="AX110" s="12">
        <v>33780</v>
      </c>
      <c r="AY110" s="12">
        <v>50670</v>
      </c>
      <c r="AZ110" s="12">
        <v>8792</v>
      </c>
      <c r="BA110" s="12">
        <v>11429.6</v>
      </c>
    </row>
    <row r="111" spans="1:53" x14ac:dyDescent="0.3">
      <c r="A111" s="12" t="s">
        <v>74</v>
      </c>
      <c r="B111" s="16">
        <v>4200754</v>
      </c>
      <c r="C111" s="12" t="s">
        <v>290</v>
      </c>
      <c r="D111" s="12" t="s">
        <v>73</v>
      </c>
      <c r="E111" s="13">
        <v>0</v>
      </c>
      <c r="F111" s="12">
        <v>16</v>
      </c>
      <c r="G111" s="12">
        <v>8.48</v>
      </c>
      <c r="H111" s="12">
        <v>4680</v>
      </c>
      <c r="I111" s="12">
        <v>4680</v>
      </c>
      <c r="J111" s="12">
        <v>660</v>
      </c>
      <c r="K111" s="12">
        <v>990</v>
      </c>
      <c r="L111" s="12">
        <v>160</v>
      </c>
      <c r="M111" s="12">
        <v>208</v>
      </c>
      <c r="N111" s="12" t="s">
        <v>73</v>
      </c>
      <c r="O111" s="12">
        <v>0</v>
      </c>
      <c r="P111" s="12">
        <v>9</v>
      </c>
      <c r="Q111" s="12">
        <v>4.7700000000000005</v>
      </c>
      <c r="R111" s="12">
        <v>2000</v>
      </c>
      <c r="S111" s="12">
        <v>2000</v>
      </c>
      <c r="T111" s="12">
        <v>600</v>
      </c>
      <c r="U111" s="12">
        <v>900</v>
      </c>
      <c r="V111" s="12">
        <v>245</v>
      </c>
      <c r="W111" s="12">
        <v>318.5</v>
      </c>
      <c r="X111" s="12" t="s">
        <v>73</v>
      </c>
      <c r="Y111" s="12">
        <v>0</v>
      </c>
      <c r="Z111" s="12">
        <v>15</v>
      </c>
      <c r="AA111" s="12">
        <v>7.95</v>
      </c>
      <c r="AB111" s="12">
        <v>2160</v>
      </c>
      <c r="AC111" s="12">
        <v>2160</v>
      </c>
      <c r="AD111" s="12">
        <v>1406</v>
      </c>
      <c r="AE111" s="12">
        <v>2109</v>
      </c>
      <c r="AF111" s="12">
        <v>850</v>
      </c>
      <c r="AG111" s="12">
        <v>1105</v>
      </c>
      <c r="AH111" s="12" t="s">
        <v>73</v>
      </c>
      <c r="AI111" s="12">
        <v>0</v>
      </c>
      <c r="AJ111" s="12">
        <v>6</v>
      </c>
      <c r="AK111" s="12">
        <v>3.18</v>
      </c>
      <c r="AL111" s="12">
        <v>2160</v>
      </c>
      <c r="AM111" s="12">
        <v>2160</v>
      </c>
      <c r="AN111" s="12">
        <v>1200</v>
      </c>
      <c r="AO111" s="12">
        <v>1800</v>
      </c>
      <c r="AP111" s="12">
        <v>351</v>
      </c>
      <c r="AQ111" s="12">
        <v>456.3</v>
      </c>
      <c r="AR111" s="12" t="s">
        <v>73</v>
      </c>
      <c r="AS111" s="12">
        <v>0</v>
      </c>
      <c r="AT111" s="12">
        <v>6</v>
      </c>
      <c r="AU111" s="12">
        <v>3.18</v>
      </c>
      <c r="AV111" s="12">
        <v>2970</v>
      </c>
      <c r="AW111" s="12">
        <v>2970</v>
      </c>
      <c r="AX111" s="12">
        <v>1476</v>
      </c>
      <c r="AY111" s="12">
        <v>2214</v>
      </c>
      <c r="AZ111" s="12">
        <v>666</v>
      </c>
      <c r="BA111" s="12">
        <v>865.80000000000007</v>
      </c>
    </row>
    <row r="112" spans="1:53" x14ac:dyDescent="0.3">
      <c r="A112" s="12" t="s">
        <v>74</v>
      </c>
      <c r="B112" s="16">
        <v>4201273</v>
      </c>
      <c r="C112" s="12" t="s">
        <v>292</v>
      </c>
      <c r="D112" s="12">
        <v>3</v>
      </c>
      <c r="E112" s="13">
        <v>3.5999999999999996</v>
      </c>
      <c r="F112" s="12">
        <v>30</v>
      </c>
      <c r="G112" s="12">
        <v>15.9</v>
      </c>
      <c r="H112" s="12">
        <v>6498</v>
      </c>
      <c r="I112" s="12">
        <v>6498</v>
      </c>
      <c r="J112" s="12">
        <v>195</v>
      </c>
      <c r="K112" s="12">
        <v>292.5</v>
      </c>
      <c r="L112" s="12" t="s">
        <v>73</v>
      </c>
      <c r="M112" s="12">
        <v>0</v>
      </c>
      <c r="N112" s="12">
        <v>2</v>
      </c>
      <c r="O112" s="12">
        <v>2.4</v>
      </c>
      <c r="P112" s="12">
        <v>13</v>
      </c>
      <c r="Q112" s="12">
        <v>6.8900000000000006</v>
      </c>
      <c r="R112" s="12">
        <v>3150</v>
      </c>
      <c r="S112" s="12">
        <v>3150</v>
      </c>
      <c r="T112" s="12">
        <v>150</v>
      </c>
      <c r="U112" s="12">
        <v>225</v>
      </c>
      <c r="V112" s="12" t="s">
        <v>73</v>
      </c>
      <c r="W112" s="12">
        <v>0</v>
      </c>
      <c r="X112" s="12">
        <v>3</v>
      </c>
      <c r="Y112" s="12">
        <v>3.5999999999999996</v>
      </c>
      <c r="Z112" s="12">
        <v>9</v>
      </c>
      <c r="AA112" s="12">
        <v>4.7700000000000005</v>
      </c>
      <c r="AB112" s="12">
        <v>3150</v>
      </c>
      <c r="AC112" s="12">
        <v>3150</v>
      </c>
      <c r="AD112" s="12">
        <v>135</v>
      </c>
      <c r="AE112" s="12">
        <v>202.5</v>
      </c>
      <c r="AF112" s="12" t="s">
        <v>73</v>
      </c>
      <c r="AG112" s="12">
        <v>0</v>
      </c>
      <c r="AH112" s="12" t="s">
        <v>73</v>
      </c>
      <c r="AI112" s="12">
        <v>0</v>
      </c>
      <c r="AJ112" s="12">
        <v>9</v>
      </c>
      <c r="AK112" s="12">
        <v>4.7700000000000005</v>
      </c>
      <c r="AL112" s="12">
        <v>2100</v>
      </c>
      <c r="AM112" s="12">
        <v>2100</v>
      </c>
      <c r="AN112" s="12">
        <v>70</v>
      </c>
      <c r="AO112" s="12">
        <v>105</v>
      </c>
      <c r="AP112" s="12" t="s">
        <v>73</v>
      </c>
      <c r="AQ112" s="12">
        <v>0</v>
      </c>
      <c r="AR112" s="12" t="s">
        <v>73</v>
      </c>
      <c r="AS112" s="12">
        <v>0</v>
      </c>
      <c r="AT112" s="12">
        <v>7</v>
      </c>
      <c r="AU112" s="12">
        <v>3.71</v>
      </c>
      <c r="AV112" s="12">
        <v>2100</v>
      </c>
      <c r="AW112" s="12">
        <v>2100</v>
      </c>
      <c r="AX112" s="12">
        <v>36</v>
      </c>
      <c r="AY112" s="12">
        <v>54</v>
      </c>
      <c r="AZ112" s="12" t="s">
        <v>73</v>
      </c>
      <c r="BA112" s="12">
        <v>0</v>
      </c>
    </row>
    <row r="113" spans="1:53" x14ac:dyDescent="0.3">
      <c r="A113" s="12" t="s">
        <v>74</v>
      </c>
      <c r="B113" s="16">
        <v>4201653</v>
      </c>
      <c r="C113" s="12" t="s">
        <v>294</v>
      </c>
      <c r="D113" s="12" t="s">
        <v>73</v>
      </c>
      <c r="E113" s="13">
        <v>0</v>
      </c>
      <c r="F113" s="12">
        <v>18</v>
      </c>
      <c r="G113" s="12">
        <v>9.5400000000000009</v>
      </c>
      <c r="H113" s="12">
        <v>2400</v>
      </c>
      <c r="I113" s="12">
        <v>2400</v>
      </c>
      <c r="J113" s="12">
        <v>200</v>
      </c>
      <c r="K113" s="12">
        <v>300</v>
      </c>
      <c r="L113" s="12" t="s">
        <v>73</v>
      </c>
      <c r="M113" s="12">
        <v>0</v>
      </c>
      <c r="N113" s="12" t="s">
        <v>73</v>
      </c>
      <c r="O113" s="12">
        <v>0</v>
      </c>
      <c r="P113" s="12" t="s">
        <v>73</v>
      </c>
      <c r="Q113" s="12">
        <v>0</v>
      </c>
      <c r="R113" s="12">
        <v>1000</v>
      </c>
      <c r="S113" s="12">
        <v>1000</v>
      </c>
      <c r="T113" s="12">
        <v>230</v>
      </c>
      <c r="U113" s="12">
        <v>345</v>
      </c>
      <c r="V113" s="12" t="s">
        <v>73</v>
      </c>
      <c r="W113" s="12">
        <v>0</v>
      </c>
      <c r="X113" s="12" t="s">
        <v>73</v>
      </c>
      <c r="Y113" s="12">
        <v>0</v>
      </c>
      <c r="Z113" s="12">
        <v>20</v>
      </c>
      <c r="AA113" s="12">
        <v>10.600000000000001</v>
      </c>
      <c r="AB113" s="12">
        <v>1200</v>
      </c>
      <c r="AC113" s="12">
        <v>1200</v>
      </c>
      <c r="AD113" s="12">
        <v>150</v>
      </c>
      <c r="AE113" s="12">
        <v>225</v>
      </c>
      <c r="AF113" s="12">
        <v>60</v>
      </c>
      <c r="AG113" s="12">
        <v>78</v>
      </c>
      <c r="AH113" s="12" t="s">
        <v>73</v>
      </c>
      <c r="AI113" s="12">
        <v>0</v>
      </c>
      <c r="AJ113" s="12">
        <v>21</v>
      </c>
      <c r="AK113" s="12">
        <v>11.13</v>
      </c>
      <c r="AL113" s="12">
        <v>3150</v>
      </c>
      <c r="AM113" s="12">
        <v>3150</v>
      </c>
      <c r="AN113" s="12">
        <v>624</v>
      </c>
      <c r="AO113" s="12">
        <v>936</v>
      </c>
      <c r="AP113" s="12">
        <v>135</v>
      </c>
      <c r="AQ113" s="12">
        <v>175.5</v>
      </c>
      <c r="AR113" s="12" t="s">
        <v>73</v>
      </c>
      <c r="AS113" s="12">
        <v>0</v>
      </c>
      <c r="AT113" s="12">
        <v>21</v>
      </c>
      <c r="AU113" s="12">
        <v>11.13</v>
      </c>
      <c r="AV113" s="12">
        <v>972</v>
      </c>
      <c r="AW113" s="12">
        <v>972</v>
      </c>
      <c r="AX113" s="12">
        <v>750</v>
      </c>
      <c r="AY113" s="12">
        <v>1125</v>
      </c>
      <c r="AZ113" s="12">
        <v>60</v>
      </c>
      <c r="BA113" s="12">
        <v>78</v>
      </c>
    </row>
    <row r="114" spans="1:53" x14ac:dyDescent="0.3">
      <c r="A114" s="12" t="s">
        <v>74</v>
      </c>
      <c r="B114" s="16">
        <v>4204301</v>
      </c>
      <c r="C114" s="12" t="s">
        <v>296</v>
      </c>
      <c r="D114" s="12" t="s">
        <v>73</v>
      </c>
      <c r="E114" s="13">
        <v>0</v>
      </c>
      <c r="F114" s="12">
        <v>300</v>
      </c>
      <c r="G114" s="12">
        <v>159</v>
      </c>
      <c r="H114" s="12">
        <v>50400</v>
      </c>
      <c r="I114" s="12">
        <v>50400</v>
      </c>
      <c r="J114" s="12">
        <v>5070</v>
      </c>
      <c r="K114" s="12">
        <v>7605</v>
      </c>
      <c r="L114" s="12">
        <v>960</v>
      </c>
      <c r="M114" s="12">
        <v>1248</v>
      </c>
      <c r="N114" s="12" t="s">
        <v>73</v>
      </c>
      <c r="O114" s="12">
        <v>0</v>
      </c>
      <c r="P114" s="12">
        <v>270</v>
      </c>
      <c r="Q114" s="12">
        <v>143.1</v>
      </c>
      <c r="R114" s="12">
        <v>16616</v>
      </c>
      <c r="S114" s="12">
        <v>16616</v>
      </c>
      <c r="T114" s="12">
        <v>4880</v>
      </c>
      <c r="U114" s="12">
        <v>7320</v>
      </c>
      <c r="V114" s="12">
        <v>1500</v>
      </c>
      <c r="W114" s="12">
        <v>1950</v>
      </c>
      <c r="X114" s="12" t="s">
        <v>73</v>
      </c>
      <c r="Y114" s="12">
        <v>0</v>
      </c>
      <c r="Z114" s="12">
        <v>100</v>
      </c>
      <c r="AA114" s="12">
        <v>53</v>
      </c>
      <c r="AB114" s="12">
        <v>37800</v>
      </c>
      <c r="AC114" s="12">
        <v>37800</v>
      </c>
      <c r="AD114" s="12">
        <v>6000</v>
      </c>
      <c r="AE114" s="12">
        <v>9000</v>
      </c>
      <c r="AF114" s="12">
        <v>2100</v>
      </c>
      <c r="AG114" s="12">
        <v>2730</v>
      </c>
      <c r="AH114" s="12" t="s">
        <v>73</v>
      </c>
      <c r="AI114" s="12">
        <v>0</v>
      </c>
      <c r="AJ114" s="12">
        <v>100</v>
      </c>
      <c r="AK114" s="12">
        <v>53</v>
      </c>
      <c r="AL114" s="12">
        <v>36000</v>
      </c>
      <c r="AM114" s="12">
        <v>36000</v>
      </c>
      <c r="AN114" s="12">
        <v>7590</v>
      </c>
      <c r="AO114" s="12">
        <v>11385</v>
      </c>
      <c r="AP114" s="12">
        <v>2040</v>
      </c>
      <c r="AQ114" s="12">
        <v>2652</v>
      </c>
      <c r="AR114" s="12" t="s">
        <v>73</v>
      </c>
      <c r="AS114" s="12">
        <v>0</v>
      </c>
      <c r="AT114" s="12">
        <v>60</v>
      </c>
      <c r="AU114" s="12">
        <v>31.8</v>
      </c>
      <c r="AV114" s="12">
        <v>30000</v>
      </c>
      <c r="AW114" s="12">
        <v>30000</v>
      </c>
      <c r="AX114" s="12">
        <v>7320</v>
      </c>
      <c r="AY114" s="12">
        <v>10980</v>
      </c>
      <c r="AZ114" s="12">
        <v>2700</v>
      </c>
      <c r="BA114" s="12">
        <v>3510</v>
      </c>
    </row>
    <row r="115" spans="1:53" x14ac:dyDescent="0.3">
      <c r="A115" s="12" t="s">
        <v>74</v>
      </c>
      <c r="B115" s="16">
        <v>4207601</v>
      </c>
      <c r="C115" s="12" t="s">
        <v>298</v>
      </c>
      <c r="D115" s="12" t="s">
        <v>73</v>
      </c>
      <c r="E115" s="13">
        <v>0</v>
      </c>
      <c r="F115" s="12">
        <v>40</v>
      </c>
      <c r="G115" s="12">
        <v>21.200000000000003</v>
      </c>
      <c r="H115" s="12">
        <v>9360</v>
      </c>
      <c r="I115" s="12">
        <v>9360</v>
      </c>
      <c r="J115" s="12">
        <v>600</v>
      </c>
      <c r="K115" s="12">
        <v>900</v>
      </c>
      <c r="L115" s="12">
        <v>320</v>
      </c>
      <c r="M115" s="12">
        <v>416</v>
      </c>
      <c r="N115" s="12" t="s">
        <v>73</v>
      </c>
      <c r="O115" s="12">
        <v>0</v>
      </c>
      <c r="P115" s="12">
        <v>12</v>
      </c>
      <c r="Q115" s="12">
        <v>6.36</v>
      </c>
      <c r="R115" s="12">
        <v>2700</v>
      </c>
      <c r="S115" s="12">
        <v>2700</v>
      </c>
      <c r="T115" s="12">
        <v>520</v>
      </c>
      <c r="U115" s="12">
        <v>780</v>
      </c>
      <c r="V115" s="12">
        <v>360</v>
      </c>
      <c r="W115" s="12">
        <v>468</v>
      </c>
      <c r="X115" s="12" t="s">
        <v>73</v>
      </c>
      <c r="Y115" s="12">
        <v>0</v>
      </c>
      <c r="Z115" s="12">
        <v>35</v>
      </c>
      <c r="AA115" s="12">
        <v>18.55</v>
      </c>
      <c r="AB115" s="12">
        <v>4800</v>
      </c>
      <c r="AC115" s="12">
        <v>4800</v>
      </c>
      <c r="AD115" s="12">
        <v>500</v>
      </c>
      <c r="AE115" s="12">
        <v>750</v>
      </c>
      <c r="AF115" s="12">
        <v>648</v>
      </c>
      <c r="AG115" s="12">
        <v>842.4</v>
      </c>
      <c r="AH115" s="12" t="s">
        <v>73</v>
      </c>
      <c r="AI115" s="12">
        <v>0</v>
      </c>
      <c r="AJ115" s="12">
        <v>20</v>
      </c>
      <c r="AK115" s="12">
        <v>10.600000000000001</v>
      </c>
      <c r="AL115" s="12">
        <v>3825</v>
      </c>
      <c r="AM115" s="12">
        <v>3825</v>
      </c>
      <c r="AN115" s="12">
        <v>980</v>
      </c>
      <c r="AO115" s="12">
        <v>1470</v>
      </c>
      <c r="AP115" s="12">
        <v>270</v>
      </c>
      <c r="AQ115" s="12">
        <v>351</v>
      </c>
      <c r="AR115" s="12" t="s">
        <v>73</v>
      </c>
      <c r="AS115" s="12">
        <v>0</v>
      </c>
      <c r="AT115" s="12">
        <v>15</v>
      </c>
      <c r="AU115" s="12">
        <v>7.95</v>
      </c>
      <c r="AV115" s="12">
        <v>4590</v>
      </c>
      <c r="AW115" s="12">
        <v>4590</v>
      </c>
      <c r="AX115" s="12">
        <v>1224</v>
      </c>
      <c r="AY115" s="12">
        <v>1836</v>
      </c>
      <c r="AZ115" s="12">
        <v>459</v>
      </c>
      <c r="BA115" s="12">
        <v>596.70000000000005</v>
      </c>
    </row>
    <row r="116" spans="1:53" x14ac:dyDescent="0.3">
      <c r="A116" s="12" t="s">
        <v>74</v>
      </c>
      <c r="B116" s="16">
        <v>4207700</v>
      </c>
      <c r="C116" s="12" t="s">
        <v>300</v>
      </c>
      <c r="D116" s="12" t="s">
        <v>73</v>
      </c>
      <c r="E116" s="13">
        <v>0</v>
      </c>
      <c r="F116" s="12">
        <v>30</v>
      </c>
      <c r="G116" s="12">
        <v>15.9</v>
      </c>
      <c r="H116" s="12">
        <v>9000</v>
      </c>
      <c r="I116" s="12">
        <v>9000</v>
      </c>
      <c r="J116" s="12">
        <v>900</v>
      </c>
      <c r="K116" s="12">
        <v>1350</v>
      </c>
      <c r="L116" s="12" t="s">
        <v>73</v>
      </c>
      <c r="M116" s="12">
        <v>0</v>
      </c>
      <c r="N116" s="12" t="s">
        <v>73</v>
      </c>
      <c r="O116" s="12">
        <v>0</v>
      </c>
      <c r="P116" s="12">
        <v>21</v>
      </c>
      <c r="Q116" s="12">
        <v>11.13</v>
      </c>
      <c r="R116" s="12">
        <v>3800</v>
      </c>
      <c r="S116" s="12">
        <v>3800</v>
      </c>
      <c r="T116" s="12">
        <v>1000</v>
      </c>
      <c r="U116" s="12">
        <v>1500</v>
      </c>
      <c r="V116" s="12">
        <v>650</v>
      </c>
      <c r="W116" s="12">
        <v>845</v>
      </c>
      <c r="X116" s="12" t="s">
        <v>73</v>
      </c>
      <c r="Y116" s="12">
        <v>0</v>
      </c>
      <c r="Z116" s="12">
        <v>22</v>
      </c>
      <c r="AA116" s="12">
        <v>11.66</v>
      </c>
      <c r="AB116" s="12">
        <v>4800</v>
      </c>
      <c r="AC116" s="12">
        <v>4800</v>
      </c>
      <c r="AD116" s="12">
        <v>1000</v>
      </c>
      <c r="AE116" s="12">
        <v>1500</v>
      </c>
      <c r="AF116" s="12">
        <v>240</v>
      </c>
      <c r="AG116" s="12">
        <v>312</v>
      </c>
      <c r="AH116" s="12" t="s">
        <v>73</v>
      </c>
      <c r="AI116" s="12">
        <v>0</v>
      </c>
      <c r="AJ116" s="12">
        <v>25</v>
      </c>
      <c r="AK116" s="12">
        <v>13.25</v>
      </c>
      <c r="AL116" s="12">
        <v>5760</v>
      </c>
      <c r="AM116" s="12">
        <v>5760</v>
      </c>
      <c r="AN116" s="12">
        <v>1560</v>
      </c>
      <c r="AO116" s="12">
        <v>2340</v>
      </c>
      <c r="AP116" s="12">
        <v>240</v>
      </c>
      <c r="AQ116" s="12">
        <v>312</v>
      </c>
      <c r="AR116" s="12" t="s">
        <v>73</v>
      </c>
      <c r="AS116" s="12">
        <v>0</v>
      </c>
      <c r="AT116" s="12">
        <v>21</v>
      </c>
      <c r="AU116" s="12">
        <v>11.13</v>
      </c>
      <c r="AV116" s="12">
        <v>3600</v>
      </c>
      <c r="AW116" s="12">
        <v>3600</v>
      </c>
      <c r="AX116" s="12">
        <v>1080</v>
      </c>
      <c r="AY116" s="12">
        <v>1620</v>
      </c>
      <c r="AZ116" s="12">
        <v>360</v>
      </c>
      <c r="BA116" s="12">
        <v>468</v>
      </c>
    </row>
    <row r="117" spans="1:53" x14ac:dyDescent="0.3">
      <c r="A117" s="12" t="s">
        <v>74</v>
      </c>
      <c r="B117" s="16">
        <v>4207809</v>
      </c>
      <c r="C117" s="12" t="s">
        <v>302</v>
      </c>
      <c r="D117" s="12" t="s">
        <v>73</v>
      </c>
      <c r="E117" s="13">
        <v>0</v>
      </c>
      <c r="F117" s="12">
        <v>30</v>
      </c>
      <c r="G117" s="12">
        <v>15.9</v>
      </c>
      <c r="H117" s="12">
        <v>13800</v>
      </c>
      <c r="I117" s="12">
        <v>13800</v>
      </c>
      <c r="J117" s="12">
        <v>9500</v>
      </c>
      <c r="K117" s="12">
        <v>14250</v>
      </c>
      <c r="L117" s="12" t="s">
        <v>73</v>
      </c>
      <c r="M117" s="12">
        <v>0</v>
      </c>
      <c r="N117" s="12" t="s">
        <v>73</v>
      </c>
      <c r="O117" s="12">
        <v>0</v>
      </c>
      <c r="P117" s="12">
        <v>30</v>
      </c>
      <c r="Q117" s="12">
        <v>15.9</v>
      </c>
      <c r="R117" s="12">
        <v>8400</v>
      </c>
      <c r="S117" s="12">
        <v>8400</v>
      </c>
      <c r="T117" s="12">
        <v>9360</v>
      </c>
      <c r="U117" s="12">
        <v>14040</v>
      </c>
      <c r="V117" s="12">
        <v>1050</v>
      </c>
      <c r="W117" s="12">
        <v>1365</v>
      </c>
      <c r="X117" s="12" t="s">
        <v>73</v>
      </c>
      <c r="Y117" s="12">
        <v>0</v>
      </c>
      <c r="Z117" s="12">
        <v>18</v>
      </c>
      <c r="AA117" s="12">
        <v>9.5400000000000009</v>
      </c>
      <c r="AB117" s="12">
        <v>8100</v>
      </c>
      <c r="AC117" s="12">
        <v>8100</v>
      </c>
      <c r="AD117" s="12">
        <v>6720</v>
      </c>
      <c r="AE117" s="12">
        <v>10080</v>
      </c>
      <c r="AF117" s="12">
        <v>1500</v>
      </c>
      <c r="AG117" s="12">
        <v>1950</v>
      </c>
      <c r="AH117" s="12" t="s">
        <v>73</v>
      </c>
      <c r="AI117" s="12">
        <v>0</v>
      </c>
      <c r="AJ117" s="12">
        <v>23</v>
      </c>
      <c r="AK117" s="12">
        <v>12.190000000000001</v>
      </c>
      <c r="AL117" s="12">
        <v>9300</v>
      </c>
      <c r="AM117" s="12">
        <v>9300</v>
      </c>
      <c r="AN117" s="12">
        <v>12000</v>
      </c>
      <c r="AO117" s="12">
        <v>18000</v>
      </c>
      <c r="AP117" s="12">
        <v>1800</v>
      </c>
      <c r="AQ117" s="12">
        <v>2340</v>
      </c>
      <c r="AR117" s="12" t="s">
        <v>73</v>
      </c>
      <c r="AS117" s="12">
        <v>0</v>
      </c>
      <c r="AT117" s="12">
        <v>10</v>
      </c>
      <c r="AU117" s="12">
        <v>5.3000000000000007</v>
      </c>
      <c r="AV117" s="12">
        <v>3840</v>
      </c>
      <c r="AW117" s="12">
        <v>3840</v>
      </c>
      <c r="AX117" s="12">
        <v>13260</v>
      </c>
      <c r="AY117" s="12">
        <v>19890</v>
      </c>
      <c r="AZ117" s="12">
        <v>1518</v>
      </c>
      <c r="BA117" s="12">
        <v>1973.4</v>
      </c>
    </row>
    <row r="118" spans="1:53" x14ac:dyDescent="0.3">
      <c r="A118" s="12" t="s">
        <v>74</v>
      </c>
      <c r="B118" s="16">
        <v>4208005</v>
      </c>
      <c r="C118" s="12" t="s">
        <v>304</v>
      </c>
      <c r="D118" s="12" t="s">
        <v>73</v>
      </c>
      <c r="E118" s="13">
        <v>0</v>
      </c>
      <c r="F118" s="12">
        <v>36</v>
      </c>
      <c r="G118" s="12">
        <v>19.080000000000002</v>
      </c>
      <c r="H118" s="12">
        <v>5850</v>
      </c>
      <c r="I118" s="12">
        <v>5850</v>
      </c>
      <c r="J118" s="12">
        <v>1120</v>
      </c>
      <c r="K118" s="12">
        <v>1680</v>
      </c>
      <c r="L118" s="12" t="s">
        <v>73</v>
      </c>
      <c r="M118" s="12">
        <v>0</v>
      </c>
      <c r="N118" s="12" t="s">
        <v>73</v>
      </c>
      <c r="O118" s="12">
        <v>0</v>
      </c>
      <c r="P118" s="12">
        <v>25</v>
      </c>
      <c r="Q118" s="12">
        <v>13.25</v>
      </c>
      <c r="R118" s="12">
        <v>1900</v>
      </c>
      <c r="S118" s="12">
        <v>1900</v>
      </c>
      <c r="T118" s="12">
        <v>750</v>
      </c>
      <c r="U118" s="12">
        <v>1125</v>
      </c>
      <c r="V118" s="12">
        <v>600</v>
      </c>
      <c r="W118" s="12">
        <v>780</v>
      </c>
      <c r="X118" s="12" t="s">
        <v>73</v>
      </c>
      <c r="Y118" s="12">
        <v>0</v>
      </c>
      <c r="Z118" s="12">
        <v>30</v>
      </c>
      <c r="AA118" s="12">
        <v>15.9</v>
      </c>
      <c r="AB118" s="12">
        <v>4320</v>
      </c>
      <c r="AC118" s="12">
        <v>4320</v>
      </c>
      <c r="AD118" s="12">
        <v>735</v>
      </c>
      <c r="AE118" s="12">
        <v>1102.5</v>
      </c>
      <c r="AF118" s="12">
        <v>700</v>
      </c>
      <c r="AG118" s="12">
        <v>910</v>
      </c>
      <c r="AH118" s="12" t="s">
        <v>73</v>
      </c>
      <c r="AI118" s="12">
        <v>0</v>
      </c>
      <c r="AJ118" s="12">
        <v>10</v>
      </c>
      <c r="AK118" s="12">
        <v>5.3000000000000007</v>
      </c>
      <c r="AL118" s="12">
        <v>1440</v>
      </c>
      <c r="AM118" s="12">
        <v>1440</v>
      </c>
      <c r="AN118" s="12">
        <v>1800</v>
      </c>
      <c r="AO118" s="12">
        <v>2700</v>
      </c>
      <c r="AP118" s="12">
        <v>550</v>
      </c>
      <c r="AQ118" s="12">
        <v>715</v>
      </c>
      <c r="AR118" s="12" t="s">
        <v>73</v>
      </c>
      <c r="AS118" s="12">
        <v>0</v>
      </c>
      <c r="AT118" s="12">
        <v>7</v>
      </c>
      <c r="AU118" s="12">
        <v>3.71</v>
      </c>
      <c r="AV118" s="12">
        <v>1440</v>
      </c>
      <c r="AW118" s="12">
        <v>1440</v>
      </c>
      <c r="AX118" s="12">
        <v>1650</v>
      </c>
      <c r="AY118" s="12">
        <v>2475</v>
      </c>
      <c r="AZ118" s="12">
        <v>528</v>
      </c>
      <c r="BA118" s="12">
        <v>686.4</v>
      </c>
    </row>
    <row r="119" spans="1:53" x14ac:dyDescent="0.3">
      <c r="A119" s="12" t="s">
        <v>74</v>
      </c>
      <c r="B119" s="16">
        <v>4209854</v>
      </c>
      <c r="C119" s="12" t="s">
        <v>306</v>
      </c>
      <c r="D119" s="12" t="s">
        <v>73</v>
      </c>
      <c r="E119" s="13">
        <v>0</v>
      </c>
      <c r="F119" s="12">
        <v>28</v>
      </c>
      <c r="G119" s="12">
        <v>14.84</v>
      </c>
      <c r="H119" s="12">
        <v>7590</v>
      </c>
      <c r="I119" s="12">
        <v>7590</v>
      </c>
      <c r="J119" s="12">
        <v>782</v>
      </c>
      <c r="K119" s="12">
        <v>1173</v>
      </c>
      <c r="L119" s="12" t="s">
        <v>73</v>
      </c>
      <c r="M119" s="12">
        <v>0</v>
      </c>
      <c r="N119" s="12" t="s">
        <v>73</v>
      </c>
      <c r="O119" s="12">
        <v>0</v>
      </c>
      <c r="P119" s="12">
        <v>20</v>
      </c>
      <c r="Q119" s="12">
        <v>10.600000000000001</v>
      </c>
      <c r="R119" s="12">
        <v>2300</v>
      </c>
      <c r="S119" s="12">
        <v>2300</v>
      </c>
      <c r="T119" s="12">
        <v>750</v>
      </c>
      <c r="U119" s="12">
        <v>1125</v>
      </c>
      <c r="V119" s="12">
        <v>45</v>
      </c>
      <c r="W119" s="12">
        <v>58.5</v>
      </c>
      <c r="X119" s="12" t="s">
        <v>73</v>
      </c>
      <c r="Y119" s="12">
        <v>0</v>
      </c>
      <c r="Z119" s="12">
        <v>29</v>
      </c>
      <c r="AA119" s="12">
        <v>15.370000000000001</v>
      </c>
      <c r="AB119" s="12">
        <v>3360</v>
      </c>
      <c r="AC119" s="12">
        <v>3360</v>
      </c>
      <c r="AD119" s="12">
        <v>975</v>
      </c>
      <c r="AE119" s="12">
        <v>1462.5</v>
      </c>
      <c r="AF119" s="12" t="s">
        <v>73</v>
      </c>
      <c r="AG119" s="12">
        <v>0</v>
      </c>
      <c r="AH119" s="12" t="s">
        <v>73</v>
      </c>
      <c r="AI119" s="12">
        <v>0</v>
      </c>
      <c r="AJ119" s="12" t="s">
        <v>73</v>
      </c>
      <c r="AK119" s="12">
        <v>0</v>
      </c>
      <c r="AL119" s="12">
        <v>7500</v>
      </c>
      <c r="AM119" s="12">
        <v>7500</v>
      </c>
      <c r="AN119" s="12">
        <v>1040</v>
      </c>
      <c r="AO119" s="12">
        <v>1560</v>
      </c>
      <c r="AP119" s="12" t="s">
        <v>73</v>
      </c>
      <c r="AQ119" s="12">
        <v>0</v>
      </c>
      <c r="AR119" s="12" t="s">
        <v>73</v>
      </c>
      <c r="AS119" s="12">
        <v>0</v>
      </c>
      <c r="AT119" s="12" t="s">
        <v>73</v>
      </c>
      <c r="AU119" s="12">
        <v>0</v>
      </c>
      <c r="AV119" s="12">
        <v>2100</v>
      </c>
      <c r="AW119" s="12">
        <v>2100</v>
      </c>
      <c r="AX119" s="12">
        <v>750</v>
      </c>
      <c r="AY119" s="12">
        <v>1125</v>
      </c>
      <c r="AZ119" s="12">
        <v>150</v>
      </c>
      <c r="BA119" s="12">
        <v>195</v>
      </c>
    </row>
    <row r="120" spans="1:53" x14ac:dyDescent="0.3">
      <c r="A120" s="12" t="s">
        <v>74</v>
      </c>
      <c r="B120" s="16">
        <v>4211876</v>
      </c>
      <c r="C120" s="12" t="s">
        <v>308</v>
      </c>
      <c r="D120" s="12" t="s">
        <v>73</v>
      </c>
      <c r="E120" s="13">
        <v>0</v>
      </c>
      <c r="F120" s="12">
        <v>20</v>
      </c>
      <c r="G120" s="12">
        <v>10.600000000000001</v>
      </c>
      <c r="H120" s="12">
        <v>3600</v>
      </c>
      <c r="I120" s="12">
        <v>3600</v>
      </c>
      <c r="J120" s="12">
        <v>448</v>
      </c>
      <c r="K120" s="12">
        <v>672</v>
      </c>
      <c r="L120" s="12" t="s">
        <v>73</v>
      </c>
      <c r="M120" s="12">
        <v>0</v>
      </c>
      <c r="N120" s="12" t="s">
        <v>73</v>
      </c>
      <c r="O120" s="12">
        <v>0</v>
      </c>
      <c r="P120" s="12">
        <v>10</v>
      </c>
      <c r="Q120" s="12">
        <v>5.3000000000000007</v>
      </c>
      <c r="R120" s="12">
        <v>2400</v>
      </c>
      <c r="S120" s="12">
        <v>2400</v>
      </c>
      <c r="T120" s="12">
        <v>350</v>
      </c>
      <c r="U120" s="12">
        <v>525</v>
      </c>
      <c r="V120" s="12">
        <v>120</v>
      </c>
      <c r="W120" s="12">
        <v>156</v>
      </c>
      <c r="X120" s="12" t="s">
        <v>73</v>
      </c>
      <c r="Y120" s="12">
        <v>0</v>
      </c>
      <c r="Z120" s="12">
        <v>18</v>
      </c>
      <c r="AA120" s="12">
        <v>9.5400000000000009</v>
      </c>
      <c r="AB120" s="12">
        <v>2170</v>
      </c>
      <c r="AC120" s="12">
        <v>2170</v>
      </c>
      <c r="AD120" s="12">
        <v>200</v>
      </c>
      <c r="AE120" s="12">
        <v>300</v>
      </c>
      <c r="AF120" s="12">
        <v>30</v>
      </c>
      <c r="AG120" s="12">
        <v>39</v>
      </c>
      <c r="AH120" s="12" t="s">
        <v>73</v>
      </c>
      <c r="AI120" s="12">
        <v>0</v>
      </c>
      <c r="AJ120" s="12">
        <v>10</v>
      </c>
      <c r="AK120" s="12">
        <v>5.3000000000000007</v>
      </c>
      <c r="AL120" s="12">
        <v>1800</v>
      </c>
      <c r="AM120" s="12">
        <v>1800</v>
      </c>
      <c r="AN120" s="12">
        <v>360</v>
      </c>
      <c r="AO120" s="12">
        <v>540</v>
      </c>
      <c r="AP120" s="12">
        <v>24</v>
      </c>
      <c r="AQ120" s="12">
        <v>31.200000000000003</v>
      </c>
      <c r="AR120" s="12" t="s">
        <v>73</v>
      </c>
      <c r="AS120" s="12">
        <v>0</v>
      </c>
      <c r="AT120" s="12">
        <v>7</v>
      </c>
      <c r="AU120" s="12">
        <v>3.71</v>
      </c>
      <c r="AV120" s="12">
        <v>960</v>
      </c>
      <c r="AW120" s="12">
        <v>960</v>
      </c>
      <c r="AX120" s="12">
        <v>630</v>
      </c>
      <c r="AY120" s="12">
        <v>945</v>
      </c>
      <c r="AZ120" s="12">
        <v>200</v>
      </c>
      <c r="BA120" s="12">
        <v>260</v>
      </c>
    </row>
    <row r="121" spans="1:53" x14ac:dyDescent="0.3">
      <c r="A121" s="12" t="s">
        <v>74</v>
      </c>
      <c r="B121" s="16">
        <v>4212601</v>
      </c>
      <c r="C121" s="12" t="s">
        <v>310</v>
      </c>
      <c r="D121" s="12" t="s">
        <v>73</v>
      </c>
      <c r="E121" s="13">
        <v>0</v>
      </c>
      <c r="F121" s="12">
        <v>11</v>
      </c>
      <c r="G121" s="12">
        <v>5.83</v>
      </c>
      <c r="H121" s="12">
        <v>9525</v>
      </c>
      <c r="I121" s="12">
        <v>9525</v>
      </c>
      <c r="J121" s="12">
        <v>360</v>
      </c>
      <c r="K121" s="12">
        <v>540</v>
      </c>
      <c r="L121" s="12" t="s">
        <v>73</v>
      </c>
      <c r="M121" s="12">
        <v>0</v>
      </c>
      <c r="N121" s="12" t="s">
        <v>73</v>
      </c>
      <c r="O121" s="12">
        <v>0</v>
      </c>
      <c r="P121" s="12">
        <v>5</v>
      </c>
      <c r="Q121" s="12">
        <v>2.6500000000000004</v>
      </c>
      <c r="R121" s="12">
        <v>2700</v>
      </c>
      <c r="S121" s="12">
        <v>2700</v>
      </c>
      <c r="T121" s="12">
        <v>300</v>
      </c>
      <c r="U121" s="12">
        <v>450</v>
      </c>
      <c r="V121" s="12">
        <v>240</v>
      </c>
      <c r="W121" s="12">
        <v>312</v>
      </c>
      <c r="X121" s="12" t="s">
        <v>73</v>
      </c>
      <c r="Y121" s="12">
        <v>0</v>
      </c>
      <c r="Z121" s="12">
        <v>12</v>
      </c>
      <c r="AA121" s="12">
        <v>6.36</v>
      </c>
      <c r="AB121" s="12">
        <v>4320</v>
      </c>
      <c r="AC121" s="12">
        <v>4320</v>
      </c>
      <c r="AD121" s="12">
        <v>660</v>
      </c>
      <c r="AE121" s="12">
        <v>990</v>
      </c>
      <c r="AF121" s="12">
        <v>450</v>
      </c>
      <c r="AG121" s="12">
        <v>585</v>
      </c>
      <c r="AH121" s="12" t="s">
        <v>73</v>
      </c>
      <c r="AI121" s="12">
        <v>0</v>
      </c>
      <c r="AJ121" s="12">
        <v>12</v>
      </c>
      <c r="AK121" s="12">
        <v>6.36</v>
      </c>
      <c r="AL121" s="12">
        <v>2400</v>
      </c>
      <c r="AM121" s="12">
        <v>2400</v>
      </c>
      <c r="AN121" s="12">
        <v>550</v>
      </c>
      <c r="AO121" s="12">
        <v>825</v>
      </c>
      <c r="AP121" s="12">
        <v>75</v>
      </c>
      <c r="AQ121" s="12">
        <v>97.5</v>
      </c>
      <c r="AR121" s="12" t="s">
        <v>73</v>
      </c>
      <c r="AS121" s="12">
        <v>0</v>
      </c>
      <c r="AT121" s="12" t="s">
        <v>73</v>
      </c>
      <c r="AU121" s="12">
        <v>0</v>
      </c>
      <c r="AV121" s="12">
        <v>3300</v>
      </c>
      <c r="AW121" s="12">
        <v>3300</v>
      </c>
      <c r="AX121" s="12">
        <v>264</v>
      </c>
      <c r="AY121" s="12">
        <v>396</v>
      </c>
      <c r="AZ121" s="12">
        <v>216</v>
      </c>
      <c r="BA121" s="12">
        <v>280.8</v>
      </c>
    </row>
    <row r="122" spans="1:53" x14ac:dyDescent="0.3">
      <c r="A122" s="12" t="s">
        <v>74</v>
      </c>
      <c r="B122" s="16">
        <v>4213104</v>
      </c>
      <c r="C122" s="12" t="s">
        <v>312</v>
      </c>
      <c r="D122" s="12" t="s">
        <v>73</v>
      </c>
      <c r="E122" s="13">
        <v>0</v>
      </c>
      <c r="F122" s="12">
        <v>23</v>
      </c>
      <c r="G122" s="12">
        <v>12.190000000000001</v>
      </c>
      <c r="H122" s="12">
        <v>3150</v>
      </c>
      <c r="I122" s="12">
        <v>3150</v>
      </c>
      <c r="J122" s="12">
        <v>1197</v>
      </c>
      <c r="K122" s="12">
        <v>1795.5</v>
      </c>
      <c r="L122" s="12" t="s">
        <v>73</v>
      </c>
      <c r="M122" s="12">
        <v>0</v>
      </c>
      <c r="N122" s="12" t="s">
        <v>73</v>
      </c>
      <c r="O122" s="12">
        <v>0</v>
      </c>
      <c r="P122" s="12">
        <v>20</v>
      </c>
      <c r="Q122" s="12">
        <v>10.600000000000001</v>
      </c>
      <c r="R122" s="12">
        <v>2100</v>
      </c>
      <c r="S122" s="12">
        <v>2100</v>
      </c>
      <c r="T122" s="12">
        <v>1700</v>
      </c>
      <c r="U122" s="12">
        <v>2550</v>
      </c>
      <c r="V122" s="12">
        <v>640</v>
      </c>
      <c r="W122" s="12">
        <v>832</v>
      </c>
      <c r="X122" s="12" t="s">
        <v>73</v>
      </c>
      <c r="Y122" s="12">
        <v>0</v>
      </c>
      <c r="Z122" s="12">
        <v>200</v>
      </c>
      <c r="AA122" s="12">
        <v>106</v>
      </c>
      <c r="AB122" s="12">
        <v>1800</v>
      </c>
      <c r="AC122" s="12">
        <v>1800</v>
      </c>
      <c r="AD122" s="12">
        <v>1890</v>
      </c>
      <c r="AE122" s="12">
        <v>2835</v>
      </c>
      <c r="AF122" s="12">
        <v>1650</v>
      </c>
      <c r="AG122" s="12">
        <v>2145</v>
      </c>
      <c r="AH122" s="12" t="s">
        <v>73</v>
      </c>
      <c r="AI122" s="12">
        <v>0</v>
      </c>
      <c r="AJ122" s="12">
        <v>24</v>
      </c>
      <c r="AK122" s="12">
        <v>12.72</v>
      </c>
      <c r="AL122" s="12">
        <v>1890</v>
      </c>
      <c r="AM122" s="12">
        <v>1890</v>
      </c>
      <c r="AN122" s="12">
        <v>2640</v>
      </c>
      <c r="AO122" s="12">
        <v>3960</v>
      </c>
      <c r="AP122" s="12">
        <v>1500</v>
      </c>
      <c r="AQ122" s="12">
        <v>1950</v>
      </c>
      <c r="AR122" s="12" t="s">
        <v>73</v>
      </c>
      <c r="AS122" s="12">
        <v>0</v>
      </c>
      <c r="AT122" s="12">
        <v>138</v>
      </c>
      <c r="AU122" s="12">
        <v>73.14</v>
      </c>
      <c r="AV122" s="12">
        <v>2400</v>
      </c>
      <c r="AW122" s="12">
        <v>2400</v>
      </c>
      <c r="AX122" s="12">
        <v>2640</v>
      </c>
      <c r="AY122" s="12">
        <v>3960</v>
      </c>
      <c r="AZ122" s="12">
        <v>1152</v>
      </c>
      <c r="BA122" s="12">
        <v>1497.6000000000001</v>
      </c>
    </row>
    <row r="123" spans="1:53" x14ac:dyDescent="0.3">
      <c r="A123" s="12" t="s">
        <v>74</v>
      </c>
      <c r="B123" s="16">
        <v>4213906</v>
      </c>
      <c r="C123" s="12" t="s">
        <v>314</v>
      </c>
      <c r="D123" s="12" t="s">
        <v>73</v>
      </c>
      <c r="E123" s="13">
        <v>0</v>
      </c>
      <c r="F123" s="12">
        <v>5</v>
      </c>
      <c r="G123" s="12">
        <v>2.6500000000000004</v>
      </c>
      <c r="H123" s="12">
        <v>4200</v>
      </c>
      <c r="I123" s="12">
        <v>4200</v>
      </c>
      <c r="J123" s="12">
        <v>90</v>
      </c>
      <c r="K123" s="12">
        <v>135</v>
      </c>
      <c r="L123" s="12" t="s">
        <v>73</v>
      </c>
      <c r="M123" s="12">
        <v>0</v>
      </c>
      <c r="N123" s="12" t="s">
        <v>73</v>
      </c>
      <c r="O123" s="12">
        <v>0</v>
      </c>
      <c r="P123" s="12">
        <v>5</v>
      </c>
      <c r="Q123" s="12">
        <v>2.6500000000000004</v>
      </c>
      <c r="R123" s="12">
        <v>2400</v>
      </c>
      <c r="S123" s="12">
        <v>2400</v>
      </c>
      <c r="T123" s="12">
        <v>90</v>
      </c>
      <c r="U123" s="12">
        <v>135</v>
      </c>
      <c r="V123" s="12" t="s">
        <v>73</v>
      </c>
      <c r="W123" s="12">
        <v>0</v>
      </c>
      <c r="X123" s="12" t="s">
        <v>73</v>
      </c>
      <c r="Y123" s="12">
        <v>0</v>
      </c>
      <c r="Z123" s="12">
        <v>5</v>
      </c>
      <c r="AA123" s="12">
        <v>2.6500000000000004</v>
      </c>
      <c r="AB123" s="12">
        <v>4320</v>
      </c>
      <c r="AC123" s="12">
        <v>4320</v>
      </c>
      <c r="AD123" s="12">
        <v>105</v>
      </c>
      <c r="AE123" s="12">
        <v>157.5</v>
      </c>
      <c r="AF123" s="12">
        <v>124</v>
      </c>
      <c r="AG123" s="12">
        <v>161.20000000000002</v>
      </c>
      <c r="AH123" s="12" t="s">
        <v>73</v>
      </c>
      <c r="AI123" s="12">
        <v>0</v>
      </c>
      <c r="AJ123" s="12">
        <v>5</v>
      </c>
      <c r="AK123" s="12">
        <v>2.6500000000000004</v>
      </c>
      <c r="AL123" s="12">
        <v>2300</v>
      </c>
      <c r="AM123" s="12">
        <v>2300</v>
      </c>
      <c r="AN123" s="12">
        <v>90</v>
      </c>
      <c r="AO123" s="12">
        <v>135</v>
      </c>
      <c r="AP123" s="12">
        <v>120</v>
      </c>
      <c r="AQ123" s="12">
        <v>156</v>
      </c>
      <c r="AR123" s="12" t="s">
        <v>73</v>
      </c>
      <c r="AS123" s="12">
        <v>0</v>
      </c>
      <c r="AT123" s="12">
        <v>4</v>
      </c>
      <c r="AU123" s="12">
        <v>2.12</v>
      </c>
      <c r="AV123" s="12">
        <v>2800</v>
      </c>
      <c r="AW123" s="12">
        <v>2800</v>
      </c>
      <c r="AX123" s="12">
        <v>75</v>
      </c>
      <c r="AY123" s="12">
        <v>112.5</v>
      </c>
      <c r="AZ123" s="12">
        <v>45</v>
      </c>
      <c r="BA123" s="12">
        <v>58.5</v>
      </c>
    </row>
    <row r="124" spans="1:53" x14ac:dyDescent="0.3">
      <c r="A124" s="12" t="s">
        <v>74</v>
      </c>
      <c r="B124" s="16">
        <v>4217501</v>
      </c>
      <c r="C124" s="12" t="s">
        <v>316</v>
      </c>
      <c r="D124" s="12" t="s">
        <v>73</v>
      </c>
      <c r="E124" s="13">
        <v>0</v>
      </c>
      <c r="F124" s="12">
        <v>70</v>
      </c>
      <c r="G124" s="12">
        <v>37.1</v>
      </c>
      <c r="H124" s="12">
        <v>24960</v>
      </c>
      <c r="I124" s="12">
        <v>24960</v>
      </c>
      <c r="J124" s="12">
        <v>690</v>
      </c>
      <c r="K124" s="12">
        <v>1035</v>
      </c>
      <c r="L124" s="12" t="s">
        <v>73</v>
      </c>
      <c r="M124" s="12">
        <v>0</v>
      </c>
      <c r="N124" s="12" t="s">
        <v>73</v>
      </c>
      <c r="O124" s="12">
        <v>0</v>
      </c>
      <c r="P124" s="12">
        <v>75</v>
      </c>
      <c r="Q124" s="12">
        <v>39.75</v>
      </c>
      <c r="R124" s="12">
        <v>8000</v>
      </c>
      <c r="S124" s="12">
        <v>8000</v>
      </c>
      <c r="T124" s="12">
        <v>720</v>
      </c>
      <c r="U124" s="12">
        <v>1080</v>
      </c>
      <c r="V124" s="12" t="s">
        <v>73</v>
      </c>
      <c r="W124" s="12">
        <v>0</v>
      </c>
      <c r="X124" s="12" t="s">
        <v>73</v>
      </c>
      <c r="Y124" s="12">
        <v>0</v>
      </c>
      <c r="Z124" s="12">
        <v>60</v>
      </c>
      <c r="AA124" s="12">
        <v>31.8</v>
      </c>
      <c r="AB124" s="12">
        <v>7200</v>
      </c>
      <c r="AC124" s="12">
        <v>7200</v>
      </c>
      <c r="AD124" s="12">
        <v>450</v>
      </c>
      <c r="AE124" s="12">
        <v>675</v>
      </c>
      <c r="AF124" s="12">
        <v>325</v>
      </c>
      <c r="AG124" s="12">
        <v>422.5</v>
      </c>
      <c r="AH124" s="12" t="s">
        <v>73</v>
      </c>
      <c r="AI124" s="12">
        <v>0</v>
      </c>
      <c r="AJ124" s="12">
        <v>75</v>
      </c>
      <c r="AK124" s="12">
        <v>39.75</v>
      </c>
      <c r="AL124" s="12">
        <v>14400</v>
      </c>
      <c r="AM124" s="12">
        <v>14400</v>
      </c>
      <c r="AN124" s="12">
        <v>1080</v>
      </c>
      <c r="AO124" s="12">
        <v>1620</v>
      </c>
      <c r="AP124" s="12">
        <v>360</v>
      </c>
      <c r="AQ124" s="12">
        <v>468</v>
      </c>
      <c r="AR124" s="12" t="s">
        <v>73</v>
      </c>
      <c r="AS124" s="12">
        <v>0</v>
      </c>
      <c r="AT124" s="12">
        <v>60</v>
      </c>
      <c r="AU124" s="12">
        <v>31.8</v>
      </c>
      <c r="AV124" s="12">
        <v>9600</v>
      </c>
      <c r="AW124" s="12">
        <v>9600</v>
      </c>
      <c r="AX124" s="12">
        <v>1650</v>
      </c>
      <c r="AY124" s="12">
        <v>2475</v>
      </c>
      <c r="AZ124" s="12">
        <v>450</v>
      </c>
      <c r="BA124" s="12">
        <v>585</v>
      </c>
    </row>
    <row r="125" spans="1:53" x14ac:dyDescent="0.3">
      <c r="A125" s="12" t="s">
        <v>74</v>
      </c>
      <c r="B125" s="16">
        <v>4219606</v>
      </c>
      <c r="C125" s="12" t="s">
        <v>318</v>
      </c>
      <c r="D125" s="12" t="s">
        <v>73</v>
      </c>
      <c r="E125" s="13">
        <v>0</v>
      </c>
      <c r="F125" s="12">
        <v>20</v>
      </c>
      <c r="G125" s="12">
        <v>10.600000000000001</v>
      </c>
      <c r="H125" s="12">
        <v>6480</v>
      </c>
      <c r="I125" s="12">
        <v>6480</v>
      </c>
      <c r="J125" s="12">
        <v>316</v>
      </c>
      <c r="K125" s="12">
        <v>474</v>
      </c>
      <c r="L125" s="12" t="s">
        <v>73</v>
      </c>
      <c r="M125" s="12">
        <v>0</v>
      </c>
      <c r="N125" s="12" t="s">
        <v>73</v>
      </c>
      <c r="O125" s="12">
        <v>0</v>
      </c>
      <c r="P125" s="12">
        <v>21</v>
      </c>
      <c r="Q125" s="12">
        <v>11.13</v>
      </c>
      <c r="R125" s="12">
        <v>2700</v>
      </c>
      <c r="S125" s="12">
        <v>2700</v>
      </c>
      <c r="T125" s="12">
        <v>325</v>
      </c>
      <c r="U125" s="12">
        <v>487.5</v>
      </c>
      <c r="V125" s="12">
        <v>240</v>
      </c>
      <c r="W125" s="12">
        <v>312</v>
      </c>
      <c r="X125" s="12" t="s">
        <v>73</v>
      </c>
      <c r="Y125" s="12">
        <v>0</v>
      </c>
      <c r="Z125" s="12">
        <v>59</v>
      </c>
      <c r="AA125" s="12">
        <v>31.270000000000003</v>
      </c>
      <c r="AB125" s="12">
        <v>3120</v>
      </c>
      <c r="AC125" s="12">
        <v>3120</v>
      </c>
      <c r="AD125" s="12">
        <v>672</v>
      </c>
      <c r="AE125" s="12">
        <v>1008</v>
      </c>
      <c r="AF125" s="12" t="s">
        <v>73</v>
      </c>
      <c r="AG125" s="12">
        <v>0</v>
      </c>
      <c r="AH125" s="12" t="s">
        <v>73</v>
      </c>
      <c r="AI125" s="12">
        <v>0</v>
      </c>
      <c r="AJ125" s="12">
        <v>22</v>
      </c>
      <c r="AK125" s="12">
        <v>11.66</v>
      </c>
      <c r="AL125" s="12">
        <v>1890</v>
      </c>
      <c r="AM125" s="12">
        <v>1890</v>
      </c>
      <c r="AN125" s="12">
        <v>960</v>
      </c>
      <c r="AO125" s="12">
        <v>1440</v>
      </c>
      <c r="AP125" s="12">
        <v>330</v>
      </c>
      <c r="AQ125" s="12">
        <v>429</v>
      </c>
      <c r="AR125" s="12" t="s">
        <v>73</v>
      </c>
      <c r="AS125" s="12">
        <v>0</v>
      </c>
      <c r="AT125" s="12">
        <v>26</v>
      </c>
      <c r="AU125" s="12">
        <v>13.780000000000001</v>
      </c>
      <c r="AV125" s="12">
        <v>3420</v>
      </c>
      <c r="AW125" s="12">
        <v>3420</v>
      </c>
      <c r="AX125" s="12">
        <v>975</v>
      </c>
      <c r="AY125" s="12">
        <v>1462.5</v>
      </c>
      <c r="AZ125" s="12">
        <v>288</v>
      </c>
      <c r="BA125" s="12">
        <v>374.40000000000003</v>
      </c>
    </row>
    <row r="126" spans="1:53" x14ac:dyDescent="0.3">
      <c r="A126" s="12" t="s">
        <v>67</v>
      </c>
      <c r="B126" s="16">
        <v>4202</v>
      </c>
      <c r="C126" s="12" t="s">
        <v>320</v>
      </c>
      <c r="D126" s="12">
        <v>139503</v>
      </c>
      <c r="E126" s="13">
        <v>167403.6</v>
      </c>
      <c r="F126" s="12">
        <v>16398</v>
      </c>
      <c r="G126" s="12">
        <v>8690.94</v>
      </c>
      <c r="H126" s="12">
        <v>286999</v>
      </c>
      <c r="I126" s="12">
        <v>286999</v>
      </c>
      <c r="J126" s="12">
        <v>540076</v>
      </c>
      <c r="K126" s="12">
        <v>810114</v>
      </c>
      <c r="L126" s="12">
        <v>47356</v>
      </c>
      <c r="M126" s="12">
        <v>61562.8</v>
      </c>
      <c r="N126" s="12">
        <v>135884</v>
      </c>
      <c r="O126" s="12">
        <v>163060.79999999999</v>
      </c>
      <c r="P126" s="12">
        <v>17994</v>
      </c>
      <c r="Q126" s="12">
        <v>9536.82</v>
      </c>
      <c r="R126" s="12">
        <v>288094</v>
      </c>
      <c r="S126" s="12">
        <v>288094</v>
      </c>
      <c r="T126" s="12">
        <v>527220</v>
      </c>
      <c r="U126" s="12">
        <v>790830</v>
      </c>
      <c r="V126" s="12">
        <v>78543</v>
      </c>
      <c r="W126" s="12">
        <v>102105.90000000001</v>
      </c>
      <c r="X126" s="12">
        <v>141996</v>
      </c>
      <c r="Y126" s="12">
        <v>170395.19999999998</v>
      </c>
      <c r="Z126" s="12">
        <v>19109</v>
      </c>
      <c r="AA126" s="12">
        <v>10127.77</v>
      </c>
      <c r="AB126" s="12">
        <v>277489</v>
      </c>
      <c r="AC126" s="12">
        <v>277489</v>
      </c>
      <c r="AD126" s="12">
        <v>549020</v>
      </c>
      <c r="AE126" s="12">
        <v>823530</v>
      </c>
      <c r="AF126" s="12">
        <v>70073</v>
      </c>
      <c r="AG126" s="12">
        <v>91094.900000000009</v>
      </c>
      <c r="AH126" s="12">
        <v>143875</v>
      </c>
      <c r="AI126" s="12">
        <v>172650</v>
      </c>
      <c r="AJ126" s="12">
        <v>19868</v>
      </c>
      <c r="AK126" s="12">
        <v>10530.04</v>
      </c>
      <c r="AL126" s="12">
        <v>342223</v>
      </c>
      <c r="AM126" s="12">
        <v>342223</v>
      </c>
      <c r="AN126" s="12">
        <v>650906</v>
      </c>
      <c r="AO126" s="12">
        <v>976359</v>
      </c>
      <c r="AP126" s="12">
        <v>33097</v>
      </c>
      <c r="AQ126" s="12">
        <v>43026.1</v>
      </c>
      <c r="AR126" s="12">
        <v>146939</v>
      </c>
      <c r="AS126" s="12">
        <v>176326.8</v>
      </c>
      <c r="AT126" s="12">
        <v>16010</v>
      </c>
      <c r="AU126" s="12">
        <v>8485.3000000000011</v>
      </c>
      <c r="AV126" s="12">
        <v>262936</v>
      </c>
      <c r="AW126" s="12">
        <v>262936</v>
      </c>
      <c r="AX126" s="12">
        <v>597440</v>
      </c>
      <c r="AY126" s="12">
        <v>896160</v>
      </c>
      <c r="AZ126" s="12">
        <v>61270</v>
      </c>
      <c r="BA126" s="12">
        <v>79651</v>
      </c>
    </row>
    <row r="127" spans="1:53" x14ac:dyDescent="0.3">
      <c r="A127" s="12" t="s">
        <v>70</v>
      </c>
      <c r="B127" s="16">
        <v>42006</v>
      </c>
      <c r="C127" s="12" t="s">
        <v>322</v>
      </c>
      <c r="D127" s="12">
        <v>480</v>
      </c>
      <c r="E127" s="13">
        <v>576</v>
      </c>
      <c r="F127" s="12">
        <v>15226</v>
      </c>
      <c r="G127" s="12">
        <v>8069.7800000000007</v>
      </c>
      <c r="H127" s="12">
        <v>257670</v>
      </c>
      <c r="I127" s="12">
        <v>257670</v>
      </c>
      <c r="J127" s="12">
        <v>490876</v>
      </c>
      <c r="K127" s="12">
        <v>736314</v>
      </c>
      <c r="L127" s="12">
        <v>46780</v>
      </c>
      <c r="M127" s="12">
        <v>60814</v>
      </c>
      <c r="N127" s="12">
        <v>480</v>
      </c>
      <c r="O127" s="12">
        <v>576</v>
      </c>
      <c r="P127" s="12">
        <v>16826</v>
      </c>
      <c r="Q127" s="12">
        <v>8917.7800000000007</v>
      </c>
      <c r="R127" s="12">
        <v>259300</v>
      </c>
      <c r="S127" s="12">
        <v>259300</v>
      </c>
      <c r="T127" s="12">
        <v>478020</v>
      </c>
      <c r="U127" s="12">
        <v>717030</v>
      </c>
      <c r="V127" s="12">
        <v>77930</v>
      </c>
      <c r="W127" s="12">
        <v>101309</v>
      </c>
      <c r="X127" s="12">
        <v>440</v>
      </c>
      <c r="Y127" s="12">
        <v>528</v>
      </c>
      <c r="Z127" s="12">
        <v>17803</v>
      </c>
      <c r="AA127" s="12">
        <v>9435.59</v>
      </c>
      <c r="AB127" s="12">
        <v>247080</v>
      </c>
      <c r="AC127" s="12">
        <v>247080</v>
      </c>
      <c r="AD127" s="12">
        <v>507500</v>
      </c>
      <c r="AE127" s="12">
        <v>761250</v>
      </c>
      <c r="AF127" s="12">
        <v>66363</v>
      </c>
      <c r="AG127" s="12">
        <v>86271.900000000009</v>
      </c>
      <c r="AH127" s="12">
        <v>480</v>
      </c>
      <c r="AI127" s="12">
        <v>576</v>
      </c>
      <c r="AJ127" s="12">
        <v>18328</v>
      </c>
      <c r="AK127" s="12">
        <v>9713.84</v>
      </c>
      <c r="AL127" s="12">
        <v>312110</v>
      </c>
      <c r="AM127" s="12">
        <v>312110</v>
      </c>
      <c r="AN127" s="12">
        <v>602952</v>
      </c>
      <c r="AO127" s="12">
        <v>904428</v>
      </c>
      <c r="AP127" s="12">
        <v>30287</v>
      </c>
      <c r="AQ127" s="12">
        <v>39373.1</v>
      </c>
      <c r="AR127" s="12">
        <v>390</v>
      </c>
      <c r="AS127" s="12">
        <v>468</v>
      </c>
      <c r="AT127" s="12">
        <v>14485</v>
      </c>
      <c r="AU127" s="12">
        <v>7677.05</v>
      </c>
      <c r="AV127" s="12">
        <v>239310</v>
      </c>
      <c r="AW127" s="12">
        <v>239310</v>
      </c>
      <c r="AX127" s="12">
        <v>555968</v>
      </c>
      <c r="AY127" s="12">
        <v>833952</v>
      </c>
      <c r="AZ127" s="12">
        <v>59555</v>
      </c>
      <c r="BA127" s="12">
        <v>77421.5</v>
      </c>
    </row>
    <row r="128" spans="1:53" x14ac:dyDescent="0.3">
      <c r="A128" s="12" t="s">
        <v>74</v>
      </c>
      <c r="B128" s="16">
        <v>4202131</v>
      </c>
      <c r="C128" s="12" t="s">
        <v>324</v>
      </c>
      <c r="D128" s="12" t="s">
        <v>73</v>
      </c>
      <c r="E128" s="13">
        <v>0</v>
      </c>
      <c r="F128" s="12">
        <v>477</v>
      </c>
      <c r="G128" s="12">
        <v>252.81</v>
      </c>
      <c r="H128" s="12">
        <v>13200</v>
      </c>
      <c r="I128" s="12">
        <v>13200</v>
      </c>
      <c r="J128" s="12">
        <v>21960</v>
      </c>
      <c r="K128" s="12">
        <v>32940</v>
      </c>
      <c r="L128" s="12">
        <v>1320</v>
      </c>
      <c r="M128" s="12">
        <v>1716</v>
      </c>
      <c r="N128" s="12" t="s">
        <v>73</v>
      </c>
      <c r="O128" s="12">
        <v>0</v>
      </c>
      <c r="P128" s="12">
        <v>480</v>
      </c>
      <c r="Q128" s="12">
        <v>254.4</v>
      </c>
      <c r="R128" s="12">
        <v>11520</v>
      </c>
      <c r="S128" s="12">
        <v>11520</v>
      </c>
      <c r="T128" s="12">
        <v>21810</v>
      </c>
      <c r="U128" s="12">
        <v>32715</v>
      </c>
      <c r="V128" s="12">
        <v>2040</v>
      </c>
      <c r="W128" s="12">
        <v>2652</v>
      </c>
      <c r="X128" s="12" t="s">
        <v>73</v>
      </c>
      <c r="Y128" s="12">
        <v>0</v>
      </c>
      <c r="Z128" s="12">
        <v>870</v>
      </c>
      <c r="AA128" s="12">
        <v>461.1</v>
      </c>
      <c r="AB128" s="12">
        <v>10800</v>
      </c>
      <c r="AC128" s="12">
        <v>10800</v>
      </c>
      <c r="AD128" s="12">
        <v>21220</v>
      </c>
      <c r="AE128" s="12">
        <v>31830</v>
      </c>
      <c r="AF128" s="12">
        <v>1900</v>
      </c>
      <c r="AG128" s="12">
        <v>2470</v>
      </c>
      <c r="AH128" s="12" t="s">
        <v>73</v>
      </c>
      <c r="AI128" s="12">
        <v>0</v>
      </c>
      <c r="AJ128" s="12">
        <v>890</v>
      </c>
      <c r="AK128" s="12">
        <v>471.70000000000005</v>
      </c>
      <c r="AL128" s="12">
        <v>12480</v>
      </c>
      <c r="AM128" s="12">
        <v>12480</v>
      </c>
      <c r="AN128" s="12">
        <v>23600</v>
      </c>
      <c r="AO128" s="12">
        <v>35400</v>
      </c>
      <c r="AP128" s="12">
        <v>600</v>
      </c>
      <c r="AQ128" s="12">
        <v>780</v>
      </c>
      <c r="AR128" s="12" t="s">
        <v>73</v>
      </c>
      <c r="AS128" s="12">
        <v>0</v>
      </c>
      <c r="AT128" s="12">
        <v>685</v>
      </c>
      <c r="AU128" s="12">
        <v>363.05</v>
      </c>
      <c r="AV128" s="12">
        <v>8500</v>
      </c>
      <c r="AW128" s="12">
        <v>8500</v>
      </c>
      <c r="AX128" s="12">
        <v>21780</v>
      </c>
      <c r="AY128" s="12">
        <v>32670</v>
      </c>
      <c r="AZ128" s="12">
        <v>1190</v>
      </c>
      <c r="BA128" s="12">
        <v>1547</v>
      </c>
    </row>
    <row r="129" spans="1:53" x14ac:dyDescent="0.3">
      <c r="A129" s="12" t="s">
        <v>74</v>
      </c>
      <c r="B129" s="16">
        <v>4203808</v>
      </c>
      <c r="C129" s="12" t="s">
        <v>326</v>
      </c>
      <c r="D129" s="12" t="s">
        <v>73</v>
      </c>
      <c r="E129" s="13">
        <v>0</v>
      </c>
      <c r="F129" s="12">
        <v>3120</v>
      </c>
      <c r="G129" s="12">
        <v>1653.6000000000001</v>
      </c>
      <c r="H129" s="12">
        <v>36800</v>
      </c>
      <c r="I129" s="12">
        <v>36800</v>
      </c>
      <c r="J129" s="12">
        <v>85100</v>
      </c>
      <c r="K129" s="12">
        <v>127650</v>
      </c>
      <c r="L129" s="12">
        <v>9800</v>
      </c>
      <c r="M129" s="12">
        <v>12740</v>
      </c>
      <c r="N129" s="12" t="s">
        <v>73</v>
      </c>
      <c r="O129" s="12">
        <v>0</v>
      </c>
      <c r="P129" s="12">
        <v>3264</v>
      </c>
      <c r="Q129" s="12">
        <v>1729.92</v>
      </c>
      <c r="R129" s="12">
        <v>39360</v>
      </c>
      <c r="S129" s="12">
        <v>39360</v>
      </c>
      <c r="T129" s="12">
        <v>84300</v>
      </c>
      <c r="U129" s="12">
        <v>126450</v>
      </c>
      <c r="V129" s="12">
        <v>17500</v>
      </c>
      <c r="W129" s="12">
        <v>22750</v>
      </c>
      <c r="X129" s="12" t="s">
        <v>73</v>
      </c>
      <c r="Y129" s="12">
        <v>0</v>
      </c>
      <c r="Z129" s="12">
        <v>3280</v>
      </c>
      <c r="AA129" s="12">
        <v>1738.4</v>
      </c>
      <c r="AB129" s="12">
        <v>40320</v>
      </c>
      <c r="AC129" s="12">
        <v>40320</v>
      </c>
      <c r="AD129" s="12">
        <v>85720</v>
      </c>
      <c r="AE129" s="12">
        <v>128580</v>
      </c>
      <c r="AF129" s="12">
        <v>13200</v>
      </c>
      <c r="AG129" s="12">
        <v>17160</v>
      </c>
      <c r="AH129" s="12" t="s">
        <v>73</v>
      </c>
      <c r="AI129" s="12">
        <v>0</v>
      </c>
      <c r="AJ129" s="12">
        <v>3540</v>
      </c>
      <c r="AK129" s="12">
        <v>1876.2</v>
      </c>
      <c r="AL129" s="12">
        <v>51480</v>
      </c>
      <c r="AM129" s="12">
        <v>51480</v>
      </c>
      <c r="AN129" s="12">
        <v>106900</v>
      </c>
      <c r="AO129" s="12">
        <v>160350</v>
      </c>
      <c r="AP129" s="12">
        <v>7750</v>
      </c>
      <c r="AQ129" s="12">
        <v>10075</v>
      </c>
      <c r="AR129" s="12" t="s">
        <v>73</v>
      </c>
      <c r="AS129" s="12">
        <v>0</v>
      </c>
      <c r="AT129" s="12">
        <v>2460</v>
      </c>
      <c r="AU129" s="12">
        <v>1303.8</v>
      </c>
      <c r="AV129" s="12">
        <v>39360</v>
      </c>
      <c r="AW129" s="12">
        <v>39360</v>
      </c>
      <c r="AX129" s="12">
        <v>108400</v>
      </c>
      <c r="AY129" s="12">
        <v>162600</v>
      </c>
      <c r="AZ129" s="12">
        <v>15750</v>
      </c>
      <c r="BA129" s="12">
        <v>20475</v>
      </c>
    </row>
    <row r="130" spans="1:53" x14ac:dyDescent="0.3">
      <c r="A130" s="12" t="s">
        <v>74</v>
      </c>
      <c r="B130" s="16">
        <v>4207908</v>
      </c>
      <c r="C130" s="12" t="s">
        <v>328</v>
      </c>
      <c r="D130" s="12" t="s">
        <v>73</v>
      </c>
      <c r="E130" s="13">
        <v>0</v>
      </c>
      <c r="F130" s="12">
        <v>1448</v>
      </c>
      <c r="G130" s="12">
        <v>767.44</v>
      </c>
      <c r="H130" s="12">
        <v>18400</v>
      </c>
      <c r="I130" s="12">
        <v>18400</v>
      </c>
      <c r="J130" s="12">
        <v>42780</v>
      </c>
      <c r="K130" s="12">
        <v>64170</v>
      </c>
      <c r="L130" s="12">
        <v>5760</v>
      </c>
      <c r="M130" s="12">
        <v>7488</v>
      </c>
      <c r="N130" s="12" t="s">
        <v>73</v>
      </c>
      <c r="O130" s="12">
        <v>0</v>
      </c>
      <c r="P130" s="12">
        <v>1620</v>
      </c>
      <c r="Q130" s="12">
        <v>858.6</v>
      </c>
      <c r="R130" s="12">
        <v>18860</v>
      </c>
      <c r="S130" s="12">
        <v>18860</v>
      </c>
      <c r="T130" s="12">
        <v>41700</v>
      </c>
      <c r="U130" s="12">
        <v>62550</v>
      </c>
      <c r="V130" s="12">
        <v>8700</v>
      </c>
      <c r="W130" s="12">
        <v>11310</v>
      </c>
      <c r="X130" s="12" t="s">
        <v>73</v>
      </c>
      <c r="Y130" s="12">
        <v>0</v>
      </c>
      <c r="Z130" s="12">
        <v>1350</v>
      </c>
      <c r="AA130" s="12">
        <v>715.5</v>
      </c>
      <c r="AB130" s="12">
        <v>22080</v>
      </c>
      <c r="AC130" s="12">
        <v>22080</v>
      </c>
      <c r="AD130" s="12">
        <v>46340</v>
      </c>
      <c r="AE130" s="12">
        <v>69510</v>
      </c>
      <c r="AF130" s="12">
        <v>8350</v>
      </c>
      <c r="AG130" s="12">
        <v>10855</v>
      </c>
      <c r="AH130" s="12" t="s">
        <v>73</v>
      </c>
      <c r="AI130" s="12">
        <v>0</v>
      </c>
      <c r="AJ130" s="12">
        <v>1485</v>
      </c>
      <c r="AK130" s="12">
        <v>787.05000000000007</v>
      </c>
      <c r="AL130" s="12">
        <v>30000</v>
      </c>
      <c r="AM130" s="12">
        <v>30000</v>
      </c>
      <c r="AN130" s="12">
        <v>53830</v>
      </c>
      <c r="AO130" s="12">
        <v>80745</v>
      </c>
      <c r="AP130" s="12">
        <v>2862</v>
      </c>
      <c r="AQ130" s="12">
        <v>3720.6</v>
      </c>
      <c r="AR130" s="12" t="s">
        <v>73</v>
      </c>
      <c r="AS130" s="12">
        <v>0</v>
      </c>
      <c r="AT130" s="12">
        <v>1440</v>
      </c>
      <c r="AU130" s="12">
        <v>763.2</v>
      </c>
      <c r="AV130" s="12">
        <v>24650</v>
      </c>
      <c r="AW130" s="12">
        <v>24650</v>
      </c>
      <c r="AX130" s="12">
        <v>53740</v>
      </c>
      <c r="AY130" s="12">
        <v>80610</v>
      </c>
      <c r="AZ130" s="12">
        <v>6480</v>
      </c>
      <c r="BA130" s="12">
        <v>8424</v>
      </c>
    </row>
    <row r="131" spans="1:53" x14ac:dyDescent="0.3">
      <c r="A131" s="12" t="s">
        <v>74</v>
      </c>
      <c r="B131" s="16">
        <v>4208104</v>
      </c>
      <c r="C131" s="12" t="s">
        <v>330</v>
      </c>
      <c r="D131" s="12" t="s">
        <v>73</v>
      </c>
      <c r="E131" s="13">
        <v>0</v>
      </c>
      <c r="F131" s="12">
        <v>1890</v>
      </c>
      <c r="G131" s="12">
        <v>1001.7</v>
      </c>
      <c r="H131" s="12">
        <v>55180</v>
      </c>
      <c r="I131" s="12">
        <v>55180</v>
      </c>
      <c r="J131" s="12">
        <v>64800</v>
      </c>
      <c r="K131" s="12">
        <v>97200</v>
      </c>
      <c r="L131" s="12">
        <v>4080</v>
      </c>
      <c r="M131" s="12">
        <v>5304</v>
      </c>
      <c r="N131" s="12" t="s">
        <v>73</v>
      </c>
      <c r="O131" s="12">
        <v>0</v>
      </c>
      <c r="P131" s="12">
        <v>2320</v>
      </c>
      <c r="Q131" s="12">
        <v>1229.6000000000001</v>
      </c>
      <c r="R131" s="12">
        <v>53600</v>
      </c>
      <c r="S131" s="12">
        <v>53600</v>
      </c>
      <c r="T131" s="12">
        <v>62850</v>
      </c>
      <c r="U131" s="12">
        <v>94275</v>
      </c>
      <c r="V131" s="12">
        <v>9520</v>
      </c>
      <c r="W131" s="12">
        <v>12376</v>
      </c>
      <c r="X131" s="12" t="s">
        <v>73</v>
      </c>
      <c r="Y131" s="12">
        <v>0</v>
      </c>
      <c r="Z131" s="12">
        <v>1850</v>
      </c>
      <c r="AA131" s="12">
        <v>980.5</v>
      </c>
      <c r="AB131" s="12">
        <v>42900</v>
      </c>
      <c r="AC131" s="12">
        <v>42900</v>
      </c>
      <c r="AD131" s="12">
        <v>68080</v>
      </c>
      <c r="AE131" s="12">
        <v>102120</v>
      </c>
      <c r="AF131" s="12">
        <v>5611</v>
      </c>
      <c r="AG131" s="12">
        <v>7294.3</v>
      </c>
      <c r="AH131" s="12" t="s">
        <v>73</v>
      </c>
      <c r="AI131" s="12">
        <v>0</v>
      </c>
      <c r="AJ131" s="12">
        <v>1800</v>
      </c>
      <c r="AK131" s="12">
        <v>954</v>
      </c>
      <c r="AL131" s="12">
        <v>57000</v>
      </c>
      <c r="AM131" s="12">
        <v>57000</v>
      </c>
      <c r="AN131" s="12">
        <v>78000</v>
      </c>
      <c r="AO131" s="12">
        <v>117000</v>
      </c>
      <c r="AP131" s="12">
        <v>3150</v>
      </c>
      <c r="AQ131" s="12">
        <v>4095</v>
      </c>
      <c r="AR131" s="12" t="s">
        <v>73</v>
      </c>
      <c r="AS131" s="12">
        <v>0</v>
      </c>
      <c r="AT131" s="12">
        <v>960</v>
      </c>
      <c r="AU131" s="12">
        <v>508.8</v>
      </c>
      <c r="AV131" s="12">
        <v>45900</v>
      </c>
      <c r="AW131" s="12">
        <v>45900</v>
      </c>
      <c r="AX131" s="12">
        <v>70580</v>
      </c>
      <c r="AY131" s="12">
        <v>105870</v>
      </c>
      <c r="AZ131" s="12">
        <v>5610</v>
      </c>
      <c r="BA131" s="12">
        <v>7293</v>
      </c>
    </row>
    <row r="132" spans="1:53" x14ac:dyDescent="0.3">
      <c r="A132" s="12" t="s">
        <v>74</v>
      </c>
      <c r="B132" s="16">
        <v>4210100</v>
      </c>
      <c r="C132" s="12" t="s">
        <v>332</v>
      </c>
      <c r="D132" s="12" t="s">
        <v>73</v>
      </c>
      <c r="E132" s="13">
        <v>0</v>
      </c>
      <c r="F132" s="12">
        <v>3846</v>
      </c>
      <c r="G132" s="12">
        <v>2038.38</v>
      </c>
      <c r="H132" s="12">
        <v>50600</v>
      </c>
      <c r="I132" s="12">
        <v>50600</v>
      </c>
      <c r="J132" s="12">
        <v>98820</v>
      </c>
      <c r="K132" s="12">
        <v>148230</v>
      </c>
      <c r="L132" s="12">
        <v>12250</v>
      </c>
      <c r="M132" s="12">
        <v>15925</v>
      </c>
      <c r="N132" s="12" t="s">
        <v>73</v>
      </c>
      <c r="O132" s="12">
        <v>0</v>
      </c>
      <c r="P132" s="12">
        <v>4920</v>
      </c>
      <c r="Q132" s="12">
        <v>2607.6</v>
      </c>
      <c r="R132" s="12">
        <v>51000</v>
      </c>
      <c r="S132" s="12">
        <v>51000</v>
      </c>
      <c r="T132" s="12">
        <v>96000</v>
      </c>
      <c r="U132" s="12">
        <v>144000</v>
      </c>
      <c r="V132" s="12">
        <v>19250</v>
      </c>
      <c r="W132" s="12">
        <v>25025</v>
      </c>
      <c r="X132" s="12" t="s">
        <v>73</v>
      </c>
      <c r="Y132" s="12">
        <v>0</v>
      </c>
      <c r="Z132" s="12">
        <v>4650</v>
      </c>
      <c r="AA132" s="12">
        <v>2464.5</v>
      </c>
      <c r="AB132" s="12">
        <v>47520</v>
      </c>
      <c r="AC132" s="12">
        <v>47520</v>
      </c>
      <c r="AD132" s="12">
        <v>102360</v>
      </c>
      <c r="AE132" s="12">
        <v>153540</v>
      </c>
      <c r="AF132" s="12">
        <v>16800</v>
      </c>
      <c r="AG132" s="12">
        <v>21840</v>
      </c>
      <c r="AH132" s="12" t="s">
        <v>73</v>
      </c>
      <c r="AI132" s="12">
        <v>0</v>
      </c>
      <c r="AJ132" s="12">
        <v>5080</v>
      </c>
      <c r="AK132" s="12">
        <v>2692.4</v>
      </c>
      <c r="AL132" s="12">
        <v>62370</v>
      </c>
      <c r="AM132" s="12">
        <v>62370</v>
      </c>
      <c r="AN132" s="12">
        <v>126000</v>
      </c>
      <c r="AO132" s="12">
        <v>189000</v>
      </c>
      <c r="AP132" s="12">
        <v>9625</v>
      </c>
      <c r="AQ132" s="12">
        <v>12512.5</v>
      </c>
      <c r="AR132" s="12" t="s">
        <v>73</v>
      </c>
      <c r="AS132" s="12">
        <v>0</v>
      </c>
      <c r="AT132" s="12">
        <v>4260</v>
      </c>
      <c r="AU132" s="12">
        <v>2257.8000000000002</v>
      </c>
      <c r="AV132" s="12">
        <v>46480</v>
      </c>
      <c r="AW132" s="12">
        <v>46480</v>
      </c>
      <c r="AX132" s="12">
        <v>107760</v>
      </c>
      <c r="AY132" s="12">
        <v>161640</v>
      </c>
      <c r="AZ132" s="12">
        <v>16800</v>
      </c>
      <c r="BA132" s="12">
        <v>21840</v>
      </c>
    </row>
    <row r="133" spans="1:53" x14ac:dyDescent="0.3">
      <c r="A133" s="12" t="s">
        <v>74</v>
      </c>
      <c r="B133" s="16">
        <v>4210308</v>
      </c>
      <c r="C133" s="12" t="s">
        <v>334</v>
      </c>
      <c r="D133" s="12" t="s">
        <v>73</v>
      </c>
      <c r="E133" s="13">
        <v>0</v>
      </c>
      <c r="F133" s="12">
        <v>869</v>
      </c>
      <c r="G133" s="12">
        <v>460.57000000000005</v>
      </c>
      <c r="H133" s="12">
        <v>9900</v>
      </c>
      <c r="I133" s="12">
        <v>9900</v>
      </c>
      <c r="J133" s="12">
        <v>41360</v>
      </c>
      <c r="K133" s="12">
        <v>62040</v>
      </c>
      <c r="L133" s="12">
        <v>4320</v>
      </c>
      <c r="M133" s="12">
        <v>5616</v>
      </c>
      <c r="N133" s="12" t="s">
        <v>73</v>
      </c>
      <c r="O133" s="12">
        <v>0</v>
      </c>
      <c r="P133" s="12">
        <v>780</v>
      </c>
      <c r="Q133" s="12">
        <v>413.40000000000003</v>
      </c>
      <c r="R133" s="12">
        <v>9020</v>
      </c>
      <c r="S133" s="12">
        <v>9020</v>
      </c>
      <c r="T133" s="12">
        <v>38490</v>
      </c>
      <c r="U133" s="12">
        <v>57735</v>
      </c>
      <c r="V133" s="12">
        <v>5760</v>
      </c>
      <c r="W133" s="12">
        <v>7488</v>
      </c>
      <c r="X133" s="12" t="s">
        <v>73</v>
      </c>
      <c r="Y133" s="12">
        <v>0</v>
      </c>
      <c r="Z133" s="12">
        <v>2340</v>
      </c>
      <c r="AA133" s="12">
        <v>1240.2</v>
      </c>
      <c r="AB133" s="12">
        <v>9900</v>
      </c>
      <c r="AC133" s="12">
        <v>9900</v>
      </c>
      <c r="AD133" s="12">
        <v>42200</v>
      </c>
      <c r="AE133" s="12">
        <v>63300</v>
      </c>
      <c r="AF133" s="12">
        <v>5664</v>
      </c>
      <c r="AG133" s="12">
        <v>7363.2</v>
      </c>
      <c r="AH133" s="12" t="s">
        <v>73</v>
      </c>
      <c r="AI133" s="12">
        <v>0</v>
      </c>
      <c r="AJ133" s="12">
        <v>1870</v>
      </c>
      <c r="AK133" s="12">
        <v>991.1</v>
      </c>
      <c r="AL133" s="12">
        <v>11880</v>
      </c>
      <c r="AM133" s="12">
        <v>11880</v>
      </c>
      <c r="AN133" s="12">
        <v>54420</v>
      </c>
      <c r="AO133" s="12">
        <v>81630</v>
      </c>
      <c r="AP133" s="12">
        <v>1950</v>
      </c>
      <c r="AQ133" s="12">
        <v>2535</v>
      </c>
      <c r="AR133" s="12" t="s">
        <v>73</v>
      </c>
      <c r="AS133" s="12">
        <v>0</v>
      </c>
      <c r="AT133" s="12">
        <v>1280</v>
      </c>
      <c r="AU133" s="12">
        <v>678.40000000000009</v>
      </c>
      <c r="AV133" s="12">
        <v>8900</v>
      </c>
      <c r="AW133" s="12">
        <v>8900</v>
      </c>
      <c r="AX133" s="12">
        <v>48960</v>
      </c>
      <c r="AY133" s="12">
        <v>73440</v>
      </c>
      <c r="AZ133" s="12">
        <v>4200</v>
      </c>
      <c r="BA133" s="12">
        <v>5460</v>
      </c>
    </row>
    <row r="134" spans="1:53" x14ac:dyDescent="0.3">
      <c r="A134" s="12" t="s">
        <v>74</v>
      </c>
      <c r="B134" s="16">
        <v>4211108</v>
      </c>
      <c r="C134" s="12" t="s">
        <v>336</v>
      </c>
      <c r="D134" s="12">
        <v>120</v>
      </c>
      <c r="E134" s="13">
        <v>144</v>
      </c>
      <c r="F134" s="12">
        <v>210</v>
      </c>
      <c r="G134" s="12">
        <v>111.30000000000001</v>
      </c>
      <c r="H134" s="12">
        <v>4250</v>
      </c>
      <c r="I134" s="12">
        <v>4250</v>
      </c>
      <c r="J134" s="12">
        <v>16656</v>
      </c>
      <c r="K134" s="12">
        <v>24984</v>
      </c>
      <c r="L134" s="12">
        <v>660</v>
      </c>
      <c r="M134" s="12">
        <v>858</v>
      </c>
      <c r="N134" s="12">
        <v>120</v>
      </c>
      <c r="O134" s="12">
        <v>144</v>
      </c>
      <c r="P134" s="12">
        <v>405</v>
      </c>
      <c r="Q134" s="12">
        <v>214.65</v>
      </c>
      <c r="R134" s="12">
        <v>3800</v>
      </c>
      <c r="S134" s="12">
        <v>3800</v>
      </c>
      <c r="T134" s="12">
        <v>16270</v>
      </c>
      <c r="U134" s="12">
        <v>24405</v>
      </c>
      <c r="V134" s="12">
        <v>2040</v>
      </c>
      <c r="W134" s="12">
        <v>2652</v>
      </c>
      <c r="X134" s="12">
        <v>110</v>
      </c>
      <c r="Y134" s="12">
        <v>132</v>
      </c>
      <c r="Z134" s="12">
        <v>624</v>
      </c>
      <c r="AA134" s="12">
        <v>330.72</v>
      </c>
      <c r="AB134" s="12">
        <v>3300</v>
      </c>
      <c r="AC134" s="12">
        <v>3300</v>
      </c>
      <c r="AD134" s="12">
        <v>17780</v>
      </c>
      <c r="AE134" s="12">
        <v>26670</v>
      </c>
      <c r="AF134" s="12">
        <v>978</v>
      </c>
      <c r="AG134" s="12">
        <v>1271.4000000000001</v>
      </c>
      <c r="AH134" s="12">
        <v>120</v>
      </c>
      <c r="AI134" s="12">
        <v>144</v>
      </c>
      <c r="AJ134" s="12">
        <v>810</v>
      </c>
      <c r="AK134" s="12">
        <v>429.3</v>
      </c>
      <c r="AL134" s="12">
        <v>4500</v>
      </c>
      <c r="AM134" s="12">
        <v>4500</v>
      </c>
      <c r="AN134" s="12">
        <v>20000</v>
      </c>
      <c r="AO134" s="12">
        <v>30000</v>
      </c>
      <c r="AP134" s="12">
        <v>490</v>
      </c>
      <c r="AQ134" s="12">
        <v>637</v>
      </c>
      <c r="AR134" s="12">
        <v>65</v>
      </c>
      <c r="AS134" s="12">
        <v>78</v>
      </c>
      <c r="AT134" s="12">
        <v>760</v>
      </c>
      <c r="AU134" s="12">
        <v>402.8</v>
      </c>
      <c r="AV134" s="12">
        <v>4200</v>
      </c>
      <c r="AW134" s="12">
        <v>4200</v>
      </c>
      <c r="AX134" s="12">
        <v>19980</v>
      </c>
      <c r="AY134" s="12">
        <v>29970</v>
      </c>
      <c r="AZ134" s="12">
        <v>1020</v>
      </c>
      <c r="BA134" s="12">
        <v>1326</v>
      </c>
    </row>
    <row r="135" spans="1:53" x14ac:dyDescent="0.3">
      <c r="A135" s="12" t="s">
        <v>74</v>
      </c>
      <c r="B135" s="16">
        <v>4212205</v>
      </c>
      <c r="C135" s="12" t="s">
        <v>338</v>
      </c>
      <c r="D135" s="12">
        <v>360</v>
      </c>
      <c r="E135" s="13">
        <v>432</v>
      </c>
      <c r="F135" s="12">
        <v>1580</v>
      </c>
      <c r="G135" s="12">
        <v>837.40000000000009</v>
      </c>
      <c r="H135" s="12">
        <v>29370</v>
      </c>
      <c r="I135" s="12">
        <v>29370</v>
      </c>
      <c r="J135" s="12">
        <v>55800</v>
      </c>
      <c r="K135" s="12">
        <v>83700</v>
      </c>
      <c r="L135" s="12">
        <v>4550</v>
      </c>
      <c r="M135" s="12">
        <v>5915</v>
      </c>
      <c r="N135" s="12">
        <v>360</v>
      </c>
      <c r="O135" s="12">
        <v>432</v>
      </c>
      <c r="P135" s="12">
        <v>1560</v>
      </c>
      <c r="Q135" s="12">
        <v>826.80000000000007</v>
      </c>
      <c r="R135" s="12">
        <v>31160</v>
      </c>
      <c r="S135" s="12">
        <v>31160</v>
      </c>
      <c r="T135" s="12">
        <v>54140</v>
      </c>
      <c r="U135" s="12">
        <v>81210</v>
      </c>
      <c r="V135" s="12">
        <v>7000</v>
      </c>
      <c r="W135" s="12">
        <v>9100</v>
      </c>
      <c r="X135" s="12">
        <v>330</v>
      </c>
      <c r="Y135" s="12">
        <v>396</v>
      </c>
      <c r="Z135" s="12">
        <v>1430</v>
      </c>
      <c r="AA135" s="12">
        <v>757.90000000000009</v>
      </c>
      <c r="AB135" s="12">
        <v>28380</v>
      </c>
      <c r="AC135" s="12">
        <v>28380</v>
      </c>
      <c r="AD135" s="12">
        <v>54850</v>
      </c>
      <c r="AE135" s="12">
        <v>82275</v>
      </c>
      <c r="AF135" s="12">
        <v>6300</v>
      </c>
      <c r="AG135" s="12">
        <v>8190</v>
      </c>
      <c r="AH135" s="12">
        <v>360</v>
      </c>
      <c r="AI135" s="12">
        <v>432</v>
      </c>
      <c r="AJ135" s="12">
        <v>1470</v>
      </c>
      <c r="AK135" s="12">
        <v>779.1</v>
      </c>
      <c r="AL135" s="12">
        <v>38400</v>
      </c>
      <c r="AM135" s="12">
        <v>38400</v>
      </c>
      <c r="AN135" s="12">
        <v>60660</v>
      </c>
      <c r="AO135" s="12">
        <v>90990</v>
      </c>
      <c r="AP135" s="12">
        <v>2340</v>
      </c>
      <c r="AQ135" s="12">
        <v>3042</v>
      </c>
      <c r="AR135" s="12">
        <v>325</v>
      </c>
      <c r="AS135" s="12">
        <v>390</v>
      </c>
      <c r="AT135" s="12">
        <v>1440</v>
      </c>
      <c r="AU135" s="12">
        <v>763.2</v>
      </c>
      <c r="AV135" s="12">
        <v>27360</v>
      </c>
      <c r="AW135" s="12">
        <v>27360</v>
      </c>
      <c r="AX135" s="12">
        <v>46860</v>
      </c>
      <c r="AY135" s="12">
        <v>70290</v>
      </c>
      <c r="AZ135" s="12">
        <v>5400</v>
      </c>
      <c r="BA135" s="12">
        <v>7020</v>
      </c>
    </row>
    <row r="136" spans="1:53" x14ac:dyDescent="0.3">
      <c r="A136" s="12" t="s">
        <v>74</v>
      </c>
      <c r="B136" s="16">
        <v>4213609</v>
      </c>
      <c r="C136" s="12" t="s">
        <v>340</v>
      </c>
      <c r="D136" s="12" t="s">
        <v>73</v>
      </c>
      <c r="E136" s="13">
        <v>0</v>
      </c>
      <c r="F136" s="12">
        <v>674</v>
      </c>
      <c r="G136" s="12">
        <v>357.22</v>
      </c>
      <c r="H136" s="12">
        <v>11570</v>
      </c>
      <c r="I136" s="12">
        <v>11570</v>
      </c>
      <c r="J136" s="12">
        <v>26600</v>
      </c>
      <c r="K136" s="12">
        <v>39900</v>
      </c>
      <c r="L136" s="12">
        <v>1080</v>
      </c>
      <c r="M136" s="12">
        <v>1404</v>
      </c>
      <c r="N136" s="12" t="s">
        <v>73</v>
      </c>
      <c r="O136" s="12">
        <v>0</v>
      </c>
      <c r="P136" s="12">
        <v>580</v>
      </c>
      <c r="Q136" s="12">
        <v>307.40000000000003</v>
      </c>
      <c r="R136" s="12">
        <v>13280</v>
      </c>
      <c r="S136" s="12">
        <v>13280</v>
      </c>
      <c r="T136" s="12">
        <v>23980</v>
      </c>
      <c r="U136" s="12">
        <v>35970</v>
      </c>
      <c r="V136" s="12">
        <v>1800</v>
      </c>
      <c r="W136" s="12">
        <v>2340</v>
      </c>
      <c r="X136" s="12" t="s">
        <v>73</v>
      </c>
      <c r="Y136" s="12">
        <v>0</v>
      </c>
      <c r="Z136" s="12">
        <v>490</v>
      </c>
      <c r="AA136" s="12">
        <v>259.7</v>
      </c>
      <c r="AB136" s="12">
        <v>11520</v>
      </c>
      <c r="AC136" s="12">
        <v>11520</v>
      </c>
      <c r="AD136" s="12">
        <v>25950</v>
      </c>
      <c r="AE136" s="12">
        <v>38925</v>
      </c>
      <c r="AF136" s="12">
        <v>852</v>
      </c>
      <c r="AG136" s="12">
        <v>1107.6000000000001</v>
      </c>
      <c r="AH136" s="12" t="s">
        <v>73</v>
      </c>
      <c r="AI136" s="12">
        <v>0</v>
      </c>
      <c r="AJ136" s="12">
        <v>490</v>
      </c>
      <c r="AK136" s="12">
        <v>259.7</v>
      </c>
      <c r="AL136" s="12">
        <v>13000</v>
      </c>
      <c r="AM136" s="12">
        <v>13000</v>
      </c>
      <c r="AN136" s="12">
        <v>34640</v>
      </c>
      <c r="AO136" s="12">
        <v>51960</v>
      </c>
      <c r="AP136" s="12">
        <v>560</v>
      </c>
      <c r="AQ136" s="12">
        <v>728</v>
      </c>
      <c r="AR136" s="12" t="s">
        <v>73</v>
      </c>
      <c r="AS136" s="12">
        <v>0</v>
      </c>
      <c r="AT136" s="12">
        <v>456</v>
      </c>
      <c r="AU136" s="12">
        <v>241.68</v>
      </c>
      <c r="AV136" s="12">
        <v>9000</v>
      </c>
      <c r="AW136" s="12">
        <v>9000</v>
      </c>
      <c r="AX136" s="12">
        <v>32480</v>
      </c>
      <c r="AY136" s="12">
        <v>48720</v>
      </c>
      <c r="AZ136" s="12">
        <v>1440</v>
      </c>
      <c r="BA136" s="12">
        <v>1872</v>
      </c>
    </row>
    <row r="137" spans="1:53" x14ac:dyDescent="0.3">
      <c r="A137" s="12" t="s">
        <v>74</v>
      </c>
      <c r="B137" s="16">
        <v>4215679</v>
      </c>
      <c r="C137" s="12" t="s">
        <v>342</v>
      </c>
      <c r="D137" s="12" t="s">
        <v>73</v>
      </c>
      <c r="E137" s="13">
        <v>0</v>
      </c>
      <c r="F137" s="12">
        <v>165</v>
      </c>
      <c r="G137" s="12">
        <v>87.45</v>
      </c>
      <c r="H137" s="12">
        <v>12000</v>
      </c>
      <c r="I137" s="12">
        <v>12000</v>
      </c>
      <c r="J137" s="12">
        <v>12000</v>
      </c>
      <c r="K137" s="12">
        <v>18000</v>
      </c>
      <c r="L137" s="12" t="s">
        <v>73</v>
      </c>
      <c r="M137" s="12">
        <v>0</v>
      </c>
      <c r="N137" s="12" t="s">
        <v>73</v>
      </c>
      <c r="O137" s="12">
        <v>0</v>
      </c>
      <c r="P137" s="12">
        <v>163</v>
      </c>
      <c r="Q137" s="12">
        <v>86.39</v>
      </c>
      <c r="R137" s="12">
        <v>12000</v>
      </c>
      <c r="S137" s="12">
        <v>12000</v>
      </c>
      <c r="T137" s="12">
        <v>13600</v>
      </c>
      <c r="U137" s="12">
        <v>20400</v>
      </c>
      <c r="V137" s="12" t="s">
        <v>73</v>
      </c>
      <c r="W137" s="12">
        <v>0</v>
      </c>
      <c r="X137" s="12" t="s">
        <v>73</v>
      </c>
      <c r="Y137" s="12">
        <v>0</v>
      </c>
      <c r="Z137" s="12">
        <v>195</v>
      </c>
      <c r="AA137" s="12">
        <v>103.35000000000001</v>
      </c>
      <c r="AB137" s="12">
        <v>15000</v>
      </c>
      <c r="AC137" s="12">
        <v>15000</v>
      </c>
      <c r="AD137" s="12">
        <v>18000</v>
      </c>
      <c r="AE137" s="12">
        <v>27000</v>
      </c>
      <c r="AF137" s="12">
        <v>2700</v>
      </c>
      <c r="AG137" s="12">
        <v>3510</v>
      </c>
      <c r="AH137" s="12" t="s">
        <v>73</v>
      </c>
      <c r="AI137" s="12">
        <v>0</v>
      </c>
      <c r="AJ137" s="12">
        <v>173</v>
      </c>
      <c r="AK137" s="12">
        <v>91.69</v>
      </c>
      <c r="AL137" s="12">
        <v>12000</v>
      </c>
      <c r="AM137" s="12">
        <v>12000</v>
      </c>
      <c r="AN137" s="12">
        <v>13332</v>
      </c>
      <c r="AO137" s="12">
        <v>19998</v>
      </c>
      <c r="AP137" s="12" t="s">
        <v>73</v>
      </c>
      <c r="AQ137" s="12">
        <v>0</v>
      </c>
      <c r="AR137" s="12" t="s">
        <v>73</v>
      </c>
      <c r="AS137" s="12">
        <v>0</v>
      </c>
      <c r="AT137" s="12">
        <v>168</v>
      </c>
      <c r="AU137" s="12">
        <v>89.04</v>
      </c>
      <c r="AV137" s="12">
        <v>12000</v>
      </c>
      <c r="AW137" s="12">
        <v>12000</v>
      </c>
      <c r="AX137" s="12">
        <v>18698</v>
      </c>
      <c r="AY137" s="12">
        <v>28047</v>
      </c>
      <c r="AZ137" s="12">
        <v>225</v>
      </c>
      <c r="BA137" s="12">
        <v>292.5</v>
      </c>
    </row>
    <row r="138" spans="1:53" x14ac:dyDescent="0.3">
      <c r="A138" s="12" t="s">
        <v>74</v>
      </c>
      <c r="B138" s="16">
        <v>4218251</v>
      </c>
      <c r="C138" s="12" t="s">
        <v>344</v>
      </c>
      <c r="D138" s="12" t="s">
        <v>73</v>
      </c>
      <c r="E138" s="13">
        <v>0</v>
      </c>
      <c r="F138" s="12">
        <v>96</v>
      </c>
      <c r="G138" s="12">
        <v>50.88</v>
      </c>
      <c r="H138" s="12">
        <v>7200</v>
      </c>
      <c r="I138" s="12">
        <v>7200</v>
      </c>
      <c r="J138" s="12">
        <v>1600</v>
      </c>
      <c r="K138" s="12">
        <v>2400</v>
      </c>
      <c r="L138" s="12" t="s">
        <v>73</v>
      </c>
      <c r="M138" s="12">
        <v>0</v>
      </c>
      <c r="N138" s="12" t="s">
        <v>73</v>
      </c>
      <c r="O138" s="12">
        <v>0</v>
      </c>
      <c r="P138" s="12">
        <v>140</v>
      </c>
      <c r="Q138" s="12">
        <v>74.2</v>
      </c>
      <c r="R138" s="12">
        <v>7200</v>
      </c>
      <c r="S138" s="12">
        <v>7200</v>
      </c>
      <c r="T138" s="12">
        <v>1400</v>
      </c>
      <c r="U138" s="12">
        <v>2100</v>
      </c>
      <c r="V138" s="12" t="s">
        <v>73</v>
      </c>
      <c r="W138" s="12">
        <v>0</v>
      </c>
      <c r="X138" s="12" t="s">
        <v>73</v>
      </c>
      <c r="Y138" s="12">
        <v>0</v>
      </c>
      <c r="Z138" s="12">
        <v>144</v>
      </c>
      <c r="AA138" s="12">
        <v>76.320000000000007</v>
      </c>
      <c r="AB138" s="12">
        <v>6000</v>
      </c>
      <c r="AC138" s="12">
        <v>6000</v>
      </c>
      <c r="AD138" s="12">
        <v>780</v>
      </c>
      <c r="AE138" s="12">
        <v>1170</v>
      </c>
      <c r="AF138" s="12" t="s">
        <v>73</v>
      </c>
      <c r="AG138" s="12">
        <v>0</v>
      </c>
      <c r="AH138" s="12" t="s">
        <v>73</v>
      </c>
      <c r="AI138" s="12">
        <v>0</v>
      </c>
      <c r="AJ138" s="12">
        <v>180</v>
      </c>
      <c r="AK138" s="12">
        <v>95.4</v>
      </c>
      <c r="AL138" s="12">
        <v>8000</v>
      </c>
      <c r="AM138" s="12">
        <v>8000</v>
      </c>
      <c r="AN138" s="12">
        <v>1120</v>
      </c>
      <c r="AO138" s="12">
        <v>1680</v>
      </c>
      <c r="AP138" s="12" t="s">
        <v>73</v>
      </c>
      <c r="AQ138" s="12">
        <v>0</v>
      </c>
      <c r="AR138" s="12" t="s">
        <v>73</v>
      </c>
      <c r="AS138" s="12">
        <v>0</v>
      </c>
      <c r="AT138" s="12">
        <v>120</v>
      </c>
      <c r="AU138" s="12">
        <v>63.6</v>
      </c>
      <c r="AV138" s="12">
        <v>5760</v>
      </c>
      <c r="AW138" s="12">
        <v>5760</v>
      </c>
      <c r="AX138" s="12">
        <v>1050</v>
      </c>
      <c r="AY138" s="12">
        <v>1575</v>
      </c>
      <c r="AZ138" s="12" t="s">
        <v>73</v>
      </c>
      <c r="BA138" s="12">
        <v>0</v>
      </c>
    </row>
    <row r="139" spans="1:53" x14ac:dyDescent="0.3">
      <c r="A139" s="12" t="s">
        <v>74</v>
      </c>
      <c r="B139" s="16">
        <v>4218301</v>
      </c>
      <c r="C139" s="12" t="s">
        <v>346</v>
      </c>
      <c r="D139" s="12" t="s">
        <v>73</v>
      </c>
      <c r="E139" s="13">
        <v>0</v>
      </c>
      <c r="F139" s="12">
        <v>851</v>
      </c>
      <c r="G139" s="12">
        <v>451.03000000000003</v>
      </c>
      <c r="H139" s="12">
        <v>9200</v>
      </c>
      <c r="I139" s="12">
        <v>9200</v>
      </c>
      <c r="J139" s="12">
        <v>23400</v>
      </c>
      <c r="K139" s="12">
        <v>35100</v>
      </c>
      <c r="L139" s="12">
        <v>2960</v>
      </c>
      <c r="M139" s="12">
        <v>3848</v>
      </c>
      <c r="N139" s="12" t="s">
        <v>73</v>
      </c>
      <c r="O139" s="12">
        <v>0</v>
      </c>
      <c r="P139" s="12">
        <v>594</v>
      </c>
      <c r="Q139" s="12">
        <v>314.82</v>
      </c>
      <c r="R139" s="12">
        <v>8500</v>
      </c>
      <c r="S139" s="12">
        <v>8500</v>
      </c>
      <c r="T139" s="12">
        <v>23480</v>
      </c>
      <c r="U139" s="12">
        <v>35220</v>
      </c>
      <c r="V139" s="12">
        <v>4320</v>
      </c>
      <c r="W139" s="12">
        <v>5616</v>
      </c>
      <c r="X139" s="12" t="s">
        <v>73</v>
      </c>
      <c r="Y139" s="12">
        <v>0</v>
      </c>
      <c r="Z139" s="12">
        <v>580</v>
      </c>
      <c r="AA139" s="12">
        <v>307.40000000000003</v>
      </c>
      <c r="AB139" s="12">
        <v>9360</v>
      </c>
      <c r="AC139" s="12">
        <v>9360</v>
      </c>
      <c r="AD139" s="12">
        <v>24220</v>
      </c>
      <c r="AE139" s="12">
        <v>36330</v>
      </c>
      <c r="AF139" s="12">
        <v>4008</v>
      </c>
      <c r="AG139" s="12">
        <v>5210.4000000000005</v>
      </c>
      <c r="AH139" s="12" t="s">
        <v>73</v>
      </c>
      <c r="AI139" s="12">
        <v>0</v>
      </c>
      <c r="AJ139" s="12">
        <v>540</v>
      </c>
      <c r="AK139" s="12">
        <v>286.2</v>
      </c>
      <c r="AL139" s="12">
        <v>11000</v>
      </c>
      <c r="AM139" s="12">
        <v>11000</v>
      </c>
      <c r="AN139" s="12">
        <v>30450</v>
      </c>
      <c r="AO139" s="12">
        <v>45675</v>
      </c>
      <c r="AP139" s="12">
        <v>960</v>
      </c>
      <c r="AQ139" s="12">
        <v>1248</v>
      </c>
      <c r="AR139" s="12" t="s">
        <v>73</v>
      </c>
      <c r="AS139" s="12">
        <v>0</v>
      </c>
      <c r="AT139" s="12">
        <v>456</v>
      </c>
      <c r="AU139" s="12">
        <v>241.68</v>
      </c>
      <c r="AV139" s="12">
        <v>7200</v>
      </c>
      <c r="AW139" s="12">
        <v>7200</v>
      </c>
      <c r="AX139" s="12">
        <v>25680</v>
      </c>
      <c r="AY139" s="12">
        <v>38520</v>
      </c>
      <c r="AZ139" s="12">
        <v>1440</v>
      </c>
      <c r="BA139" s="12">
        <v>1872</v>
      </c>
    </row>
    <row r="140" spans="1:53" x14ac:dyDescent="0.3">
      <c r="A140" s="12" t="s">
        <v>70</v>
      </c>
      <c r="B140" s="16">
        <v>42007</v>
      </c>
      <c r="C140" s="12" t="s">
        <v>348</v>
      </c>
      <c r="D140" s="12">
        <v>64</v>
      </c>
      <c r="E140" s="13">
        <v>76.8</v>
      </c>
      <c r="F140" s="12">
        <v>1172</v>
      </c>
      <c r="G140" s="12">
        <v>621.16000000000008</v>
      </c>
      <c r="H140" s="12">
        <v>27420</v>
      </c>
      <c r="I140" s="12">
        <v>27420</v>
      </c>
      <c r="J140" s="12">
        <v>49200</v>
      </c>
      <c r="K140" s="12">
        <v>73800</v>
      </c>
      <c r="L140" s="12">
        <v>576</v>
      </c>
      <c r="M140" s="12">
        <v>748.80000000000007</v>
      </c>
      <c r="N140" s="12">
        <v>70</v>
      </c>
      <c r="O140" s="12">
        <v>84</v>
      </c>
      <c r="P140" s="12">
        <v>1168</v>
      </c>
      <c r="Q140" s="12">
        <v>619.04000000000008</v>
      </c>
      <c r="R140" s="12">
        <v>27420</v>
      </c>
      <c r="S140" s="12">
        <v>27420</v>
      </c>
      <c r="T140" s="12">
        <v>49200</v>
      </c>
      <c r="U140" s="12">
        <v>73800</v>
      </c>
      <c r="V140" s="12">
        <v>613</v>
      </c>
      <c r="W140" s="12">
        <v>796.9</v>
      </c>
      <c r="X140" s="12">
        <v>74</v>
      </c>
      <c r="Y140" s="12">
        <v>88.8</v>
      </c>
      <c r="Z140" s="12">
        <v>1306</v>
      </c>
      <c r="AA140" s="12">
        <v>692.18000000000006</v>
      </c>
      <c r="AB140" s="12">
        <v>28000</v>
      </c>
      <c r="AC140" s="12">
        <v>28000</v>
      </c>
      <c r="AD140" s="12">
        <v>41520</v>
      </c>
      <c r="AE140" s="12">
        <v>62280</v>
      </c>
      <c r="AF140" s="12">
        <v>3710</v>
      </c>
      <c r="AG140" s="12">
        <v>4823</v>
      </c>
      <c r="AH140" s="12">
        <v>69</v>
      </c>
      <c r="AI140" s="12">
        <v>82.8</v>
      </c>
      <c r="AJ140" s="12">
        <v>1540</v>
      </c>
      <c r="AK140" s="12">
        <v>816.2</v>
      </c>
      <c r="AL140" s="12">
        <v>27000</v>
      </c>
      <c r="AM140" s="12">
        <v>27000</v>
      </c>
      <c r="AN140" s="12">
        <v>47954</v>
      </c>
      <c r="AO140" s="12">
        <v>71931</v>
      </c>
      <c r="AP140" s="12">
        <v>2810</v>
      </c>
      <c r="AQ140" s="12">
        <v>3653</v>
      </c>
      <c r="AR140" s="12">
        <v>68</v>
      </c>
      <c r="AS140" s="12">
        <v>81.599999999999994</v>
      </c>
      <c r="AT140" s="12">
        <v>1525</v>
      </c>
      <c r="AU140" s="12">
        <v>808.25</v>
      </c>
      <c r="AV140" s="12">
        <v>21453</v>
      </c>
      <c r="AW140" s="12">
        <v>21453</v>
      </c>
      <c r="AX140" s="12">
        <v>41472</v>
      </c>
      <c r="AY140" s="12">
        <v>62208</v>
      </c>
      <c r="AZ140" s="12">
        <v>1715</v>
      </c>
      <c r="BA140" s="12">
        <v>2229.5</v>
      </c>
    </row>
    <row r="141" spans="1:53" x14ac:dyDescent="0.3">
      <c r="A141" s="12" t="s">
        <v>74</v>
      </c>
      <c r="B141" s="16">
        <v>4203303</v>
      </c>
      <c r="C141" s="12" t="s">
        <v>350</v>
      </c>
      <c r="D141" s="12" t="s">
        <v>73</v>
      </c>
      <c r="E141" s="13">
        <v>0</v>
      </c>
      <c r="F141" s="12">
        <v>297</v>
      </c>
      <c r="G141" s="12">
        <v>157.41</v>
      </c>
      <c r="H141" s="12">
        <v>9900</v>
      </c>
      <c r="I141" s="12">
        <v>9900</v>
      </c>
      <c r="J141" s="12">
        <v>7500</v>
      </c>
      <c r="K141" s="12">
        <v>11250</v>
      </c>
      <c r="L141" s="12">
        <v>150</v>
      </c>
      <c r="M141" s="12">
        <v>195</v>
      </c>
      <c r="N141" s="12" t="s">
        <v>73</v>
      </c>
      <c r="O141" s="12">
        <v>0</v>
      </c>
      <c r="P141" s="12">
        <v>293</v>
      </c>
      <c r="Q141" s="12">
        <v>155.29000000000002</v>
      </c>
      <c r="R141" s="12">
        <v>9900</v>
      </c>
      <c r="S141" s="12">
        <v>9900</v>
      </c>
      <c r="T141" s="12">
        <v>7500</v>
      </c>
      <c r="U141" s="12">
        <v>11250</v>
      </c>
      <c r="V141" s="12">
        <v>150</v>
      </c>
      <c r="W141" s="12">
        <v>195</v>
      </c>
      <c r="X141" s="12" t="s">
        <v>73</v>
      </c>
      <c r="Y141" s="12">
        <v>0</v>
      </c>
      <c r="Z141" s="12">
        <v>225</v>
      </c>
      <c r="AA141" s="12">
        <v>119.25</v>
      </c>
      <c r="AB141" s="12">
        <v>9360</v>
      </c>
      <c r="AC141" s="12">
        <v>9360</v>
      </c>
      <c r="AD141" s="12">
        <v>6600</v>
      </c>
      <c r="AE141" s="12">
        <v>9900</v>
      </c>
      <c r="AF141" s="12">
        <v>480</v>
      </c>
      <c r="AG141" s="12">
        <v>624</v>
      </c>
      <c r="AH141" s="12" t="s">
        <v>73</v>
      </c>
      <c r="AI141" s="12">
        <v>0</v>
      </c>
      <c r="AJ141" s="12">
        <v>423</v>
      </c>
      <c r="AK141" s="12">
        <v>224.19</v>
      </c>
      <c r="AL141" s="12">
        <v>8500</v>
      </c>
      <c r="AM141" s="12">
        <v>8500</v>
      </c>
      <c r="AN141" s="12">
        <v>7115</v>
      </c>
      <c r="AO141" s="12">
        <v>10672.5</v>
      </c>
      <c r="AP141" s="12">
        <v>450</v>
      </c>
      <c r="AQ141" s="12">
        <v>585</v>
      </c>
      <c r="AR141" s="12" t="s">
        <v>73</v>
      </c>
      <c r="AS141" s="12">
        <v>0</v>
      </c>
      <c r="AT141" s="12">
        <v>378</v>
      </c>
      <c r="AU141" s="12">
        <v>200.34</v>
      </c>
      <c r="AV141" s="12">
        <v>6800</v>
      </c>
      <c r="AW141" s="12">
        <v>6800</v>
      </c>
      <c r="AX141" s="12">
        <v>6750</v>
      </c>
      <c r="AY141" s="12">
        <v>10125</v>
      </c>
      <c r="AZ141" s="12">
        <v>300</v>
      </c>
      <c r="BA141" s="12">
        <v>390</v>
      </c>
    </row>
    <row r="142" spans="1:53" x14ac:dyDescent="0.3">
      <c r="A142" s="12" t="s">
        <v>74</v>
      </c>
      <c r="B142" s="16">
        <v>4215000</v>
      </c>
      <c r="C142" s="12" t="s">
        <v>352</v>
      </c>
      <c r="D142" s="12" t="s">
        <v>73</v>
      </c>
      <c r="E142" s="13">
        <v>0</v>
      </c>
      <c r="F142" s="12">
        <v>743</v>
      </c>
      <c r="G142" s="12">
        <v>393.79</v>
      </c>
      <c r="H142" s="12">
        <v>11520</v>
      </c>
      <c r="I142" s="12">
        <v>11520</v>
      </c>
      <c r="J142" s="12">
        <v>38400</v>
      </c>
      <c r="K142" s="12">
        <v>57600</v>
      </c>
      <c r="L142" s="12">
        <v>380</v>
      </c>
      <c r="M142" s="12">
        <v>494</v>
      </c>
      <c r="N142" s="12" t="s">
        <v>73</v>
      </c>
      <c r="O142" s="12">
        <v>0</v>
      </c>
      <c r="P142" s="12">
        <v>743</v>
      </c>
      <c r="Q142" s="12">
        <v>393.79</v>
      </c>
      <c r="R142" s="12">
        <v>11520</v>
      </c>
      <c r="S142" s="12">
        <v>11520</v>
      </c>
      <c r="T142" s="12">
        <v>38400</v>
      </c>
      <c r="U142" s="12">
        <v>57600</v>
      </c>
      <c r="V142" s="12">
        <v>417</v>
      </c>
      <c r="W142" s="12">
        <v>542.1</v>
      </c>
      <c r="X142" s="12" t="s">
        <v>73</v>
      </c>
      <c r="Y142" s="12">
        <v>0</v>
      </c>
      <c r="Z142" s="12">
        <v>861</v>
      </c>
      <c r="AA142" s="12">
        <v>456.33000000000004</v>
      </c>
      <c r="AB142" s="12">
        <v>12160</v>
      </c>
      <c r="AC142" s="12">
        <v>12160</v>
      </c>
      <c r="AD142" s="12">
        <v>30960</v>
      </c>
      <c r="AE142" s="12">
        <v>46440</v>
      </c>
      <c r="AF142" s="12">
        <v>2584</v>
      </c>
      <c r="AG142" s="12">
        <v>3359.2000000000003</v>
      </c>
      <c r="AH142" s="12" t="s">
        <v>73</v>
      </c>
      <c r="AI142" s="12">
        <v>0</v>
      </c>
      <c r="AJ142" s="12">
        <v>893</v>
      </c>
      <c r="AK142" s="12">
        <v>473.29</v>
      </c>
      <c r="AL142" s="12">
        <v>11700</v>
      </c>
      <c r="AM142" s="12">
        <v>11700</v>
      </c>
      <c r="AN142" s="12">
        <v>36444</v>
      </c>
      <c r="AO142" s="12">
        <v>54666</v>
      </c>
      <c r="AP142" s="12">
        <v>2040</v>
      </c>
      <c r="AQ142" s="12">
        <v>2652</v>
      </c>
      <c r="AR142" s="12" t="s">
        <v>73</v>
      </c>
      <c r="AS142" s="12">
        <v>0</v>
      </c>
      <c r="AT142" s="12">
        <v>883</v>
      </c>
      <c r="AU142" s="12">
        <v>467.99</v>
      </c>
      <c r="AV142" s="12">
        <v>9533</v>
      </c>
      <c r="AW142" s="12">
        <v>9533</v>
      </c>
      <c r="AX142" s="12">
        <v>30597</v>
      </c>
      <c r="AY142" s="12">
        <v>45895.5</v>
      </c>
      <c r="AZ142" s="12">
        <v>1204</v>
      </c>
      <c r="BA142" s="12">
        <v>1565.2</v>
      </c>
    </row>
    <row r="143" spans="1:53" x14ac:dyDescent="0.3">
      <c r="A143" s="12" t="s">
        <v>74</v>
      </c>
      <c r="B143" s="16">
        <v>4215802</v>
      </c>
      <c r="C143" s="12" t="s">
        <v>354</v>
      </c>
      <c r="D143" s="12">
        <v>64</v>
      </c>
      <c r="E143" s="13">
        <v>76.8</v>
      </c>
      <c r="F143" s="12">
        <v>132</v>
      </c>
      <c r="G143" s="12">
        <v>69.960000000000008</v>
      </c>
      <c r="H143" s="12">
        <v>6000</v>
      </c>
      <c r="I143" s="12">
        <v>6000</v>
      </c>
      <c r="J143" s="12">
        <v>3300</v>
      </c>
      <c r="K143" s="12">
        <v>4950</v>
      </c>
      <c r="L143" s="12">
        <v>46</v>
      </c>
      <c r="M143" s="12">
        <v>59.800000000000004</v>
      </c>
      <c r="N143" s="12">
        <v>70</v>
      </c>
      <c r="O143" s="12">
        <v>84</v>
      </c>
      <c r="P143" s="12">
        <v>132</v>
      </c>
      <c r="Q143" s="12">
        <v>69.960000000000008</v>
      </c>
      <c r="R143" s="12">
        <v>6000</v>
      </c>
      <c r="S143" s="12">
        <v>6000</v>
      </c>
      <c r="T143" s="12">
        <v>3300</v>
      </c>
      <c r="U143" s="12">
        <v>4950</v>
      </c>
      <c r="V143" s="12">
        <v>46</v>
      </c>
      <c r="W143" s="12">
        <v>59.800000000000004</v>
      </c>
      <c r="X143" s="12">
        <v>74</v>
      </c>
      <c r="Y143" s="12">
        <v>88.8</v>
      </c>
      <c r="Z143" s="12">
        <v>220</v>
      </c>
      <c r="AA143" s="12">
        <v>116.60000000000001</v>
      </c>
      <c r="AB143" s="12">
        <v>6480</v>
      </c>
      <c r="AC143" s="12">
        <v>6480</v>
      </c>
      <c r="AD143" s="12">
        <v>3960</v>
      </c>
      <c r="AE143" s="12">
        <v>5940</v>
      </c>
      <c r="AF143" s="12">
        <v>646</v>
      </c>
      <c r="AG143" s="12">
        <v>839.80000000000007</v>
      </c>
      <c r="AH143" s="12">
        <v>69</v>
      </c>
      <c r="AI143" s="12">
        <v>82.8</v>
      </c>
      <c r="AJ143" s="12">
        <v>224</v>
      </c>
      <c r="AK143" s="12">
        <v>118.72</v>
      </c>
      <c r="AL143" s="12">
        <v>6800</v>
      </c>
      <c r="AM143" s="12">
        <v>6800</v>
      </c>
      <c r="AN143" s="12">
        <v>4395</v>
      </c>
      <c r="AO143" s="12">
        <v>6592.5</v>
      </c>
      <c r="AP143" s="12">
        <v>320</v>
      </c>
      <c r="AQ143" s="12">
        <v>416</v>
      </c>
      <c r="AR143" s="12">
        <v>68</v>
      </c>
      <c r="AS143" s="12">
        <v>81.599999999999994</v>
      </c>
      <c r="AT143" s="12">
        <v>264</v>
      </c>
      <c r="AU143" s="12">
        <v>139.92000000000002</v>
      </c>
      <c r="AV143" s="12">
        <v>5120</v>
      </c>
      <c r="AW143" s="12">
        <v>5120</v>
      </c>
      <c r="AX143" s="12">
        <v>4125</v>
      </c>
      <c r="AY143" s="12">
        <v>6187.5</v>
      </c>
      <c r="AZ143" s="12">
        <v>211</v>
      </c>
      <c r="BA143" s="12">
        <v>274.3</v>
      </c>
    </row>
    <row r="144" spans="1:53" x14ac:dyDescent="0.3">
      <c r="A144" s="12" t="s">
        <v>70</v>
      </c>
      <c r="B144" s="16">
        <v>42008</v>
      </c>
      <c r="C144" s="12" t="s">
        <v>356</v>
      </c>
      <c r="D144" s="12">
        <v>138959</v>
      </c>
      <c r="E144" s="13">
        <v>166750.79999999999</v>
      </c>
      <c r="F144" s="12" t="s">
        <v>73</v>
      </c>
      <c r="G144" s="12">
        <v>0</v>
      </c>
      <c r="H144" s="12">
        <v>1909</v>
      </c>
      <c r="I144" s="12">
        <v>1909</v>
      </c>
      <c r="J144" s="12" t="s">
        <v>73</v>
      </c>
      <c r="K144" s="12">
        <v>0</v>
      </c>
      <c r="L144" s="12" t="s">
        <v>73</v>
      </c>
      <c r="M144" s="12">
        <v>0</v>
      </c>
      <c r="N144" s="12">
        <v>135334</v>
      </c>
      <c r="O144" s="12">
        <v>162400.79999999999</v>
      </c>
      <c r="P144" s="12" t="s">
        <v>73</v>
      </c>
      <c r="Q144" s="12">
        <v>0</v>
      </c>
      <c r="R144" s="12">
        <v>1374</v>
      </c>
      <c r="S144" s="12">
        <v>1374</v>
      </c>
      <c r="T144" s="12" t="s">
        <v>73</v>
      </c>
      <c r="U144" s="12">
        <v>0</v>
      </c>
      <c r="V144" s="12" t="s">
        <v>73</v>
      </c>
      <c r="W144" s="12">
        <v>0</v>
      </c>
      <c r="X144" s="12">
        <v>141482</v>
      </c>
      <c r="Y144" s="12">
        <v>169778.4</v>
      </c>
      <c r="Z144" s="12" t="s">
        <v>73</v>
      </c>
      <c r="AA144" s="12">
        <v>0</v>
      </c>
      <c r="AB144" s="12">
        <v>2409</v>
      </c>
      <c r="AC144" s="12">
        <v>2409</v>
      </c>
      <c r="AD144" s="12" t="s">
        <v>73</v>
      </c>
      <c r="AE144" s="12">
        <v>0</v>
      </c>
      <c r="AF144" s="12" t="s">
        <v>73</v>
      </c>
      <c r="AG144" s="12">
        <v>0</v>
      </c>
      <c r="AH144" s="12">
        <v>143326</v>
      </c>
      <c r="AI144" s="12">
        <v>171991.19999999998</v>
      </c>
      <c r="AJ144" s="12" t="s">
        <v>73</v>
      </c>
      <c r="AK144" s="12">
        <v>0</v>
      </c>
      <c r="AL144" s="12">
        <v>3113</v>
      </c>
      <c r="AM144" s="12">
        <v>3113</v>
      </c>
      <c r="AN144" s="12" t="s">
        <v>73</v>
      </c>
      <c r="AO144" s="12">
        <v>0</v>
      </c>
      <c r="AP144" s="12" t="s">
        <v>73</v>
      </c>
      <c r="AQ144" s="12">
        <v>0</v>
      </c>
      <c r="AR144" s="12">
        <v>146481</v>
      </c>
      <c r="AS144" s="12">
        <v>175777.19999999998</v>
      </c>
      <c r="AT144" s="12" t="s">
        <v>73</v>
      </c>
      <c r="AU144" s="12">
        <v>0</v>
      </c>
      <c r="AV144" s="12">
        <v>2173</v>
      </c>
      <c r="AW144" s="12">
        <v>2173</v>
      </c>
      <c r="AX144" s="12" t="s">
        <v>73</v>
      </c>
      <c r="AY144" s="12">
        <v>0</v>
      </c>
      <c r="AZ144" s="12" t="s">
        <v>73</v>
      </c>
      <c r="BA144" s="12">
        <v>0</v>
      </c>
    </row>
    <row r="145" spans="1:53" x14ac:dyDescent="0.3">
      <c r="A145" s="12" t="s">
        <v>74</v>
      </c>
      <c r="B145" s="16">
        <v>4201307</v>
      </c>
      <c r="C145" s="12" t="s">
        <v>358</v>
      </c>
      <c r="D145" s="12">
        <v>18833</v>
      </c>
      <c r="E145" s="13">
        <v>22599.599999999999</v>
      </c>
      <c r="F145" s="12" t="s">
        <v>73</v>
      </c>
      <c r="G145" s="12">
        <v>0</v>
      </c>
      <c r="H145" s="12">
        <v>87</v>
      </c>
      <c r="I145" s="12">
        <v>87</v>
      </c>
      <c r="J145" s="12" t="s">
        <v>73</v>
      </c>
      <c r="K145" s="12">
        <v>0</v>
      </c>
      <c r="L145" s="12" t="s">
        <v>73</v>
      </c>
      <c r="M145" s="12">
        <v>0</v>
      </c>
      <c r="N145" s="12">
        <v>18921</v>
      </c>
      <c r="O145" s="12">
        <v>22705.200000000001</v>
      </c>
      <c r="P145" s="12" t="s">
        <v>73</v>
      </c>
      <c r="Q145" s="12">
        <v>0</v>
      </c>
      <c r="R145" s="12">
        <v>265</v>
      </c>
      <c r="S145" s="12">
        <v>265</v>
      </c>
      <c r="T145" s="12" t="s">
        <v>73</v>
      </c>
      <c r="U145" s="12">
        <v>0</v>
      </c>
      <c r="V145" s="12" t="s">
        <v>73</v>
      </c>
      <c r="W145" s="12">
        <v>0</v>
      </c>
      <c r="X145" s="12">
        <v>18713</v>
      </c>
      <c r="Y145" s="12">
        <v>22455.599999999999</v>
      </c>
      <c r="Z145" s="12" t="s">
        <v>73</v>
      </c>
      <c r="AA145" s="12">
        <v>0</v>
      </c>
      <c r="AB145" s="12">
        <v>294</v>
      </c>
      <c r="AC145" s="12">
        <v>294</v>
      </c>
      <c r="AD145" s="12" t="s">
        <v>73</v>
      </c>
      <c r="AE145" s="12">
        <v>0</v>
      </c>
      <c r="AF145" s="12" t="s">
        <v>73</v>
      </c>
      <c r="AG145" s="12">
        <v>0</v>
      </c>
      <c r="AH145" s="12">
        <v>19188</v>
      </c>
      <c r="AI145" s="12">
        <v>23025.599999999999</v>
      </c>
      <c r="AJ145" s="12" t="s">
        <v>73</v>
      </c>
      <c r="AK145" s="12">
        <v>0</v>
      </c>
      <c r="AL145" s="12">
        <v>255</v>
      </c>
      <c r="AM145" s="12">
        <v>255</v>
      </c>
      <c r="AN145" s="12" t="s">
        <v>73</v>
      </c>
      <c r="AO145" s="12">
        <v>0</v>
      </c>
      <c r="AP145" s="12" t="s">
        <v>73</v>
      </c>
      <c r="AQ145" s="12">
        <v>0</v>
      </c>
      <c r="AR145" s="12">
        <v>18486</v>
      </c>
      <c r="AS145" s="12">
        <v>22183.200000000001</v>
      </c>
      <c r="AT145" s="12" t="s">
        <v>73</v>
      </c>
      <c r="AU145" s="12">
        <v>0</v>
      </c>
      <c r="AV145" s="12">
        <v>257</v>
      </c>
      <c r="AW145" s="12">
        <v>257</v>
      </c>
      <c r="AX145" s="12" t="s">
        <v>73</v>
      </c>
      <c r="AY145" s="12">
        <v>0</v>
      </c>
      <c r="AZ145" s="12" t="s">
        <v>73</v>
      </c>
      <c r="BA145" s="12">
        <v>0</v>
      </c>
    </row>
    <row r="146" spans="1:53" x14ac:dyDescent="0.3">
      <c r="A146" s="12" t="s">
        <v>74</v>
      </c>
      <c r="B146" s="16">
        <v>4202057</v>
      </c>
      <c r="C146" s="12" t="s">
        <v>360</v>
      </c>
      <c r="D146" s="12" t="s">
        <v>73</v>
      </c>
      <c r="E146" s="13">
        <v>0</v>
      </c>
      <c r="F146" s="12" t="s">
        <v>73</v>
      </c>
      <c r="G146" s="12">
        <v>0</v>
      </c>
      <c r="H146" s="12" t="s">
        <v>73</v>
      </c>
      <c r="I146" s="12" t="s">
        <v>73</v>
      </c>
      <c r="J146" s="12" t="s">
        <v>73</v>
      </c>
      <c r="K146" s="12">
        <v>0</v>
      </c>
      <c r="L146" s="12" t="s">
        <v>73</v>
      </c>
      <c r="M146" s="12">
        <v>0</v>
      </c>
      <c r="N146" s="12" t="s">
        <v>73</v>
      </c>
      <c r="O146" s="12">
        <v>0</v>
      </c>
      <c r="P146" s="12" t="s">
        <v>73</v>
      </c>
      <c r="Q146" s="12">
        <v>0</v>
      </c>
      <c r="R146" s="12" t="s">
        <v>73</v>
      </c>
      <c r="S146" s="12" t="s">
        <v>73</v>
      </c>
      <c r="T146" s="12" t="s">
        <v>73</v>
      </c>
      <c r="U146" s="12">
        <v>0</v>
      </c>
      <c r="V146" s="12" t="s">
        <v>73</v>
      </c>
      <c r="W146" s="12">
        <v>0</v>
      </c>
      <c r="X146" s="12" t="s">
        <v>73</v>
      </c>
      <c r="Y146" s="12">
        <v>0</v>
      </c>
      <c r="Z146" s="12" t="s">
        <v>73</v>
      </c>
      <c r="AA146" s="12">
        <v>0</v>
      </c>
      <c r="AB146" s="12" t="s">
        <v>73</v>
      </c>
      <c r="AC146" s="12" t="s">
        <v>73</v>
      </c>
      <c r="AD146" s="12" t="s">
        <v>73</v>
      </c>
      <c r="AE146" s="12">
        <v>0</v>
      </c>
      <c r="AF146" s="12" t="s">
        <v>73</v>
      </c>
      <c r="AG146" s="12">
        <v>0</v>
      </c>
      <c r="AH146" s="12" t="s">
        <v>73</v>
      </c>
      <c r="AI146" s="12">
        <v>0</v>
      </c>
      <c r="AJ146" s="12" t="s">
        <v>73</v>
      </c>
      <c r="AK146" s="12">
        <v>0</v>
      </c>
      <c r="AL146" s="12" t="s">
        <v>73</v>
      </c>
      <c r="AM146" s="12" t="s">
        <v>73</v>
      </c>
      <c r="AN146" s="12" t="s">
        <v>73</v>
      </c>
      <c r="AO146" s="12">
        <v>0</v>
      </c>
      <c r="AP146" s="12" t="s">
        <v>73</v>
      </c>
      <c r="AQ146" s="12">
        <v>0</v>
      </c>
      <c r="AR146" s="12" t="s">
        <v>73</v>
      </c>
      <c r="AS146" s="12">
        <v>0</v>
      </c>
      <c r="AT146" s="12" t="s">
        <v>73</v>
      </c>
      <c r="AU146" s="12">
        <v>0</v>
      </c>
      <c r="AV146" s="12" t="s">
        <v>73</v>
      </c>
      <c r="AW146" s="12" t="s">
        <v>73</v>
      </c>
      <c r="AX146" s="12" t="s">
        <v>73</v>
      </c>
      <c r="AY146" s="12">
        <v>0</v>
      </c>
      <c r="AZ146" s="12" t="s">
        <v>73</v>
      </c>
      <c r="BA146" s="12">
        <v>0</v>
      </c>
    </row>
    <row r="147" spans="1:53" x14ac:dyDescent="0.3">
      <c r="A147" s="12" t="s">
        <v>74</v>
      </c>
      <c r="B147" s="16">
        <v>4204509</v>
      </c>
      <c r="C147" s="12" t="s">
        <v>362</v>
      </c>
      <c r="D147" s="12">
        <v>328</v>
      </c>
      <c r="E147" s="13">
        <v>393.59999999999997</v>
      </c>
      <c r="F147" s="12" t="s">
        <v>73</v>
      </c>
      <c r="G147" s="12">
        <v>0</v>
      </c>
      <c r="H147" s="12">
        <v>60</v>
      </c>
      <c r="I147" s="12">
        <v>60</v>
      </c>
      <c r="J147" s="12" t="s">
        <v>73</v>
      </c>
      <c r="K147" s="12">
        <v>0</v>
      </c>
      <c r="L147" s="12" t="s">
        <v>73</v>
      </c>
      <c r="M147" s="12">
        <v>0</v>
      </c>
      <c r="N147" s="12">
        <v>326</v>
      </c>
      <c r="O147" s="12">
        <v>391.2</v>
      </c>
      <c r="P147" s="12" t="s">
        <v>73</v>
      </c>
      <c r="Q147" s="12">
        <v>0</v>
      </c>
      <c r="R147" s="12">
        <v>35</v>
      </c>
      <c r="S147" s="12">
        <v>35</v>
      </c>
      <c r="T147" s="12" t="s">
        <v>73</v>
      </c>
      <c r="U147" s="12">
        <v>0</v>
      </c>
      <c r="V147" s="12" t="s">
        <v>73</v>
      </c>
      <c r="W147" s="12">
        <v>0</v>
      </c>
      <c r="X147" s="12">
        <v>499</v>
      </c>
      <c r="Y147" s="12">
        <v>598.79999999999995</v>
      </c>
      <c r="Z147" s="12" t="s">
        <v>73</v>
      </c>
      <c r="AA147" s="12">
        <v>0</v>
      </c>
      <c r="AB147" s="12" t="s">
        <v>73</v>
      </c>
      <c r="AC147" s="12" t="s">
        <v>73</v>
      </c>
      <c r="AD147" s="12" t="s">
        <v>73</v>
      </c>
      <c r="AE147" s="12">
        <v>0</v>
      </c>
      <c r="AF147" s="12" t="s">
        <v>73</v>
      </c>
      <c r="AG147" s="12">
        <v>0</v>
      </c>
      <c r="AH147" s="12">
        <v>484</v>
      </c>
      <c r="AI147" s="12">
        <v>580.79999999999995</v>
      </c>
      <c r="AJ147" s="12" t="s">
        <v>73</v>
      </c>
      <c r="AK147" s="12">
        <v>0</v>
      </c>
      <c r="AL147" s="12">
        <v>112</v>
      </c>
      <c r="AM147" s="12">
        <v>112</v>
      </c>
      <c r="AN147" s="12" t="s">
        <v>73</v>
      </c>
      <c r="AO147" s="12">
        <v>0</v>
      </c>
      <c r="AP147" s="12" t="s">
        <v>73</v>
      </c>
      <c r="AQ147" s="12">
        <v>0</v>
      </c>
      <c r="AR147" s="12">
        <v>421</v>
      </c>
      <c r="AS147" s="12">
        <v>505.2</v>
      </c>
      <c r="AT147" s="12" t="s">
        <v>73</v>
      </c>
      <c r="AU147" s="12">
        <v>0</v>
      </c>
      <c r="AV147" s="12">
        <v>112</v>
      </c>
      <c r="AW147" s="12">
        <v>112</v>
      </c>
      <c r="AX147" s="12" t="s">
        <v>73</v>
      </c>
      <c r="AY147" s="12">
        <v>0</v>
      </c>
      <c r="AZ147" s="12" t="s">
        <v>73</v>
      </c>
      <c r="BA147" s="12">
        <v>0</v>
      </c>
    </row>
    <row r="148" spans="1:53" x14ac:dyDescent="0.3">
      <c r="A148" s="12" t="s">
        <v>74</v>
      </c>
      <c r="B148" s="16">
        <v>4205803</v>
      </c>
      <c r="C148" s="12" t="s">
        <v>364</v>
      </c>
      <c r="D148" s="12">
        <v>7826</v>
      </c>
      <c r="E148" s="13">
        <v>9391.1999999999989</v>
      </c>
      <c r="F148" s="12" t="s">
        <v>73</v>
      </c>
      <c r="G148" s="12">
        <v>0</v>
      </c>
      <c r="H148" s="12" t="s">
        <v>73</v>
      </c>
      <c r="I148" s="12" t="s">
        <v>73</v>
      </c>
      <c r="J148" s="12" t="s">
        <v>73</v>
      </c>
      <c r="K148" s="12">
        <v>0</v>
      </c>
      <c r="L148" s="12" t="s">
        <v>73</v>
      </c>
      <c r="M148" s="12">
        <v>0</v>
      </c>
      <c r="N148" s="12">
        <v>7867</v>
      </c>
      <c r="O148" s="12">
        <v>9440.4</v>
      </c>
      <c r="P148" s="12" t="s">
        <v>73</v>
      </c>
      <c r="Q148" s="12">
        <v>0</v>
      </c>
      <c r="R148" s="12" t="s">
        <v>73</v>
      </c>
      <c r="S148" s="12" t="s">
        <v>73</v>
      </c>
      <c r="T148" s="12" t="s">
        <v>73</v>
      </c>
      <c r="U148" s="12">
        <v>0</v>
      </c>
      <c r="V148" s="12" t="s">
        <v>73</v>
      </c>
      <c r="W148" s="12">
        <v>0</v>
      </c>
      <c r="X148" s="12">
        <v>7634</v>
      </c>
      <c r="Y148" s="12">
        <v>9160.7999999999993</v>
      </c>
      <c r="Z148" s="12" t="s">
        <v>73</v>
      </c>
      <c r="AA148" s="12">
        <v>0</v>
      </c>
      <c r="AB148" s="12" t="s">
        <v>73</v>
      </c>
      <c r="AC148" s="12" t="s">
        <v>73</v>
      </c>
      <c r="AD148" s="12" t="s">
        <v>73</v>
      </c>
      <c r="AE148" s="12">
        <v>0</v>
      </c>
      <c r="AF148" s="12" t="s">
        <v>73</v>
      </c>
      <c r="AG148" s="12">
        <v>0</v>
      </c>
      <c r="AH148" s="12">
        <v>7440</v>
      </c>
      <c r="AI148" s="12">
        <v>8928</v>
      </c>
      <c r="AJ148" s="12" t="s">
        <v>73</v>
      </c>
      <c r="AK148" s="12">
        <v>0</v>
      </c>
      <c r="AL148" s="12" t="s">
        <v>73</v>
      </c>
      <c r="AM148" s="12" t="s">
        <v>73</v>
      </c>
      <c r="AN148" s="12" t="s">
        <v>73</v>
      </c>
      <c r="AO148" s="12">
        <v>0</v>
      </c>
      <c r="AP148" s="12" t="s">
        <v>73</v>
      </c>
      <c r="AQ148" s="12">
        <v>0</v>
      </c>
      <c r="AR148" s="12">
        <v>7500</v>
      </c>
      <c r="AS148" s="12">
        <v>9000</v>
      </c>
      <c r="AT148" s="12" t="s">
        <v>73</v>
      </c>
      <c r="AU148" s="12">
        <v>0</v>
      </c>
      <c r="AV148" s="12" t="s">
        <v>73</v>
      </c>
      <c r="AW148" s="12" t="s">
        <v>73</v>
      </c>
      <c r="AX148" s="12" t="s">
        <v>73</v>
      </c>
      <c r="AY148" s="12">
        <v>0</v>
      </c>
      <c r="AZ148" s="12" t="s">
        <v>73</v>
      </c>
      <c r="BA148" s="12">
        <v>0</v>
      </c>
    </row>
    <row r="149" spans="1:53" x14ac:dyDescent="0.3">
      <c r="A149" s="12" t="s">
        <v>74</v>
      </c>
      <c r="B149" s="16">
        <v>4206504</v>
      </c>
      <c r="C149" s="12" t="s">
        <v>366</v>
      </c>
      <c r="D149" s="12">
        <v>30791</v>
      </c>
      <c r="E149" s="13">
        <v>36949.199999999997</v>
      </c>
      <c r="F149" s="12" t="s">
        <v>73</v>
      </c>
      <c r="G149" s="12">
        <v>0</v>
      </c>
      <c r="H149" s="12">
        <v>72</v>
      </c>
      <c r="I149" s="12">
        <v>72</v>
      </c>
      <c r="J149" s="12" t="s">
        <v>73</v>
      </c>
      <c r="K149" s="12">
        <v>0</v>
      </c>
      <c r="L149" s="12" t="s">
        <v>73</v>
      </c>
      <c r="M149" s="12">
        <v>0</v>
      </c>
      <c r="N149" s="12">
        <v>29213</v>
      </c>
      <c r="O149" s="12">
        <v>35055.599999999999</v>
      </c>
      <c r="P149" s="12" t="s">
        <v>73</v>
      </c>
      <c r="Q149" s="12">
        <v>0</v>
      </c>
      <c r="R149" s="12">
        <v>54</v>
      </c>
      <c r="S149" s="12">
        <v>54</v>
      </c>
      <c r="T149" s="12" t="s">
        <v>73</v>
      </c>
      <c r="U149" s="12">
        <v>0</v>
      </c>
      <c r="V149" s="12" t="s">
        <v>73</v>
      </c>
      <c r="W149" s="12">
        <v>0</v>
      </c>
      <c r="X149" s="12">
        <v>31961</v>
      </c>
      <c r="Y149" s="12">
        <v>38353.199999999997</v>
      </c>
      <c r="Z149" s="12" t="s">
        <v>73</v>
      </c>
      <c r="AA149" s="12">
        <v>0</v>
      </c>
      <c r="AB149" s="12">
        <v>825</v>
      </c>
      <c r="AC149" s="12">
        <v>825</v>
      </c>
      <c r="AD149" s="12" t="s">
        <v>73</v>
      </c>
      <c r="AE149" s="12">
        <v>0</v>
      </c>
      <c r="AF149" s="12" t="s">
        <v>73</v>
      </c>
      <c r="AG149" s="12">
        <v>0</v>
      </c>
      <c r="AH149" s="12">
        <v>35527</v>
      </c>
      <c r="AI149" s="12">
        <v>42632.4</v>
      </c>
      <c r="AJ149" s="12" t="s">
        <v>73</v>
      </c>
      <c r="AK149" s="12">
        <v>0</v>
      </c>
      <c r="AL149" s="12">
        <v>825</v>
      </c>
      <c r="AM149" s="12">
        <v>825</v>
      </c>
      <c r="AN149" s="12" t="s">
        <v>73</v>
      </c>
      <c r="AO149" s="12">
        <v>0</v>
      </c>
      <c r="AP149" s="12" t="s">
        <v>73</v>
      </c>
      <c r="AQ149" s="12">
        <v>0</v>
      </c>
      <c r="AR149" s="12">
        <v>37600</v>
      </c>
      <c r="AS149" s="12">
        <v>45120</v>
      </c>
      <c r="AT149" s="12" t="s">
        <v>73</v>
      </c>
      <c r="AU149" s="12">
        <v>0</v>
      </c>
      <c r="AV149" s="12">
        <v>400</v>
      </c>
      <c r="AW149" s="12">
        <v>400</v>
      </c>
      <c r="AX149" s="12" t="s">
        <v>73</v>
      </c>
      <c r="AY149" s="12">
        <v>0</v>
      </c>
      <c r="AZ149" s="12" t="s">
        <v>73</v>
      </c>
      <c r="BA149" s="12">
        <v>0</v>
      </c>
    </row>
    <row r="150" spans="1:53" x14ac:dyDescent="0.3">
      <c r="A150" s="12" t="s">
        <v>74</v>
      </c>
      <c r="B150" s="16">
        <v>4208450</v>
      </c>
      <c r="C150" s="12" t="s">
        <v>368</v>
      </c>
      <c r="D150" s="12">
        <v>960</v>
      </c>
      <c r="E150" s="13">
        <v>1152</v>
      </c>
      <c r="F150" s="12" t="s">
        <v>73</v>
      </c>
      <c r="G150" s="12">
        <v>0</v>
      </c>
      <c r="H150" s="12" t="s">
        <v>73</v>
      </c>
      <c r="I150" s="12" t="s">
        <v>73</v>
      </c>
      <c r="J150" s="12" t="s">
        <v>73</v>
      </c>
      <c r="K150" s="12">
        <v>0</v>
      </c>
      <c r="L150" s="12" t="s">
        <v>73</v>
      </c>
      <c r="M150" s="12">
        <v>0</v>
      </c>
      <c r="N150" s="12">
        <v>960</v>
      </c>
      <c r="O150" s="12">
        <v>1152</v>
      </c>
      <c r="P150" s="12" t="s">
        <v>73</v>
      </c>
      <c r="Q150" s="12">
        <v>0</v>
      </c>
      <c r="R150" s="12" t="s">
        <v>73</v>
      </c>
      <c r="S150" s="12" t="s">
        <v>73</v>
      </c>
      <c r="T150" s="12" t="s">
        <v>73</v>
      </c>
      <c r="U150" s="12">
        <v>0</v>
      </c>
      <c r="V150" s="12" t="s">
        <v>73</v>
      </c>
      <c r="W150" s="12">
        <v>0</v>
      </c>
      <c r="X150" s="12">
        <v>817</v>
      </c>
      <c r="Y150" s="12">
        <v>980.4</v>
      </c>
      <c r="Z150" s="12" t="s">
        <v>73</v>
      </c>
      <c r="AA150" s="12">
        <v>0</v>
      </c>
      <c r="AB150" s="12" t="s">
        <v>73</v>
      </c>
      <c r="AC150" s="12" t="s">
        <v>73</v>
      </c>
      <c r="AD150" s="12" t="s">
        <v>73</v>
      </c>
      <c r="AE150" s="12">
        <v>0</v>
      </c>
      <c r="AF150" s="12" t="s">
        <v>73</v>
      </c>
      <c r="AG150" s="12">
        <v>0</v>
      </c>
      <c r="AH150" s="12">
        <v>935</v>
      </c>
      <c r="AI150" s="12">
        <v>1122</v>
      </c>
      <c r="AJ150" s="12" t="s">
        <v>73</v>
      </c>
      <c r="AK150" s="12">
        <v>0</v>
      </c>
      <c r="AL150" s="12" t="s">
        <v>73</v>
      </c>
      <c r="AM150" s="12" t="s">
        <v>73</v>
      </c>
      <c r="AN150" s="12" t="s">
        <v>73</v>
      </c>
      <c r="AO150" s="12">
        <v>0</v>
      </c>
      <c r="AP150" s="12" t="s">
        <v>73</v>
      </c>
      <c r="AQ150" s="12">
        <v>0</v>
      </c>
      <c r="AR150" s="12">
        <v>946</v>
      </c>
      <c r="AS150" s="12">
        <v>1135.2</v>
      </c>
      <c r="AT150" s="12" t="s">
        <v>73</v>
      </c>
      <c r="AU150" s="12">
        <v>0</v>
      </c>
      <c r="AV150" s="12" t="s">
        <v>73</v>
      </c>
      <c r="AW150" s="12" t="s">
        <v>73</v>
      </c>
      <c r="AX150" s="12" t="s">
        <v>73</v>
      </c>
      <c r="AY150" s="12">
        <v>0</v>
      </c>
      <c r="AZ150" s="12" t="s">
        <v>73</v>
      </c>
      <c r="BA150" s="12">
        <v>0</v>
      </c>
    </row>
    <row r="151" spans="1:53" x14ac:dyDescent="0.3">
      <c r="A151" s="12" t="s">
        <v>74</v>
      </c>
      <c r="B151" s="16">
        <v>4208906</v>
      </c>
      <c r="C151" s="12" t="s">
        <v>370</v>
      </c>
      <c r="D151" s="12">
        <v>7055</v>
      </c>
      <c r="E151" s="13">
        <v>8466</v>
      </c>
      <c r="F151" s="12" t="s">
        <v>73</v>
      </c>
      <c r="G151" s="12">
        <v>0</v>
      </c>
      <c r="H151" s="12">
        <v>1200</v>
      </c>
      <c r="I151" s="12">
        <v>1200</v>
      </c>
      <c r="J151" s="12" t="s">
        <v>73</v>
      </c>
      <c r="K151" s="12">
        <v>0</v>
      </c>
      <c r="L151" s="12" t="s">
        <v>73</v>
      </c>
      <c r="M151" s="12">
        <v>0</v>
      </c>
      <c r="N151" s="12">
        <v>7055</v>
      </c>
      <c r="O151" s="12">
        <v>8466</v>
      </c>
      <c r="P151" s="12" t="s">
        <v>73</v>
      </c>
      <c r="Q151" s="12">
        <v>0</v>
      </c>
      <c r="R151" s="12">
        <v>640</v>
      </c>
      <c r="S151" s="12">
        <v>640</v>
      </c>
      <c r="T151" s="12" t="s">
        <v>73</v>
      </c>
      <c r="U151" s="12">
        <v>0</v>
      </c>
      <c r="V151" s="12" t="s">
        <v>73</v>
      </c>
      <c r="W151" s="12">
        <v>0</v>
      </c>
      <c r="X151" s="12">
        <v>6385</v>
      </c>
      <c r="Y151" s="12">
        <v>7662</v>
      </c>
      <c r="Z151" s="12" t="s">
        <v>73</v>
      </c>
      <c r="AA151" s="12">
        <v>0</v>
      </c>
      <c r="AB151" s="12">
        <v>918</v>
      </c>
      <c r="AC151" s="12">
        <v>918</v>
      </c>
      <c r="AD151" s="12" t="s">
        <v>73</v>
      </c>
      <c r="AE151" s="12">
        <v>0</v>
      </c>
      <c r="AF151" s="12" t="s">
        <v>73</v>
      </c>
      <c r="AG151" s="12">
        <v>0</v>
      </c>
      <c r="AH151" s="12">
        <v>6400</v>
      </c>
      <c r="AI151" s="12">
        <v>7680</v>
      </c>
      <c r="AJ151" s="12" t="s">
        <v>73</v>
      </c>
      <c r="AK151" s="12">
        <v>0</v>
      </c>
      <c r="AL151" s="12">
        <v>1053</v>
      </c>
      <c r="AM151" s="12">
        <v>1053</v>
      </c>
      <c r="AN151" s="12" t="s">
        <v>73</v>
      </c>
      <c r="AO151" s="12">
        <v>0</v>
      </c>
      <c r="AP151" s="12" t="s">
        <v>73</v>
      </c>
      <c r="AQ151" s="12">
        <v>0</v>
      </c>
      <c r="AR151" s="12">
        <v>6400</v>
      </c>
      <c r="AS151" s="12">
        <v>7680</v>
      </c>
      <c r="AT151" s="12" t="s">
        <v>73</v>
      </c>
      <c r="AU151" s="12">
        <v>0</v>
      </c>
      <c r="AV151" s="12">
        <v>711</v>
      </c>
      <c r="AW151" s="12">
        <v>711</v>
      </c>
      <c r="AX151" s="12" t="s">
        <v>73</v>
      </c>
      <c r="AY151" s="12">
        <v>0</v>
      </c>
      <c r="AZ151" s="12" t="s">
        <v>73</v>
      </c>
      <c r="BA151" s="12">
        <v>0</v>
      </c>
    </row>
    <row r="152" spans="1:53" x14ac:dyDescent="0.3">
      <c r="A152" s="12" t="s">
        <v>74</v>
      </c>
      <c r="B152" s="16">
        <v>4209102</v>
      </c>
      <c r="C152" s="12" t="s">
        <v>372</v>
      </c>
      <c r="D152" s="12">
        <v>24314</v>
      </c>
      <c r="E152" s="13">
        <v>29176.799999999999</v>
      </c>
      <c r="F152" s="12" t="s">
        <v>73</v>
      </c>
      <c r="G152" s="12">
        <v>0</v>
      </c>
      <c r="H152" s="12" t="s">
        <v>73</v>
      </c>
      <c r="I152" s="12" t="s">
        <v>73</v>
      </c>
      <c r="J152" s="12" t="s">
        <v>73</v>
      </c>
      <c r="K152" s="12">
        <v>0</v>
      </c>
      <c r="L152" s="12" t="s">
        <v>73</v>
      </c>
      <c r="M152" s="12">
        <v>0</v>
      </c>
      <c r="N152" s="12">
        <v>22190</v>
      </c>
      <c r="O152" s="12">
        <v>26628</v>
      </c>
      <c r="P152" s="12" t="s">
        <v>73</v>
      </c>
      <c r="Q152" s="12">
        <v>0</v>
      </c>
      <c r="R152" s="12" t="s">
        <v>73</v>
      </c>
      <c r="S152" s="12" t="s">
        <v>73</v>
      </c>
      <c r="T152" s="12" t="s">
        <v>73</v>
      </c>
      <c r="U152" s="12">
        <v>0</v>
      </c>
      <c r="V152" s="12" t="s">
        <v>73</v>
      </c>
      <c r="W152" s="12">
        <v>0</v>
      </c>
      <c r="X152" s="12">
        <v>21951</v>
      </c>
      <c r="Y152" s="12">
        <v>26341.200000000001</v>
      </c>
      <c r="Z152" s="12" t="s">
        <v>73</v>
      </c>
      <c r="AA152" s="12">
        <v>0</v>
      </c>
      <c r="AB152" s="12" t="s">
        <v>73</v>
      </c>
      <c r="AC152" s="12" t="s">
        <v>73</v>
      </c>
      <c r="AD152" s="12" t="s">
        <v>73</v>
      </c>
      <c r="AE152" s="12">
        <v>0</v>
      </c>
      <c r="AF152" s="12" t="s">
        <v>73</v>
      </c>
      <c r="AG152" s="12">
        <v>0</v>
      </c>
      <c r="AH152" s="12">
        <v>20605</v>
      </c>
      <c r="AI152" s="12">
        <v>24726</v>
      </c>
      <c r="AJ152" s="12" t="s">
        <v>73</v>
      </c>
      <c r="AK152" s="12">
        <v>0</v>
      </c>
      <c r="AL152" s="12" t="s">
        <v>73</v>
      </c>
      <c r="AM152" s="12" t="s">
        <v>73</v>
      </c>
      <c r="AN152" s="12" t="s">
        <v>73</v>
      </c>
      <c r="AO152" s="12">
        <v>0</v>
      </c>
      <c r="AP152" s="12" t="s">
        <v>73</v>
      </c>
      <c r="AQ152" s="12">
        <v>0</v>
      </c>
      <c r="AR152" s="12">
        <v>24728</v>
      </c>
      <c r="AS152" s="12">
        <v>29673.599999999999</v>
      </c>
      <c r="AT152" s="12" t="s">
        <v>73</v>
      </c>
      <c r="AU152" s="12">
        <v>0</v>
      </c>
      <c r="AV152" s="12" t="s">
        <v>73</v>
      </c>
      <c r="AW152" s="12" t="s">
        <v>73</v>
      </c>
      <c r="AX152" s="12" t="s">
        <v>73</v>
      </c>
      <c r="AY152" s="12">
        <v>0</v>
      </c>
      <c r="AZ152" s="12" t="s">
        <v>73</v>
      </c>
      <c r="BA152" s="12">
        <v>0</v>
      </c>
    </row>
    <row r="153" spans="1:53" x14ac:dyDescent="0.3">
      <c r="A153" s="12" t="s">
        <v>74</v>
      </c>
      <c r="B153" s="16">
        <v>4210605</v>
      </c>
      <c r="C153" s="12" t="s">
        <v>374</v>
      </c>
      <c r="D153" s="12">
        <v>47016</v>
      </c>
      <c r="E153" s="13">
        <v>56419.199999999997</v>
      </c>
      <c r="F153" s="12" t="s">
        <v>73</v>
      </c>
      <c r="G153" s="12">
        <v>0</v>
      </c>
      <c r="H153" s="12">
        <v>250</v>
      </c>
      <c r="I153" s="12">
        <v>250</v>
      </c>
      <c r="J153" s="12" t="s">
        <v>73</v>
      </c>
      <c r="K153" s="12">
        <v>0</v>
      </c>
      <c r="L153" s="12" t="s">
        <v>73</v>
      </c>
      <c r="M153" s="12">
        <v>0</v>
      </c>
      <c r="N153" s="12">
        <v>47016</v>
      </c>
      <c r="O153" s="12">
        <v>56419.199999999997</v>
      </c>
      <c r="P153" s="12" t="s">
        <v>73</v>
      </c>
      <c r="Q153" s="12">
        <v>0</v>
      </c>
      <c r="R153" s="12">
        <v>180</v>
      </c>
      <c r="S153" s="12">
        <v>180</v>
      </c>
      <c r="T153" s="12" t="s">
        <v>73</v>
      </c>
      <c r="U153" s="12">
        <v>0</v>
      </c>
      <c r="V153" s="12" t="s">
        <v>73</v>
      </c>
      <c r="W153" s="12">
        <v>0</v>
      </c>
      <c r="X153" s="12">
        <v>51388</v>
      </c>
      <c r="Y153" s="12">
        <v>61665.599999999999</v>
      </c>
      <c r="Z153" s="12" t="s">
        <v>73</v>
      </c>
      <c r="AA153" s="12">
        <v>0</v>
      </c>
      <c r="AB153" s="12" t="s">
        <v>73</v>
      </c>
      <c r="AC153" s="12" t="s">
        <v>73</v>
      </c>
      <c r="AD153" s="12" t="s">
        <v>73</v>
      </c>
      <c r="AE153" s="12">
        <v>0</v>
      </c>
      <c r="AF153" s="12" t="s">
        <v>73</v>
      </c>
      <c r="AG153" s="12">
        <v>0</v>
      </c>
      <c r="AH153" s="12">
        <v>50673</v>
      </c>
      <c r="AI153" s="12">
        <v>60807.6</v>
      </c>
      <c r="AJ153" s="12" t="s">
        <v>73</v>
      </c>
      <c r="AK153" s="12">
        <v>0</v>
      </c>
      <c r="AL153" s="12">
        <v>175</v>
      </c>
      <c r="AM153" s="12">
        <v>175</v>
      </c>
      <c r="AN153" s="12" t="s">
        <v>73</v>
      </c>
      <c r="AO153" s="12">
        <v>0</v>
      </c>
      <c r="AP153" s="12" t="s">
        <v>73</v>
      </c>
      <c r="AQ153" s="12">
        <v>0</v>
      </c>
      <c r="AR153" s="12">
        <v>48233</v>
      </c>
      <c r="AS153" s="12">
        <v>57879.6</v>
      </c>
      <c r="AT153" s="12" t="s">
        <v>73</v>
      </c>
      <c r="AU153" s="12">
        <v>0</v>
      </c>
      <c r="AV153" s="12">
        <v>175</v>
      </c>
      <c r="AW153" s="12">
        <v>175</v>
      </c>
      <c r="AX153" s="12" t="s">
        <v>73</v>
      </c>
      <c r="AY153" s="12">
        <v>0</v>
      </c>
      <c r="AZ153" s="12" t="s">
        <v>73</v>
      </c>
      <c r="BA153" s="12">
        <v>0</v>
      </c>
    </row>
    <row r="154" spans="1:53" x14ac:dyDescent="0.3">
      <c r="A154" s="12" t="s">
        <v>74</v>
      </c>
      <c r="B154" s="16">
        <v>4216206</v>
      </c>
      <c r="C154" s="12" t="s">
        <v>376</v>
      </c>
      <c r="D154" s="12">
        <v>156</v>
      </c>
      <c r="E154" s="13">
        <v>187.2</v>
      </c>
      <c r="F154" s="12" t="s">
        <v>73</v>
      </c>
      <c r="G154" s="12">
        <v>0</v>
      </c>
      <c r="H154" s="12" t="s">
        <v>73</v>
      </c>
      <c r="I154" s="12" t="s">
        <v>73</v>
      </c>
      <c r="J154" s="12" t="s">
        <v>73</v>
      </c>
      <c r="K154" s="12">
        <v>0</v>
      </c>
      <c r="L154" s="12" t="s">
        <v>73</v>
      </c>
      <c r="M154" s="12">
        <v>0</v>
      </c>
      <c r="N154" s="12">
        <v>106</v>
      </c>
      <c r="O154" s="12">
        <v>127.19999999999999</v>
      </c>
      <c r="P154" s="12" t="s">
        <v>73</v>
      </c>
      <c r="Q154" s="12">
        <v>0</v>
      </c>
      <c r="R154" s="12" t="s">
        <v>73</v>
      </c>
      <c r="S154" s="12" t="s">
        <v>73</v>
      </c>
      <c r="T154" s="12" t="s">
        <v>73</v>
      </c>
      <c r="U154" s="12">
        <v>0</v>
      </c>
      <c r="V154" s="12" t="s">
        <v>73</v>
      </c>
      <c r="W154" s="12">
        <v>0</v>
      </c>
      <c r="X154" s="12">
        <v>140</v>
      </c>
      <c r="Y154" s="12">
        <v>168</v>
      </c>
      <c r="Z154" s="12" t="s">
        <v>73</v>
      </c>
      <c r="AA154" s="12">
        <v>0</v>
      </c>
      <c r="AB154" s="12" t="s">
        <v>73</v>
      </c>
      <c r="AC154" s="12" t="s">
        <v>73</v>
      </c>
      <c r="AD154" s="12" t="s">
        <v>73</v>
      </c>
      <c r="AE154" s="12">
        <v>0</v>
      </c>
      <c r="AF154" s="12" t="s">
        <v>73</v>
      </c>
      <c r="AG154" s="12">
        <v>0</v>
      </c>
      <c r="AH154" s="12">
        <v>144</v>
      </c>
      <c r="AI154" s="12">
        <v>172.79999999999998</v>
      </c>
      <c r="AJ154" s="12" t="s">
        <v>73</v>
      </c>
      <c r="AK154" s="12">
        <v>0</v>
      </c>
      <c r="AL154" s="12" t="s">
        <v>73</v>
      </c>
      <c r="AM154" s="12" t="s">
        <v>73</v>
      </c>
      <c r="AN154" s="12" t="s">
        <v>73</v>
      </c>
      <c r="AO154" s="12">
        <v>0</v>
      </c>
      <c r="AP154" s="12" t="s">
        <v>73</v>
      </c>
      <c r="AQ154" s="12">
        <v>0</v>
      </c>
      <c r="AR154" s="12">
        <v>273</v>
      </c>
      <c r="AS154" s="12">
        <v>327.59999999999997</v>
      </c>
      <c r="AT154" s="12" t="s">
        <v>73</v>
      </c>
      <c r="AU154" s="12">
        <v>0</v>
      </c>
      <c r="AV154" s="12" t="s">
        <v>73</v>
      </c>
      <c r="AW154" s="12" t="s">
        <v>73</v>
      </c>
      <c r="AX154" s="12" t="s">
        <v>73</v>
      </c>
      <c r="AY154" s="12">
        <v>0</v>
      </c>
      <c r="AZ154" s="12" t="s">
        <v>73</v>
      </c>
      <c r="BA154" s="12">
        <v>0</v>
      </c>
    </row>
    <row r="155" spans="1:53" x14ac:dyDescent="0.3">
      <c r="A155" s="12" t="s">
        <v>74</v>
      </c>
      <c r="B155" s="16">
        <v>4217402</v>
      </c>
      <c r="C155" s="12" t="s">
        <v>378</v>
      </c>
      <c r="D155" s="12">
        <v>1680</v>
      </c>
      <c r="E155" s="13">
        <v>2016</v>
      </c>
      <c r="F155" s="12" t="s">
        <v>73</v>
      </c>
      <c r="G155" s="12">
        <v>0</v>
      </c>
      <c r="H155" s="12">
        <v>240</v>
      </c>
      <c r="I155" s="12">
        <v>240</v>
      </c>
      <c r="J155" s="12" t="s">
        <v>73</v>
      </c>
      <c r="K155" s="12">
        <v>0</v>
      </c>
      <c r="L155" s="12" t="s">
        <v>73</v>
      </c>
      <c r="M155" s="12">
        <v>0</v>
      </c>
      <c r="N155" s="12">
        <v>1680</v>
      </c>
      <c r="O155" s="12">
        <v>2016</v>
      </c>
      <c r="P155" s="12" t="s">
        <v>73</v>
      </c>
      <c r="Q155" s="12">
        <v>0</v>
      </c>
      <c r="R155" s="12">
        <v>200</v>
      </c>
      <c r="S155" s="12">
        <v>200</v>
      </c>
      <c r="T155" s="12" t="s">
        <v>73</v>
      </c>
      <c r="U155" s="12">
        <v>0</v>
      </c>
      <c r="V155" s="12" t="s">
        <v>73</v>
      </c>
      <c r="W155" s="12">
        <v>0</v>
      </c>
      <c r="X155" s="12">
        <v>1994</v>
      </c>
      <c r="Y155" s="12">
        <v>2392.7999999999997</v>
      </c>
      <c r="Z155" s="12" t="s">
        <v>73</v>
      </c>
      <c r="AA155" s="12">
        <v>0</v>
      </c>
      <c r="AB155" s="12">
        <v>372</v>
      </c>
      <c r="AC155" s="12">
        <v>372</v>
      </c>
      <c r="AD155" s="12" t="s">
        <v>73</v>
      </c>
      <c r="AE155" s="12">
        <v>0</v>
      </c>
      <c r="AF155" s="12" t="s">
        <v>73</v>
      </c>
      <c r="AG155" s="12">
        <v>0</v>
      </c>
      <c r="AH155" s="12">
        <v>1930</v>
      </c>
      <c r="AI155" s="12">
        <v>2316</v>
      </c>
      <c r="AJ155" s="12" t="s">
        <v>73</v>
      </c>
      <c r="AK155" s="12">
        <v>0</v>
      </c>
      <c r="AL155" s="12">
        <v>693</v>
      </c>
      <c r="AM155" s="12">
        <v>693</v>
      </c>
      <c r="AN155" s="12" t="s">
        <v>73</v>
      </c>
      <c r="AO155" s="12">
        <v>0</v>
      </c>
      <c r="AP155" s="12" t="s">
        <v>73</v>
      </c>
      <c r="AQ155" s="12">
        <v>0</v>
      </c>
      <c r="AR155" s="12">
        <v>1894</v>
      </c>
      <c r="AS155" s="12">
        <v>2272.7999999999997</v>
      </c>
      <c r="AT155" s="12" t="s">
        <v>73</v>
      </c>
      <c r="AU155" s="12">
        <v>0</v>
      </c>
      <c r="AV155" s="12">
        <v>518</v>
      </c>
      <c r="AW155" s="12">
        <v>518</v>
      </c>
      <c r="AX155" s="12" t="s">
        <v>73</v>
      </c>
      <c r="AY155" s="12">
        <v>0</v>
      </c>
      <c r="AZ155" s="12" t="s">
        <v>73</v>
      </c>
      <c r="BA155" s="12">
        <v>0</v>
      </c>
    </row>
    <row r="156" spans="1:53" x14ac:dyDescent="0.3">
      <c r="A156" s="12" t="s">
        <v>67</v>
      </c>
      <c r="B156" s="16">
        <v>4203</v>
      </c>
      <c r="C156" s="12" t="s">
        <v>380</v>
      </c>
      <c r="D156" s="12">
        <v>14</v>
      </c>
      <c r="E156" s="13">
        <v>16.8</v>
      </c>
      <c r="F156" s="12">
        <v>20531</v>
      </c>
      <c r="G156" s="12">
        <v>10881.43</v>
      </c>
      <c r="H156" s="12">
        <v>383220</v>
      </c>
      <c r="I156" s="12">
        <v>383220</v>
      </c>
      <c r="J156" s="12">
        <v>439609</v>
      </c>
      <c r="K156" s="12">
        <v>659413.5</v>
      </c>
      <c r="L156" s="12">
        <v>24541</v>
      </c>
      <c r="M156" s="12">
        <v>31903.3</v>
      </c>
      <c r="N156" s="12">
        <v>18</v>
      </c>
      <c r="O156" s="12">
        <v>21.599999999999998</v>
      </c>
      <c r="P156" s="12">
        <v>26905</v>
      </c>
      <c r="Q156" s="12">
        <v>14259.650000000001</v>
      </c>
      <c r="R156" s="12">
        <v>489217</v>
      </c>
      <c r="S156" s="12">
        <v>489217</v>
      </c>
      <c r="T156" s="12">
        <v>633796</v>
      </c>
      <c r="U156" s="12">
        <v>950694</v>
      </c>
      <c r="V156" s="12">
        <v>59348</v>
      </c>
      <c r="W156" s="12">
        <v>77152.400000000009</v>
      </c>
      <c r="X156" s="12">
        <v>15</v>
      </c>
      <c r="Y156" s="12">
        <v>18</v>
      </c>
      <c r="Z156" s="12">
        <v>17276</v>
      </c>
      <c r="AA156" s="12">
        <v>9156.2800000000007</v>
      </c>
      <c r="AB156" s="12">
        <v>369874</v>
      </c>
      <c r="AC156" s="12">
        <v>369874</v>
      </c>
      <c r="AD156" s="12">
        <v>601797</v>
      </c>
      <c r="AE156" s="12">
        <v>902695.5</v>
      </c>
      <c r="AF156" s="12">
        <v>108141</v>
      </c>
      <c r="AG156" s="12">
        <v>140583.30000000002</v>
      </c>
      <c r="AH156" s="12">
        <v>12</v>
      </c>
      <c r="AI156" s="12">
        <v>14.399999999999999</v>
      </c>
      <c r="AJ156" s="12">
        <v>19373</v>
      </c>
      <c r="AK156" s="12">
        <v>10267.69</v>
      </c>
      <c r="AL156" s="12">
        <v>460727</v>
      </c>
      <c r="AM156" s="12">
        <v>460727</v>
      </c>
      <c r="AN156" s="12">
        <v>749609</v>
      </c>
      <c r="AO156" s="12">
        <v>1124413.5</v>
      </c>
      <c r="AP156" s="12">
        <v>54169</v>
      </c>
      <c r="AQ156" s="12">
        <v>70419.7</v>
      </c>
      <c r="AR156" s="12">
        <v>11</v>
      </c>
      <c r="AS156" s="12">
        <v>13.2</v>
      </c>
      <c r="AT156" s="12">
        <v>16155</v>
      </c>
      <c r="AU156" s="12">
        <v>8562.15</v>
      </c>
      <c r="AV156" s="12">
        <v>290390</v>
      </c>
      <c r="AW156" s="12">
        <v>290390</v>
      </c>
      <c r="AX156" s="12">
        <v>665810</v>
      </c>
      <c r="AY156" s="12">
        <v>998715</v>
      </c>
      <c r="AZ156" s="12">
        <v>86566</v>
      </c>
      <c r="BA156" s="12">
        <v>112535.8</v>
      </c>
    </row>
    <row r="157" spans="1:53" x14ac:dyDescent="0.3">
      <c r="A157" s="12" t="s">
        <v>70</v>
      </c>
      <c r="B157" s="16">
        <v>42009</v>
      </c>
      <c r="C157" s="12" t="s">
        <v>382</v>
      </c>
      <c r="D157" s="12" t="s">
        <v>73</v>
      </c>
      <c r="E157" s="13">
        <v>0</v>
      </c>
      <c r="F157" s="12">
        <v>10071</v>
      </c>
      <c r="G157" s="12">
        <v>5337.63</v>
      </c>
      <c r="H157" s="12">
        <v>220608</v>
      </c>
      <c r="I157" s="12">
        <v>220608</v>
      </c>
      <c r="J157" s="12">
        <v>298480</v>
      </c>
      <c r="K157" s="12">
        <v>447720</v>
      </c>
      <c r="L157" s="12">
        <v>21913</v>
      </c>
      <c r="M157" s="12">
        <v>28486.9</v>
      </c>
      <c r="N157" s="12" t="s">
        <v>73</v>
      </c>
      <c r="O157" s="12">
        <v>0</v>
      </c>
      <c r="P157" s="12">
        <v>10680</v>
      </c>
      <c r="Q157" s="12">
        <v>5660.4000000000005</v>
      </c>
      <c r="R157" s="12">
        <v>232225</v>
      </c>
      <c r="S157" s="12">
        <v>232225</v>
      </c>
      <c r="T157" s="12">
        <v>376336</v>
      </c>
      <c r="U157" s="12">
        <v>564504</v>
      </c>
      <c r="V157" s="12">
        <v>56000</v>
      </c>
      <c r="W157" s="12">
        <v>72800</v>
      </c>
      <c r="X157" s="12" t="s">
        <v>73</v>
      </c>
      <c r="Y157" s="12">
        <v>0</v>
      </c>
      <c r="Z157" s="12">
        <v>7352</v>
      </c>
      <c r="AA157" s="12">
        <v>3896.5600000000004</v>
      </c>
      <c r="AB157" s="12">
        <v>220260</v>
      </c>
      <c r="AC157" s="12">
        <v>220260</v>
      </c>
      <c r="AD157" s="12">
        <v>414976</v>
      </c>
      <c r="AE157" s="12">
        <v>622464</v>
      </c>
      <c r="AF157" s="12">
        <v>84761</v>
      </c>
      <c r="AG157" s="12">
        <v>110189.3</v>
      </c>
      <c r="AH157" s="12" t="s">
        <v>73</v>
      </c>
      <c r="AI157" s="12">
        <v>0</v>
      </c>
      <c r="AJ157" s="12">
        <v>7259</v>
      </c>
      <c r="AK157" s="12">
        <v>3847.27</v>
      </c>
      <c r="AL157" s="12">
        <v>226337</v>
      </c>
      <c r="AM157" s="12">
        <v>226337</v>
      </c>
      <c r="AN157" s="12">
        <v>421829</v>
      </c>
      <c r="AO157" s="12">
        <v>632743.5</v>
      </c>
      <c r="AP157" s="12">
        <v>42205</v>
      </c>
      <c r="AQ157" s="12">
        <v>54866.5</v>
      </c>
      <c r="AR157" s="12" t="s">
        <v>73</v>
      </c>
      <c r="AS157" s="12">
        <v>0</v>
      </c>
      <c r="AT157" s="12">
        <v>5696</v>
      </c>
      <c r="AU157" s="12">
        <v>3018.88</v>
      </c>
      <c r="AV157" s="12">
        <v>174647</v>
      </c>
      <c r="AW157" s="12">
        <v>174647</v>
      </c>
      <c r="AX157" s="12">
        <v>432930</v>
      </c>
      <c r="AY157" s="12">
        <v>649395</v>
      </c>
      <c r="AZ157" s="12">
        <v>73402</v>
      </c>
      <c r="BA157" s="12">
        <v>95422.6</v>
      </c>
    </row>
    <row r="158" spans="1:53" x14ac:dyDescent="0.3">
      <c r="A158" s="12" t="s">
        <v>74</v>
      </c>
      <c r="B158" s="16">
        <v>4200051</v>
      </c>
      <c r="C158" s="12" t="s">
        <v>384</v>
      </c>
      <c r="D158" s="12" t="s">
        <v>73</v>
      </c>
      <c r="E158" s="13">
        <v>0</v>
      </c>
      <c r="F158" s="12">
        <v>55</v>
      </c>
      <c r="G158" s="12">
        <v>29.150000000000002</v>
      </c>
      <c r="H158" s="12">
        <v>4680</v>
      </c>
      <c r="I158" s="12">
        <v>4680</v>
      </c>
      <c r="J158" s="12">
        <v>3360</v>
      </c>
      <c r="K158" s="12">
        <v>5040</v>
      </c>
      <c r="L158" s="12" t="s">
        <v>73</v>
      </c>
      <c r="M158" s="12">
        <v>0</v>
      </c>
      <c r="N158" s="12" t="s">
        <v>73</v>
      </c>
      <c r="O158" s="12">
        <v>0</v>
      </c>
      <c r="P158" s="12">
        <v>76</v>
      </c>
      <c r="Q158" s="12">
        <v>40.28</v>
      </c>
      <c r="R158" s="12">
        <v>5850</v>
      </c>
      <c r="S158" s="12">
        <v>5850</v>
      </c>
      <c r="T158" s="12">
        <v>6120</v>
      </c>
      <c r="U158" s="12">
        <v>9180</v>
      </c>
      <c r="V158" s="12" t="s">
        <v>73</v>
      </c>
      <c r="W158" s="12">
        <v>0</v>
      </c>
      <c r="X158" s="12" t="s">
        <v>73</v>
      </c>
      <c r="Y158" s="12">
        <v>0</v>
      </c>
      <c r="Z158" s="12">
        <v>243</v>
      </c>
      <c r="AA158" s="12">
        <v>128.79000000000002</v>
      </c>
      <c r="AB158" s="12">
        <v>17000</v>
      </c>
      <c r="AC158" s="12">
        <v>17000</v>
      </c>
      <c r="AD158" s="12">
        <v>11600</v>
      </c>
      <c r="AE158" s="12">
        <v>17400</v>
      </c>
      <c r="AF158" s="12">
        <v>360</v>
      </c>
      <c r="AG158" s="12">
        <v>468</v>
      </c>
      <c r="AH158" s="12" t="s">
        <v>73</v>
      </c>
      <c r="AI158" s="12">
        <v>0</v>
      </c>
      <c r="AJ158" s="12">
        <v>118</v>
      </c>
      <c r="AK158" s="12">
        <v>62.540000000000006</v>
      </c>
      <c r="AL158" s="12">
        <v>17160</v>
      </c>
      <c r="AM158" s="12">
        <v>17160</v>
      </c>
      <c r="AN158" s="12">
        <v>12500</v>
      </c>
      <c r="AO158" s="12">
        <v>18750</v>
      </c>
      <c r="AP158" s="12">
        <v>180</v>
      </c>
      <c r="AQ158" s="12">
        <v>234</v>
      </c>
      <c r="AR158" s="12" t="s">
        <v>73</v>
      </c>
      <c r="AS158" s="12">
        <v>0</v>
      </c>
      <c r="AT158" s="12">
        <v>180</v>
      </c>
      <c r="AU158" s="12">
        <v>95.4</v>
      </c>
      <c r="AV158" s="12">
        <v>14840</v>
      </c>
      <c r="AW158" s="12">
        <v>14840</v>
      </c>
      <c r="AX158" s="12">
        <v>11500</v>
      </c>
      <c r="AY158" s="12">
        <v>17250</v>
      </c>
      <c r="AZ158" s="12">
        <v>402</v>
      </c>
      <c r="BA158" s="12">
        <v>522.6</v>
      </c>
    </row>
    <row r="159" spans="1:53" x14ac:dyDescent="0.3">
      <c r="A159" s="12" t="s">
        <v>74</v>
      </c>
      <c r="B159" s="16">
        <v>4202875</v>
      </c>
      <c r="C159" s="12" t="s">
        <v>386</v>
      </c>
      <c r="D159" s="12" t="s">
        <v>73</v>
      </c>
      <c r="E159" s="13">
        <v>0</v>
      </c>
      <c r="F159" s="12">
        <v>710</v>
      </c>
      <c r="G159" s="12">
        <v>376.3</v>
      </c>
      <c r="H159" s="12">
        <v>13914</v>
      </c>
      <c r="I159" s="12">
        <v>13914</v>
      </c>
      <c r="J159" s="12">
        <v>20750</v>
      </c>
      <c r="K159" s="12">
        <v>31125</v>
      </c>
      <c r="L159" s="12">
        <v>405</v>
      </c>
      <c r="M159" s="12">
        <v>526.5</v>
      </c>
      <c r="N159" s="12" t="s">
        <v>73</v>
      </c>
      <c r="O159" s="12">
        <v>0</v>
      </c>
      <c r="P159" s="12">
        <v>735</v>
      </c>
      <c r="Q159" s="12">
        <v>389.55</v>
      </c>
      <c r="R159" s="12">
        <v>18480</v>
      </c>
      <c r="S159" s="12">
        <v>18480</v>
      </c>
      <c r="T159" s="12">
        <v>29050</v>
      </c>
      <c r="U159" s="12">
        <v>43575</v>
      </c>
      <c r="V159" s="12">
        <v>405</v>
      </c>
      <c r="W159" s="12">
        <v>526.5</v>
      </c>
      <c r="X159" s="12" t="s">
        <v>73</v>
      </c>
      <c r="Y159" s="12">
        <v>0</v>
      </c>
      <c r="Z159" s="12">
        <v>323</v>
      </c>
      <c r="AA159" s="12">
        <v>171.19</v>
      </c>
      <c r="AB159" s="12">
        <v>11400</v>
      </c>
      <c r="AC159" s="12">
        <v>11400</v>
      </c>
      <c r="AD159" s="12">
        <v>16650</v>
      </c>
      <c r="AE159" s="12">
        <v>24975</v>
      </c>
      <c r="AF159" s="12">
        <v>405</v>
      </c>
      <c r="AG159" s="12">
        <v>526.5</v>
      </c>
      <c r="AH159" s="12" t="s">
        <v>73</v>
      </c>
      <c r="AI159" s="12">
        <v>0</v>
      </c>
      <c r="AJ159" s="12">
        <v>817</v>
      </c>
      <c r="AK159" s="12">
        <v>433.01000000000005</v>
      </c>
      <c r="AL159" s="12">
        <v>17798</v>
      </c>
      <c r="AM159" s="12">
        <v>17798</v>
      </c>
      <c r="AN159" s="12">
        <v>26560</v>
      </c>
      <c r="AO159" s="12">
        <v>39840</v>
      </c>
      <c r="AP159" s="12">
        <v>405</v>
      </c>
      <c r="AQ159" s="12">
        <v>526.5</v>
      </c>
      <c r="AR159" s="12" t="s">
        <v>73</v>
      </c>
      <c r="AS159" s="12">
        <v>0</v>
      </c>
      <c r="AT159" s="12">
        <v>234</v>
      </c>
      <c r="AU159" s="12">
        <v>124.02000000000001</v>
      </c>
      <c r="AV159" s="12">
        <v>16731</v>
      </c>
      <c r="AW159" s="12">
        <v>16731</v>
      </c>
      <c r="AX159" s="12">
        <v>31567</v>
      </c>
      <c r="AY159" s="12">
        <v>47350.5</v>
      </c>
      <c r="AZ159" s="12">
        <v>405</v>
      </c>
      <c r="BA159" s="12">
        <v>526.5</v>
      </c>
    </row>
    <row r="160" spans="1:53" x14ac:dyDescent="0.3">
      <c r="A160" s="12" t="s">
        <v>74</v>
      </c>
      <c r="B160" s="16">
        <v>4203600</v>
      </c>
      <c r="C160" s="12" t="s">
        <v>388</v>
      </c>
      <c r="D160" s="12" t="s">
        <v>73</v>
      </c>
      <c r="E160" s="13">
        <v>0</v>
      </c>
      <c r="F160" s="12">
        <v>4800</v>
      </c>
      <c r="G160" s="12">
        <v>2544</v>
      </c>
      <c r="H160" s="12">
        <v>138684</v>
      </c>
      <c r="I160" s="12">
        <v>138684</v>
      </c>
      <c r="J160" s="12">
        <v>179820</v>
      </c>
      <c r="K160" s="12">
        <v>269730</v>
      </c>
      <c r="L160" s="12">
        <v>19200</v>
      </c>
      <c r="M160" s="12">
        <v>24960</v>
      </c>
      <c r="N160" s="12" t="s">
        <v>73</v>
      </c>
      <c r="O160" s="12">
        <v>0</v>
      </c>
      <c r="P160" s="12">
        <v>5400</v>
      </c>
      <c r="Q160" s="12">
        <v>2862</v>
      </c>
      <c r="R160" s="12">
        <v>125730</v>
      </c>
      <c r="S160" s="12">
        <v>125730</v>
      </c>
      <c r="T160" s="12">
        <v>222300</v>
      </c>
      <c r="U160" s="12">
        <v>333450</v>
      </c>
      <c r="V160" s="12">
        <v>48300</v>
      </c>
      <c r="W160" s="12">
        <v>62790</v>
      </c>
      <c r="X160" s="12" t="s">
        <v>73</v>
      </c>
      <c r="Y160" s="12">
        <v>0</v>
      </c>
      <c r="Z160" s="12">
        <v>2100</v>
      </c>
      <c r="AA160" s="12">
        <v>1113</v>
      </c>
      <c r="AB160" s="12">
        <v>130000</v>
      </c>
      <c r="AC160" s="12">
        <v>130000</v>
      </c>
      <c r="AD160" s="12">
        <v>260000</v>
      </c>
      <c r="AE160" s="12">
        <v>390000</v>
      </c>
      <c r="AF160" s="12">
        <v>60000</v>
      </c>
      <c r="AG160" s="12">
        <v>78000</v>
      </c>
      <c r="AH160" s="12" t="s">
        <v>73</v>
      </c>
      <c r="AI160" s="12">
        <v>0</v>
      </c>
      <c r="AJ160" s="12">
        <v>1440</v>
      </c>
      <c r="AK160" s="12">
        <v>763.2</v>
      </c>
      <c r="AL160" s="12">
        <v>113500</v>
      </c>
      <c r="AM160" s="12">
        <v>113500</v>
      </c>
      <c r="AN160" s="12">
        <v>256632</v>
      </c>
      <c r="AO160" s="12">
        <v>384948</v>
      </c>
      <c r="AP160" s="12">
        <v>31320</v>
      </c>
      <c r="AQ160" s="12">
        <v>40716</v>
      </c>
      <c r="AR160" s="12" t="s">
        <v>73</v>
      </c>
      <c r="AS160" s="12">
        <v>0</v>
      </c>
      <c r="AT160" s="12">
        <v>2455</v>
      </c>
      <c r="AU160" s="12">
        <v>1301.1500000000001</v>
      </c>
      <c r="AV160" s="12">
        <v>77000</v>
      </c>
      <c r="AW160" s="12">
        <v>77000</v>
      </c>
      <c r="AX160" s="12">
        <v>236800</v>
      </c>
      <c r="AY160" s="12">
        <v>355200</v>
      </c>
      <c r="AZ160" s="12">
        <v>59640</v>
      </c>
      <c r="BA160" s="12">
        <v>77532</v>
      </c>
    </row>
    <row r="161" spans="1:53" x14ac:dyDescent="0.3">
      <c r="A161" s="12" t="s">
        <v>74</v>
      </c>
      <c r="B161" s="16">
        <v>4204806</v>
      </c>
      <c r="C161" s="12" t="s">
        <v>390</v>
      </c>
      <c r="D161" s="12" t="s">
        <v>73</v>
      </c>
      <c r="E161" s="13">
        <v>0</v>
      </c>
      <c r="F161" s="12">
        <v>2520</v>
      </c>
      <c r="G161" s="12">
        <v>1335.6000000000001</v>
      </c>
      <c r="H161" s="12">
        <v>17400</v>
      </c>
      <c r="I161" s="12">
        <v>17400</v>
      </c>
      <c r="J161" s="12">
        <v>37500</v>
      </c>
      <c r="K161" s="12">
        <v>56250</v>
      </c>
      <c r="L161" s="12">
        <v>250</v>
      </c>
      <c r="M161" s="12">
        <v>325</v>
      </c>
      <c r="N161" s="12" t="s">
        <v>73</v>
      </c>
      <c r="O161" s="12">
        <v>0</v>
      </c>
      <c r="P161" s="12">
        <v>2700</v>
      </c>
      <c r="Q161" s="12">
        <v>1431</v>
      </c>
      <c r="R161" s="12">
        <v>24940</v>
      </c>
      <c r="S161" s="12">
        <v>24940</v>
      </c>
      <c r="T161" s="12">
        <v>49500</v>
      </c>
      <c r="U161" s="12">
        <v>74250</v>
      </c>
      <c r="V161" s="12">
        <v>250</v>
      </c>
      <c r="W161" s="12">
        <v>325</v>
      </c>
      <c r="X161" s="12" t="s">
        <v>73</v>
      </c>
      <c r="Y161" s="12">
        <v>0</v>
      </c>
      <c r="Z161" s="12">
        <v>3150</v>
      </c>
      <c r="AA161" s="12">
        <v>1669.5</v>
      </c>
      <c r="AB161" s="12">
        <v>18000</v>
      </c>
      <c r="AC161" s="12">
        <v>18000</v>
      </c>
      <c r="AD161" s="12">
        <v>49600</v>
      </c>
      <c r="AE161" s="12">
        <v>74400</v>
      </c>
      <c r="AF161" s="12">
        <v>420</v>
      </c>
      <c r="AG161" s="12">
        <v>546</v>
      </c>
      <c r="AH161" s="12" t="s">
        <v>73</v>
      </c>
      <c r="AI161" s="12">
        <v>0</v>
      </c>
      <c r="AJ161" s="12">
        <v>2981</v>
      </c>
      <c r="AK161" s="12">
        <v>1579.93</v>
      </c>
      <c r="AL161" s="12">
        <v>22814</v>
      </c>
      <c r="AM161" s="12">
        <v>22814</v>
      </c>
      <c r="AN161" s="12">
        <v>46995</v>
      </c>
      <c r="AO161" s="12">
        <v>70492.5</v>
      </c>
      <c r="AP161" s="12">
        <v>120</v>
      </c>
      <c r="AQ161" s="12">
        <v>156</v>
      </c>
      <c r="AR161" s="12" t="s">
        <v>73</v>
      </c>
      <c r="AS161" s="12">
        <v>0</v>
      </c>
      <c r="AT161" s="12">
        <v>1690</v>
      </c>
      <c r="AU161" s="12">
        <v>895.7</v>
      </c>
      <c r="AV161" s="12">
        <v>21718</v>
      </c>
      <c r="AW161" s="12">
        <v>21718</v>
      </c>
      <c r="AX161" s="12">
        <v>69408</v>
      </c>
      <c r="AY161" s="12">
        <v>104112</v>
      </c>
      <c r="AZ161" s="12">
        <v>250</v>
      </c>
      <c r="BA161" s="12">
        <v>325</v>
      </c>
    </row>
    <row r="162" spans="1:53" x14ac:dyDescent="0.3">
      <c r="A162" s="12" t="s">
        <v>74</v>
      </c>
      <c r="B162" s="16">
        <v>4205555</v>
      </c>
      <c r="C162" s="12" t="s">
        <v>392</v>
      </c>
      <c r="D162" s="12" t="s">
        <v>73</v>
      </c>
      <c r="E162" s="13">
        <v>0</v>
      </c>
      <c r="F162" s="12">
        <v>1275</v>
      </c>
      <c r="G162" s="12">
        <v>675.75</v>
      </c>
      <c r="H162" s="12">
        <v>11900</v>
      </c>
      <c r="I162" s="12">
        <v>11900</v>
      </c>
      <c r="J162" s="12">
        <v>8750</v>
      </c>
      <c r="K162" s="12">
        <v>13125</v>
      </c>
      <c r="L162" s="12">
        <v>120</v>
      </c>
      <c r="M162" s="12">
        <v>156</v>
      </c>
      <c r="N162" s="12" t="s">
        <v>73</v>
      </c>
      <c r="O162" s="12">
        <v>0</v>
      </c>
      <c r="P162" s="12">
        <v>1275</v>
      </c>
      <c r="Q162" s="12">
        <v>675.75</v>
      </c>
      <c r="R162" s="12">
        <v>15980</v>
      </c>
      <c r="S162" s="12">
        <v>15980</v>
      </c>
      <c r="T162" s="12">
        <v>11200</v>
      </c>
      <c r="U162" s="12">
        <v>16800</v>
      </c>
      <c r="V162" s="12">
        <v>120</v>
      </c>
      <c r="W162" s="12">
        <v>156</v>
      </c>
      <c r="X162" s="12" t="s">
        <v>73</v>
      </c>
      <c r="Y162" s="12">
        <v>0</v>
      </c>
      <c r="Z162" s="12">
        <v>900</v>
      </c>
      <c r="AA162" s="12">
        <v>477</v>
      </c>
      <c r="AB162" s="12">
        <v>11520</v>
      </c>
      <c r="AC162" s="12">
        <v>11520</v>
      </c>
      <c r="AD162" s="12">
        <v>9300</v>
      </c>
      <c r="AE162" s="12">
        <v>13950</v>
      </c>
      <c r="AF162" s="12">
        <v>396</v>
      </c>
      <c r="AG162" s="12">
        <v>514.80000000000007</v>
      </c>
      <c r="AH162" s="12" t="s">
        <v>73</v>
      </c>
      <c r="AI162" s="12">
        <v>0</v>
      </c>
      <c r="AJ162" s="12">
        <v>1360</v>
      </c>
      <c r="AK162" s="12">
        <v>720.80000000000007</v>
      </c>
      <c r="AL162" s="12">
        <v>15414</v>
      </c>
      <c r="AM162" s="12">
        <v>15414</v>
      </c>
      <c r="AN162" s="12">
        <v>10150</v>
      </c>
      <c r="AO162" s="12">
        <v>15225</v>
      </c>
      <c r="AP162" s="12">
        <v>60</v>
      </c>
      <c r="AQ162" s="12">
        <v>78</v>
      </c>
      <c r="AR162" s="12" t="s">
        <v>73</v>
      </c>
      <c r="AS162" s="12">
        <v>0</v>
      </c>
      <c r="AT162" s="12">
        <v>605</v>
      </c>
      <c r="AU162" s="12">
        <v>320.65000000000003</v>
      </c>
      <c r="AV162" s="12">
        <v>14545</v>
      </c>
      <c r="AW162" s="12">
        <v>14545</v>
      </c>
      <c r="AX162" s="12">
        <v>13452</v>
      </c>
      <c r="AY162" s="12">
        <v>20178</v>
      </c>
      <c r="AZ162" s="12">
        <v>300</v>
      </c>
      <c r="BA162" s="12">
        <v>390</v>
      </c>
    </row>
    <row r="163" spans="1:53" x14ac:dyDescent="0.3">
      <c r="A163" s="12" t="s">
        <v>74</v>
      </c>
      <c r="B163" s="16">
        <v>4211058</v>
      </c>
      <c r="C163" s="12" t="s">
        <v>394</v>
      </c>
      <c r="D163" s="12" t="s">
        <v>73</v>
      </c>
      <c r="E163" s="13">
        <v>0</v>
      </c>
      <c r="F163" s="12">
        <v>168</v>
      </c>
      <c r="G163" s="12">
        <v>89.04</v>
      </c>
      <c r="H163" s="12">
        <v>9900</v>
      </c>
      <c r="I163" s="12">
        <v>9900</v>
      </c>
      <c r="J163" s="12">
        <v>5670</v>
      </c>
      <c r="K163" s="12">
        <v>8505</v>
      </c>
      <c r="L163" s="12">
        <v>78</v>
      </c>
      <c r="M163" s="12">
        <v>101.4</v>
      </c>
      <c r="N163" s="12" t="s">
        <v>73</v>
      </c>
      <c r="O163" s="12">
        <v>0</v>
      </c>
      <c r="P163" s="12">
        <v>54</v>
      </c>
      <c r="Q163" s="12">
        <v>28.62</v>
      </c>
      <c r="R163" s="12">
        <v>10640</v>
      </c>
      <c r="S163" s="12">
        <v>10640</v>
      </c>
      <c r="T163" s="12">
        <v>7636</v>
      </c>
      <c r="U163" s="12">
        <v>11454</v>
      </c>
      <c r="V163" s="12">
        <v>205</v>
      </c>
      <c r="W163" s="12">
        <v>266.5</v>
      </c>
      <c r="X163" s="12" t="s">
        <v>73</v>
      </c>
      <c r="Y163" s="12">
        <v>0</v>
      </c>
      <c r="Z163" s="12">
        <v>180</v>
      </c>
      <c r="AA163" s="12">
        <v>95.4</v>
      </c>
      <c r="AB163" s="12">
        <v>9600</v>
      </c>
      <c r="AC163" s="12">
        <v>9600</v>
      </c>
      <c r="AD163" s="12">
        <v>5000</v>
      </c>
      <c r="AE163" s="12">
        <v>7500</v>
      </c>
      <c r="AF163" s="12">
        <v>1300</v>
      </c>
      <c r="AG163" s="12">
        <v>1690</v>
      </c>
      <c r="AH163" s="12" t="s">
        <v>73</v>
      </c>
      <c r="AI163" s="12">
        <v>0</v>
      </c>
      <c r="AJ163" s="12">
        <v>180</v>
      </c>
      <c r="AK163" s="12">
        <v>95.4</v>
      </c>
      <c r="AL163" s="12">
        <v>9000</v>
      </c>
      <c r="AM163" s="12">
        <v>9000</v>
      </c>
      <c r="AN163" s="12">
        <v>5700</v>
      </c>
      <c r="AO163" s="12">
        <v>8550</v>
      </c>
      <c r="AP163" s="12">
        <v>840</v>
      </c>
      <c r="AQ163" s="12">
        <v>1092</v>
      </c>
      <c r="AR163" s="12" t="s">
        <v>73</v>
      </c>
      <c r="AS163" s="12">
        <v>0</v>
      </c>
      <c r="AT163" s="12">
        <v>126</v>
      </c>
      <c r="AU163" s="12">
        <v>66.78</v>
      </c>
      <c r="AV163" s="12">
        <v>5265</v>
      </c>
      <c r="AW163" s="12">
        <v>5265</v>
      </c>
      <c r="AX163" s="12">
        <v>6000</v>
      </c>
      <c r="AY163" s="12">
        <v>9000</v>
      </c>
      <c r="AZ163" s="12">
        <v>1050</v>
      </c>
      <c r="BA163" s="12">
        <v>1365</v>
      </c>
    </row>
    <row r="164" spans="1:53" x14ac:dyDescent="0.3">
      <c r="A164" s="12" t="s">
        <v>74</v>
      </c>
      <c r="B164" s="16">
        <v>4213302</v>
      </c>
      <c r="C164" s="12" t="s">
        <v>396</v>
      </c>
      <c r="D164" s="12" t="s">
        <v>73</v>
      </c>
      <c r="E164" s="13">
        <v>0</v>
      </c>
      <c r="F164" s="12">
        <v>172</v>
      </c>
      <c r="G164" s="12">
        <v>91.160000000000011</v>
      </c>
      <c r="H164" s="12">
        <v>5500</v>
      </c>
      <c r="I164" s="12">
        <v>5500</v>
      </c>
      <c r="J164" s="12">
        <v>7500</v>
      </c>
      <c r="K164" s="12">
        <v>11250</v>
      </c>
      <c r="L164" s="12" t="s">
        <v>73</v>
      </c>
      <c r="M164" s="12">
        <v>0</v>
      </c>
      <c r="N164" s="12" t="s">
        <v>73</v>
      </c>
      <c r="O164" s="12">
        <v>0</v>
      </c>
      <c r="P164" s="12">
        <v>177</v>
      </c>
      <c r="Q164" s="12">
        <v>93.81</v>
      </c>
      <c r="R164" s="12">
        <v>7480</v>
      </c>
      <c r="S164" s="12">
        <v>7480</v>
      </c>
      <c r="T164" s="12">
        <v>10200</v>
      </c>
      <c r="U164" s="12">
        <v>15300</v>
      </c>
      <c r="V164" s="12" t="s">
        <v>73</v>
      </c>
      <c r="W164" s="12">
        <v>0</v>
      </c>
      <c r="X164" s="12" t="s">
        <v>73</v>
      </c>
      <c r="Y164" s="12">
        <v>0</v>
      </c>
      <c r="Z164" s="12">
        <v>162</v>
      </c>
      <c r="AA164" s="12">
        <v>85.86</v>
      </c>
      <c r="AB164" s="12">
        <v>5400</v>
      </c>
      <c r="AC164" s="12">
        <v>5400</v>
      </c>
      <c r="AD164" s="12">
        <v>9000</v>
      </c>
      <c r="AE164" s="12">
        <v>13500</v>
      </c>
      <c r="AF164" s="12" t="s">
        <v>73</v>
      </c>
      <c r="AG164" s="12">
        <v>0</v>
      </c>
      <c r="AH164" s="12" t="s">
        <v>73</v>
      </c>
      <c r="AI164" s="12">
        <v>0</v>
      </c>
      <c r="AJ164" s="12">
        <v>179</v>
      </c>
      <c r="AK164" s="12">
        <v>94.87</v>
      </c>
      <c r="AL164" s="12">
        <v>7334</v>
      </c>
      <c r="AM164" s="12">
        <v>7334</v>
      </c>
      <c r="AN164" s="12">
        <v>9501</v>
      </c>
      <c r="AO164" s="12">
        <v>14251.5</v>
      </c>
      <c r="AP164" s="12" t="s">
        <v>73</v>
      </c>
      <c r="AQ164" s="12">
        <v>0</v>
      </c>
      <c r="AR164" s="12" t="s">
        <v>73</v>
      </c>
      <c r="AS164" s="12">
        <v>0</v>
      </c>
      <c r="AT164" s="12">
        <v>176</v>
      </c>
      <c r="AU164" s="12">
        <v>93.28</v>
      </c>
      <c r="AV164" s="12">
        <v>6918</v>
      </c>
      <c r="AW164" s="12">
        <v>6918</v>
      </c>
      <c r="AX164" s="12">
        <v>11322</v>
      </c>
      <c r="AY164" s="12">
        <v>16983</v>
      </c>
      <c r="AZ164" s="12" t="s">
        <v>73</v>
      </c>
      <c r="BA164" s="12">
        <v>0</v>
      </c>
    </row>
    <row r="165" spans="1:53" x14ac:dyDescent="0.3">
      <c r="A165" s="12" t="s">
        <v>74</v>
      </c>
      <c r="B165" s="16">
        <v>4213351</v>
      </c>
      <c r="C165" s="12" t="s">
        <v>398</v>
      </c>
      <c r="D165" s="12" t="s">
        <v>73</v>
      </c>
      <c r="E165" s="13">
        <v>0</v>
      </c>
      <c r="F165" s="12" t="s">
        <v>73</v>
      </c>
      <c r="G165" s="12">
        <v>0</v>
      </c>
      <c r="H165" s="12">
        <v>850</v>
      </c>
      <c r="I165" s="12">
        <v>850</v>
      </c>
      <c r="J165" s="12">
        <v>1875</v>
      </c>
      <c r="K165" s="12">
        <v>2812.5</v>
      </c>
      <c r="L165" s="12" t="s">
        <v>73</v>
      </c>
      <c r="M165" s="12">
        <v>0</v>
      </c>
      <c r="N165" s="12" t="s">
        <v>73</v>
      </c>
      <c r="O165" s="12">
        <v>0</v>
      </c>
      <c r="P165" s="12" t="s">
        <v>73</v>
      </c>
      <c r="Q165" s="12">
        <v>0</v>
      </c>
      <c r="R165" s="12">
        <v>1020</v>
      </c>
      <c r="S165" s="12">
        <v>1020</v>
      </c>
      <c r="T165" s="12">
        <v>2550</v>
      </c>
      <c r="U165" s="12">
        <v>3825</v>
      </c>
      <c r="V165" s="12" t="s">
        <v>73</v>
      </c>
      <c r="W165" s="12">
        <v>0</v>
      </c>
      <c r="X165" s="12" t="s">
        <v>73</v>
      </c>
      <c r="Y165" s="12">
        <v>0</v>
      </c>
      <c r="Z165" s="12" t="s">
        <v>73</v>
      </c>
      <c r="AA165" s="12">
        <v>0</v>
      </c>
      <c r="AB165" s="12">
        <v>480</v>
      </c>
      <c r="AC165" s="12">
        <v>480</v>
      </c>
      <c r="AD165" s="12">
        <v>2166</v>
      </c>
      <c r="AE165" s="12">
        <v>3249</v>
      </c>
      <c r="AF165" s="12" t="s">
        <v>73</v>
      </c>
      <c r="AG165" s="12">
        <v>0</v>
      </c>
      <c r="AH165" s="12" t="s">
        <v>73</v>
      </c>
      <c r="AI165" s="12">
        <v>0</v>
      </c>
      <c r="AJ165" s="12" t="s">
        <v>73</v>
      </c>
      <c r="AK165" s="12">
        <v>0</v>
      </c>
      <c r="AL165" s="12">
        <v>1020</v>
      </c>
      <c r="AM165" s="12">
        <v>1020</v>
      </c>
      <c r="AN165" s="12">
        <v>2375</v>
      </c>
      <c r="AO165" s="12">
        <v>3562.5</v>
      </c>
      <c r="AP165" s="12" t="s">
        <v>73</v>
      </c>
      <c r="AQ165" s="12">
        <v>0</v>
      </c>
      <c r="AR165" s="12" t="s">
        <v>73</v>
      </c>
      <c r="AS165" s="12">
        <v>0</v>
      </c>
      <c r="AT165" s="12" t="s">
        <v>73</v>
      </c>
      <c r="AU165" s="12">
        <v>0</v>
      </c>
      <c r="AV165" s="12">
        <v>1020</v>
      </c>
      <c r="AW165" s="12">
        <v>1020</v>
      </c>
      <c r="AX165" s="12">
        <v>1529</v>
      </c>
      <c r="AY165" s="12">
        <v>2293.5</v>
      </c>
      <c r="AZ165" s="12" t="s">
        <v>73</v>
      </c>
      <c r="BA165" s="12">
        <v>0</v>
      </c>
    </row>
    <row r="166" spans="1:53" x14ac:dyDescent="0.3">
      <c r="A166" s="12" t="s">
        <v>74</v>
      </c>
      <c r="B166" s="16">
        <v>4215505</v>
      </c>
      <c r="C166" s="12" t="s">
        <v>400</v>
      </c>
      <c r="D166" s="12" t="s">
        <v>73</v>
      </c>
      <c r="E166" s="13">
        <v>0</v>
      </c>
      <c r="F166" s="12">
        <v>40</v>
      </c>
      <c r="G166" s="12">
        <v>21.200000000000003</v>
      </c>
      <c r="H166" s="12">
        <v>924</v>
      </c>
      <c r="I166" s="12">
        <v>924</v>
      </c>
      <c r="J166" s="12">
        <v>10696</v>
      </c>
      <c r="K166" s="12">
        <v>16044</v>
      </c>
      <c r="L166" s="12" t="s">
        <v>73</v>
      </c>
      <c r="M166" s="12">
        <v>0</v>
      </c>
      <c r="N166" s="12" t="s">
        <v>73</v>
      </c>
      <c r="O166" s="12">
        <v>0</v>
      </c>
      <c r="P166" s="12">
        <v>30</v>
      </c>
      <c r="Q166" s="12">
        <v>15.9</v>
      </c>
      <c r="R166" s="12">
        <v>924</v>
      </c>
      <c r="S166" s="12">
        <v>924</v>
      </c>
      <c r="T166" s="12">
        <v>8839</v>
      </c>
      <c r="U166" s="12">
        <v>13258.5</v>
      </c>
      <c r="V166" s="12" t="s">
        <v>73</v>
      </c>
      <c r="W166" s="12">
        <v>0</v>
      </c>
      <c r="X166" s="12" t="s">
        <v>73</v>
      </c>
      <c r="Y166" s="12">
        <v>0</v>
      </c>
      <c r="Z166" s="12">
        <v>30</v>
      </c>
      <c r="AA166" s="12">
        <v>15.9</v>
      </c>
      <c r="AB166" s="12">
        <v>660</v>
      </c>
      <c r="AC166" s="12">
        <v>660</v>
      </c>
      <c r="AD166" s="12">
        <v>9600</v>
      </c>
      <c r="AE166" s="12">
        <v>14400</v>
      </c>
      <c r="AF166" s="12">
        <v>2800</v>
      </c>
      <c r="AG166" s="12">
        <v>3640</v>
      </c>
      <c r="AH166" s="12" t="s">
        <v>73</v>
      </c>
      <c r="AI166" s="12">
        <v>0</v>
      </c>
      <c r="AJ166" s="12">
        <v>37</v>
      </c>
      <c r="AK166" s="12">
        <v>19.61</v>
      </c>
      <c r="AL166" s="12">
        <v>924</v>
      </c>
      <c r="AM166" s="12">
        <v>924</v>
      </c>
      <c r="AN166" s="12">
        <v>8889</v>
      </c>
      <c r="AO166" s="12">
        <v>13333.5</v>
      </c>
      <c r="AP166" s="12" t="s">
        <v>73</v>
      </c>
      <c r="AQ166" s="12">
        <v>0</v>
      </c>
      <c r="AR166" s="12" t="s">
        <v>73</v>
      </c>
      <c r="AS166" s="12">
        <v>0</v>
      </c>
      <c r="AT166" s="12">
        <v>36</v>
      </c>
      <c r="AU166" s="12">
        <v>19.080000000000002</v>
      </c>
      <c r="AV166" s="12">
        <v>924</v>
      </c>
      <c r="AW166" s="12">
        <v>924</v>
      </c>
      <c r="AX166" s="12">
        <v>9202</v>
      </c>
      <c r="AY166" s="12">
        <v>13803</v>
      </c>
      <c r="AZ166" s="12">
        <v>450</v>
      </c>
      <c r="BA166" s="12">
        <v>585</v>
      </c>
    </row>
    <row r="167" spans="1:53" x14ac:dyDescent="0.3">
      <c r="A167" s="12" t="s">
        <v>74</v>
      </c>
      <c r="B167" s="16">
        <v>4216057</v>
      </c>
      <c r="C167" s="12" t="s">
        <v>402</v>
      </c>
      <c r="D167" s="12" t="s">
        <v>73</v>
      </c>
      <c r="E167" s="13">
        <v>0</v>
      </c>
      <c r="F167" s="12">
        <v>30</v>
      </c>
      <c r="G167" s="12">
        <v>15.9</v>
      </c>
      <c r="H167" s="12">
        <v>1456</v>
      </c>
      <c r="I167" s="12">
        <v>1456</v>
      </c>
      <c r="J167" s="12">
        <v>563</v>
      </c>
      <c r="K167" s="12">
        <v>844.5</v>
      </c>
      <c r="L167" s="12" t="s">
        <v>73</v>
      </c>
      <c r="M167" s="12">
        <v>0</v>
      </c>
      <c r="N167" s="12" t="s">
        <v>73</v>
      </c>
      <c r="O167" s="12">
        <v>0</v>
      </c>
      <c r="P167" s="12">
        <v>30</v>
      </c>
      <c r="Q167" s="12">
        <v>15.9</v>
      </c>
      <c r="R167" s="12">
        <v>1381</v>
      </c>
      <c r="S167" s="12">
        <v>1381</v>
      </c>
      <c r="T167" s="12">
        <v>765</v>
      </c>
      <c r="U167" s="12">
        <v>1147.5</v>
      </c>
      <c r="V167" s="12" t="s">
        <v>73</v>
      </c>
      <c r="W167" s="12">
        <v>0</v>
      </c>
      <c r="X167" s="12" t="s">
        <v>73</v>
      </c>
      <c r="Y167" s="12">
        <v>0</v>
      </c>
      <c r="Z167" s="12">
        <v>30</v>
      </c>
      <c r="AA167" s="12">
        <v>15.9</v>
      </c>
      <c r="AB167" s="12">
        <v>180</v>
      </c>
      <c r="AC167" s="12">
        <v>180</v>
      </c>
      <c r="AD167" s="12">
        <v>1080</v>
      </c>
      <c r="AE167" s="12">
        <v>1620</v>
      </c>
      <c r="AF167" s="12" t="s">
        <v>73</v>
      </c>
      <c r="AG167" s="12">
        <v>0</v>
      </c>
      <c r="AH167" s="12" t="s">
        <v>73</v>
      </c>
      <c r="AI167" s="12">
        <v>0</v>
      </c>
      <c r="AJ167" s="12">
        <v>30</v>
      </c>
      <c r="AK167" s="12">
        <v>15.9</v>
      </c>
      <c r="AL167" s="12">
        <v>1373</v>
      </c>
      <c r="AM167" s="12">
        <v>1373</v>
      </c>
      <c r="AN167" s="12">
        <v>713</v>
      </c>
      <c r="AO167" s="12">
        <v>1069.5</v>
      </c>
      <c r="AP167" s="12" t="s">
        <v>73</v>
      </c>
      <c r="AQ167" s="12">
        <v>0</v>
      </c>
      <c r="AR167" s="12" t="s">
        <v>73</v>
      </c>
      <c r="AS167" s="12">
        <v>0</v>
      </c>
      <c r="AT167" s="12">
        <v>30</v>
      </c>
      <c r="AU167" s="12">
        <v>15.9</v>
      </c>
      <c r="AV167" s="12">
        <v>1366</v>
      </c>
      <c r="AW167" s="12">
        <v>1366</v>
      </c>
      <c r="AX167" s="12">
        <v>2520</v>
      </c>
      <c r="AY167" s="12">
        <v>3780</v>
      </c>
      <c r="AZ167" s="12">
        <v>75</v>
      </c>
      <c r="BA167" s="12">
        <v>97.5</v>
      </c>
    </row>
    <row r="168" spans="1:53" x14ac:dyDescent="0.3">
      <c r="A168" s="12" t="s">
        <v>74</v>
      </c>
      <c r="B168" s="16">
        <v>4219150</v>
      </c>
      <c r="C168" s="12" t="s">
        <v>404</v>
      </c>
      <c r="D168" s="12" t="s">
        <v>73</v>
      </c>
      <c r="E168" s="13">
        <v>0</v>
      </c>
      <c r="F168" s="12">
        <v>237</v>
      </c>
      <c r="G168" s="12">
        <v>125.61</v>
      </c>
      <c r="H168" s="12">
        <v>8320</v>
      </c>
      <c r="I168" s="12">
        <v>8320</v>
      </c>
      <c r="J168" s="12">
        <v>8640</v>
      </c>
      <c r="K168" s="12">
        <v>12960</v>
      </c>
      <c r="L168" s="12" t="s">
        <v>73</v>
      </c>
      <c r="M168" s="12">
        <v>0</v>
      </c>
      <c r="N168" s="12" t="s">
        <v>73</v>
      </c>
      <c r="O168" s="12">
        <v>0</v>
      </c>
      <c r="P168" s="12">
        <v>146</v>
      </c>
      <c r="Q168" s="12">
        <v>77.38000000000001</v>
      </c>
      <c r="R168" s="12">
        <v>10800</v>
      </c>
      <c r="S168" s="12">
        <v>10800</v>
      </c>
      <c r="T168" s="12">
        <v>10368</v>
      </c>
      <c r="U168" s="12">
        <v>15552</v>
      </c>
      <c r="V168" s="12" t="s">
        <v>73</v>
      </c>
      <c r="W168" s="12">
        <v>0</v>
      </c>
      <c r="X168" s="12" t="s">
        <v>73</v>
      </c>
      <c r="Y168" s="12">
        <v>0</v>
      </c>
      <c r="Z168" s="12">
        <v>180</v>
      </c>
      <c r="AA168" s="12">
        <v>95.4</v>
      </c>
      <c r="AB168" s="12">
        <v>9000</v>
      </c>
      <c r="AC168" s="12">
        <v>9000</v>
      </c>
      <c r="AD168" s="12">
        <v>10880</v>
      </c>
      <c r="AE168" s="12">
        <v>16320</v>
      </c>
      <c r="AF168" s="12">
        <v>2280</v>
      </c>
      <c r="AG168" s="12">
        <v>2964</v>
      </c>
      <c r="AH168" s="12" t="s">
        <v>73</v>
      </c>
      <c r="AI168" s="12">
        <v>0</v>
      </c>
      <c r="AJ168" s="12">
        <v>72</v>
      </c>
      <c r="AK168" s="12">
        <v>38.160000000000004</v>
      </c>
      <c r="AL168" s="12">
        <v>14500</v>
      </c>
      <c r="AM168" s="12">
        <v>14500</v>
      </c>
      <c r="AN168" s="12">
        <v>13500</v>
      </c>
      <c r="AO168" s="12">
        <v>20250</v>
      </c>
      <c r="AP168" s="12">
        <v>1240</v>
      </c>
      <c r="AQ168" s="12">
        <v>1612</v>
      </c>
      <c r="AR168" s="12" t="s">
        <v>73</v>
      </c>
      <c r="AS168" s="12">
        <v>0</v>
      </c>
      <c r="AT168" s="12">
        <v>110</v>
      </c>
      <c r="AU168" s="12">
        <v>58.300000000000004</v>
      </c>
      <c r="AV168" s="12">
        <v>10000</v>
      </c>
      <c r="AW168" s="12">
        <v>10000</v>
      </c>
      <c r="AX168" s="12">
        <v>12630</v>
      </c>
      <c r="AY168" s="12">
        <v>18945</v>
      </c>
      <c r="AZ168" s="12">
        <v>1170</v>
      </c>
      <c r="BA168" s="12">
        <v>1521</v>
      </c>
    </row>
    <row r="169" spans="1:53" x14ac:dyDescent="0.3">
      <c r="A169" s="12" t="s">
        <v>74</v>
      </c>
      <c r="B169" s="16">
        <v>4219853</v>
      </c>
      <c r="C169" s="12" t="s">
        <v>406</v>
      </c>
      <c r="D169" s="12" t="s">
        <v>73</v>
      </c>
      <c r="E169" s="13">
        <v>0</v>
      </c>
      <c r="F169" s="12">
        <v>64</v>
      </c>
      <c r="G169" s="12">
        <v>33.92</v>
      </c>
      <c r="H169" s="12">
        <v>7080</v>
      </c>
      <c r="I169" s="12">
        <v>7080</v>
      </c>
      <c r="J169" s="12">
        <v>13356</v>
      </c>
      <c r="K169" s="12">
        <v>20034</v>
      </c>
      <c r="L169" s="12">
        <v>1860</v>
      </c>
      <c r="M169" s="12">
        <v>2418</v>
      </c>
      <c r="N169" s="12" t="s">
        <v>73</v>
      </c>
      <c r="O169" s="12">
        <v>0</v>
      </c>
      <c r="P169" s="12">
        <v>57</v>
      </c>
      <c r="Q169" s="12">
        <v>30.21</v>
      </c>
      <c r="R169" s="12">
        <v>9000</v>
      </c>
      <c r="S169" s="12">
        <v>9000</v>
      </c>
      <c r="T169" s="12">
        <v>17808</v>
      </c>
      <c r="U169" s="12">
        <v>26712</v>
      </c>
      <c r="V169" s="12">
        <v>6720</v>
      </c>
      <c r="W169" s="12">
        <v>8736</v>
      </c>
      <c r="X169" s="12" t="s">
        <v>73</v>
      </c>
      <c r="Y169" s="12">
        <v>0</v>
      </c>
      <c r="Z169" s="12">
        <v>54</v>
      </c>
      <c r="AA169" s="12">
        <v>28.62</v>
      </c>
      <c r="AB169" s="12">
        <v>7020</v>
      </c>
      <c r="AC169" s="12">
        <v>7020</v>
      </c>
      <c r="AD169" s="12">
        <v>30100</v>
      </c>
      <c r="AE169" s="12">
        <v>45150</v>
      </c>
      <c r="AF169" s="12">
        <v>16800</v>
      </c>
      <c r="AG169" s="12">
        <v>21840</v>
      </c>
      <c r="AH169" s="12" t="s">
        <v>73</v>
      </c>
      <c r="AI169" s="12">
        <v>0</v>
      </c>
      <c r="AJ169" s="12">
        <v>45</v>
      </c>
      <c r="AK169" s="12">
        <v>23.85</v>
      </c>
      <c r="AL169" s="12">
        <v>5500</v>
      </c>
      <c r="AM169" s="12">
        <v>5500</v>
      </c>
      <c r="AN169" s="12">
        <v>28314</v>
      </c>
      <c r="AO169" s="12">
        <v>42471</v>
      </c>
      <c r="AP169" s="12">
        <v>8040</v>
      </c>
      <c r="AQ169" s="12">
        <v>10452</v>
      </c>
      <c r="AR169" s="12" t="s">
        <v>73</v>
      </c>
      <c r="AS169" s="12">
        <v>0</v>
      </c>
      <c r="AT169" s="12">
        <v>54</v>
      </c>
      <c r="AU169" s="12">
        <v>28.62</v>
      </c>
      <c r="AV169" s="12">
        <v>4320</v>
      </c>
      <c r="AW169" s="12">
        <v>4320</v>
      </c>
      <c r="AX169" s="12">
        <v>27000</v>
      </c>
      <c r="AY169" s="12">
        <v>40500</v>
      </c>
      <c r="AZ169" s="12">
        <v>9660</v>
      </c>
      <c r="BA169" s="12">
        <v>12558</v>
      </c>
    </row>
    <row r="170" spans="1:53" x14ac:dyDescent="0.3">
      <c r="A170" s="12" t="s">
        <v>70</v>
      </c>
      <c r="B170" s="16">
        <v>42010</v>
      </c>
      <c r="C170" s="12" t="s">
        <v>408</v>
      </c>
      <c r="D170" s="12">
        <v>14</v>
      </c>
      <c r="E170" s="13">
        <v>16.8</v>
      </c>
      <c r="F170" s="12">
        <v>10460</v>
      </c>
      <c r="G170" s="12">
        <v>5543.8</v>
      </c>
      <c r="H170" s="12">
        <v>162612</v>
      </c>
      <c r="I170" s="12">
        <v>162612</v>
      </c>
      <c r="J170" s="12">
        <v>141129</v>
      </c>
      <c r="K170" s="12">
        <v>211693.5</v>
      </c>
      <c r="L170" s="12">
        <v>2628</v>
      </c>
      <c r="M170" s="12">
        <v>3416.4</v>
      </c>
      <c r="N170" s="12">
        <v>18</v>
      </c>
      <c r="O170" s="12">
        <v>21.599999999999998</v>
      </c>
      <c r="P170" s="12">
        <v>16225</v>
      </c>
      <c r="Q170" s="12">
        <v>8599.25</v>
      </c>
      <c r="R170" s="12">
        <v>256992</v>
      </c>
      <c r="S170" s="12">
        <v>256992</v>
      </c>
      <c r="T170" s="12">
        <v>257460</v>
      </c>
      <c r="U170" s="12">
        <v>386190</v>
      </c>
      <c r="V170" s="12">
        <v>3348</v>
      </c>
      <c r="W170" s="12">
        <v>4352.4000000000005</v>
      </c>
      <c r="X170" s="12">
        <v>15</v>
      </c>
      <c r="Y170" s="12">
        <v>18</v>
      </c>
      <c r="Z170" s="12">
        <v>9924</v>
      </c>
      <c r="AA170" s="12">
        <v>5259.72</v>
      </c>
      <c r="AB170" s="12">
        <v>149614</v>
      </c>
      <c r="AC170" s="12">
        <v>149614</v>
      </c>
      <c r="AD170" s="12">
        <v>186821</v>
      </c>
      <c r="AE170" s="12">
        <v>280231.5</v>
      </c>
      <c r="AF170" s="12">
        <v>23380</v>
      </c>
      <c r="AG170" s="12">
        <v>30394</v>
      </c>
      <c r="AH170" s="12">
        <v>12</v>
      </c>
      <c r="AI170" s="12">
        <v>14.399999999999999</v>
      </c>
      <c r="AJ170" s="12">
        <v>12114</v>
      </c>
      <c r="AK170" s="12">
        <v>6420.42</v>
      </c>
      <c r="AL170" s="12">
        <v>234390</v>
      </c>
      <c r="AM170" s="12">
        <v>234390</v>
      </c>
      <c r="AN170" s="12">
        <v>327780</v>
      </c>
      <c r="AO170" s="12">
        <v>491670</v>
      </c>
      <c r="AP170" s="12">
        <v>11964</v>
      </c>
      <c r="AQ170" s="12">
        <v>15553.2</v>
      </c>
      <c r="AR170" s="12">
        <v>11</v>
      </c>
      <c r="AS170" s="12">
        <v>13.2</v>
      </c>
      <c r="AT170" s="12">
        <v>10459</v>
      </c>
      <c r="AU170" s="12">
        <v>5543.27</v>
      </c>
      <c r="AV170" s="12">
        <v>115743</v>
      </c>
      <c r="AW170" s="12">
        <v>115743</v>
      </c>
      <c r="AX170" s="12">
        <v>232880</v>
      </c>
      <c r="AY170" s="12">
        <v>349320</v>
      </c>
      <c r="AZ170" s="12">
        <v>13164</v>
      </c>
      <c r="BA170" s="12">
        <v>17113.2</v>
      </c>
    </row>
    <row r="171" spans="1:53" x14ac:dyDescent="0.3">
      <c r="A171" s="12" t="s">
        <v>74</v>
      </c>
      <c r="B171" s="16">
        <v>4201000</v>
      </c>
      <c r="C171" s="12" t="s">
        <v>410</v>
      </c>
      <c r="D171" s="12" t="s">
        <v>73</v>
      </c>
      <c r="E171" s="13">
        <v>0</v>
      </c>
      <c r="F171" s="12">
        <v>600</v>
      </c>
      <c r="G171" s="12">
        <v>318</v>
      </c>
      <c r="H171" s="12">
        <v>11280</v>
      </c>
      <c r="I171" s="12">
        <v>11280</v>
      </c>
      <c r="J171" s="12">
        <v>5775</v>
      </c>
      <c r="K171" s="12">
        <v>8662.5</v>
      </c>
      <c r="L171" s="12" t="s">
        <v>73</v>
      </c>
      <c r="M171" s="12">
        <v>0</v>
      </c>
      <c r="N171" s="12" t="s">
        <v>73</v>
      </c>
      <c r="O171" s="12">
        <v>0</v>
      </c>
      <c r="P171" s="12">
        <v>840</v>
      </c>
      <c r="Q171" s="12">
        <v>445.20000000000005</v>
      </c>
      <c r="R171" s="12">
        <v>15840</v>
      </c>
      <c r="S171" s="12">
        <v>15840</v>
      </c>
      <c r="T171" s="12">
        <v>10800</v>
      </c>
      <c r="U171" s="12">
        <v>16200</v>
      </c>
      <c r="V171" s="12" t="s">
        <v>73</v>
      </c>
      <c r="W171" s="12">
        <v>0</v>
      </c>
      <c r="X171" s="12" t="s">
        <v>73</v>
      </c>
      <c r="Y171" s="12">
        <v>0</v>
      </c>
      <c r="Z171" s="12">
        <v>720</v>
      </c>
      <c r="AA171" s="12">
        <v>381.6</v>
      </c>
      <c r="AB171" s="12">
        <v>7200</v>
      </c>
      <c r="AC171" s="12">
        <v>7200</v>
      </c>
      <c r="AD171" s="12">
        <v>8160</v>
      </c>
      <c r="AE171" s="12">
        <v>12240</v>
      </c>
      <c r="AF171" s="12">
        <v>120</v>
      </c>
      <c r="AG171" s="12">
        <v>156</v>
      </c>
      <c r="AH171" s="12" t="s">
        <v>73</v>
      </c>
      <c r="AI171" s="12">
        <v>0</v>
      </c>
      <c r="AJ171" s="12">
        <v>720</v>
      </c>
      <c r="AK171" s="12">
        <v>381.6</v>
      </c>
      <c r="AL171" s="12">
        <v>14400</v>
      </c>
      <c r="AM171" s="12">
        <v>14400</v>
      </c>
      <c r="AN171" s="12">
        <v>12240</v>
      </c>
      <c r="AO171" s="12">
        <v>18360</v>
      </c>
      <c r="AP171" s="12">
        <v>180</v>
      </c>
      <c r="AQ171" s="12">
        <v>234</v>
      </c>
      <c r="AR171" s="12" t="s">
        <v>73</v>
      </c>
      <c r="AS171" s="12">
        <v>0</v>
      </c>
      <c r="AT171" s="12">
        <v>864</v>
      </c>
      <c r="AU171" s="12">
        <v>457.92</v>
      </c>
      <c r="AV171" s="12">
        <v>7200</v>
      </c>
      <c r="AW171" s="12">
        <v>7200</v>
      </c>
      <c r="AX171" s="12">
        <v>8820</v>
      </c>
      <c r="AY171" s="12">
        <v>13230</v>
      </c>
      <c r="AZ171" s="12">
        <v>768</v>
      </c>
      <c r="BA171" s="12">
        <v>998.40000000000009</v>
      </c>
    </row>
    <row r="172" spans="1:53" x14ac:dyDescent="0.3">
      <c r="A172" s="12" t="s">
        <v>74</v>
      </c>
      <c r="B172" s="16">
        <v>4202438</v>
      </c>
      <c r="C172" s="12" t="s">
        <v>412</v>
      </c>
      <c r="D172" s="12" t="s">
        <v>73</v>
      </c>
      <c r="E172" s="13">
        <v>0</v>
      </c>
      <c r="F172" s="12">
        <v>420</v>
      </c>
      <c r="G172" s="12">
        <v>222.60000000000002</v>
      </c>
      <c r="H172" s="12">
        <v>7800</v>
      </c>
      <c r="I172" s="12">
        <v>7800</v>
      </c>
      <c r="J172" s="12">
        <v>4290</v>
      </c>
      <c r="K172" s="12">
        <v>6435</v>
      </c>
      <c r="L172" s="12" t="s">
        <v>73</v>
      </c>
      <c r="M172" s="12">
        <v>0</v>
      </c>
      <c r="N172" s="12" t="s">
        <v>73</v>
      </c>
      <c r="O172" s="12">
        <v>0</v>
      </c>
      <c r="P172" s="12">
        <v>480</v>
      </c>
      <c r="Q172" s="12">
        <v>254.4</v>
      </c>
      <c r="R172" s="12">
        <v>6000</v>
      </c>
      <c r="S172" s="12">
        <v>6000</v>
      </c>
      <c r="T172" s="12">
        <v>5400</v>
      </c>
      <c r="U172" s="12">
        <v>8100</v>
      </c>
      <c r="V172" s="12" t="s">
        <v>73</v>
      </c>
      <c r="W172" s="12">
        <v>0</v>
      </c>
      <c r="X172" s="12" t="s">
        <v>73</v>
      </c>
      <c r="Y172" s="12">
        <v>0</v>
      </c>
      <c r="Z172" s="12">
        <v>360</v>
      </c>
      <c r="AA172" s="12">
        <v>190.8</v>
      </c>
      <c r="AB172" s="12">
        <v>5760</v>
      </c>
      <c r="AC172" s="12">
        <v>5760</v>
      </c>
      <c r="AD172" s="12">
        <v>5760</v>
      </c>
      <c r="AE172" s="12">
        <v>8640</v>
      </c>
      <c r="AF172" s="12">
        <v>240</v>
      </c>
      <c r="AG172" s="12">
        <v>312</v>
      </c>
      <c r="AH172" s="12" t="s">
        <v>73</v>
      </c>
      <c r="AI172" s="12">
        <v>0</v>
      </c>
      <c r="AJ172" s="12">
        <v>540</v>
      </c>
      <c r="AK172" s="12">
        <v>286.2</v>
      </c>
      <c r="AL172" s="12">
        <v>2880</v>
      </c>
      <c r="AM172" s="12">
        <v>2880</v>
      </c>
      <c r="AN172" s="12">
        <v>6720</v>
      </c>
      <c r="AO172" s="12">
        <v>10080</v>
      </c>
      <c r="AP172" s="12">
        <v>150</v>
      </c>
      <c r="AQ172" s="12">
        <v>195</v>
      </c>
      <c r="AR172" s="12" t="s">
        <v>73</v>
      </c>
      <c r="AS172" s="12">
        <v>0</v>
      </c>
      <c r="AT172" s="12">
        <v>630</v>
      </c>
      <c r="AU172" s="12">
        <v>333.90000000000003</v>
      </c>
      <c r="AV172" s="12">
        <v>1920</v>
      </c>
      <c r="AW172" s="12">
        <v>1920</v>
      </c>
      <c r="AX172" s="12">
        <v>5760</v>
      </c>
      <c r="AY172" s="12">
        <v>8640</v>
      </c>
      <c r="AZ172" s="12">
        <v>360</v>
      </c>
      <c r="BA172" s="12">
        <v>468</v>
      </c>
    </row>
    <row r="173" spans="1:53" x14ac:dyDescent="0.3">
      <c r="A173" s="12" t="s">
        <v>74</v>
      </c>
      <c r="B173" s="16">
        <v>4202503</v>
      </c>
      <c r="C173" s="12" t="s">
        <v>414</v>
      </c>
      <c r="D173" s="12" t="s">
        <v>73</v>
      </c>
      <c r="E173" s="13">
        <v>0</v>
      </c>
      <c r="F173" s="12">
        <v>60</v>
      </c>
      <c r="G173" s="12">
        <v>31.8</v>
      </c>
      <c r="H173" s="12">
        <v>540</v>
      </c>
      <c r="I173" s="12">
        <v>540</v>
      </c>
      <c r="J173" s="12" t="s">
        <v>73</v>
      </c>
      <c r="K173" s="12">
        <v>0</v>
      </c>
      <c r="L173" s="12" t="s">
        <v>73</v>
      </c>
      <c r="M173" s="12">
        <v>0</v>
      </c>
      <c r="N173" s="12" t="s">
        <v>73</v>
      </c>
      <c r="O173" s="12">
        <v>0</v>
      </c>
      <c r="P173" s="12">
        <v>105</v>
      </c>
      <c r="Q173" s="12">
        <v>55.650000000000006</v>
      </c>
      <c r="R173" s="12">
        <v>720</v>
      </c>
      <c r="S173" s="12">
        <v>720</v>
      </c>
      <c r="T173" s="12" t="s">
        <v>73</v>
      </c>
      <c r="U173" s="12">
        <v>0</v>
      </c>
      <c r="V173" s="12" t="s">
        <v>73</v>
      </c>
      <c r="W173" s="12">
        <v>0</v>
      </c>
      <c r="X173" s="12" t="s">
        <v>73</v>
      </c>
      <c r="Y173" s="12">
        <v>0</v>
      </c>
      <c r="Z173" s="12">
        <v>116</v>
      </c>
      <c r="AA173" s="12">
        <v>61.480000000000004</v>
      </c>
      <c r="AB173" s="12">
        <v>720</v>
      </c>
      <c r="AC173" s="12">
        <v>720</v>
      </c>
      <c r="AD173" s="12" t="s">
        <v>73</v>
      </c>
      <c r="AE173" s="12">
        <v>0</v>
      </c>
      <c r="AF173" s="12" t="s">
        <v>73</v>
      </c>
      <c r="AG173" s="12">
        <v>0</v>
      </c>
      <c r="AH173" s="12" t="s">
        <v>73</v>
      </c>
      <c r="AI173" s="12">
        <v>0</v>
      </c>
      <c r="AJ173" s="12">
        <v>99</v>
      </c>
      <c r="AK173" s="12">
        <v>52.470000000000006</v>
      </c>
      <c r="AL173" s="12">
        <v>630</v>
      </c>
      <c r="AM173" s="12">
        <v>630</v>
      </c>
      <c r="AN173" s="12" t="s">
        <v>73</v>
      </c>
      <c r="AO173" s="12">
        <v>0</v>
      </c>
      <c r="AP173" s="12" t="s">
        <v>73</v>
      </c>
      <c r="AQ173" s="12">
        <v>0</v>
      </c>
      <c r="AR173" s="12" t="s">
        <v>73</v>
      </c>
      <c r="AS173" s="12">
        <v>0</v>
      </c>
      <c r="AT173" s="12">
        <v>21</v>
      </c>
      <c r="AU173" s="12">
        <v>11.13</v>
      </c>
      <c r="AV173" s="12">
        <v>315</v>
      </c>
      <c r="AW173" s="12">
        <v>315</v>
      </c>
      <c r="AX173" s="12" t="s">
        <v>73</v>
      </c>
      <c r="AY173" s="12">
        <v>0</v>
      </c>
      <c r="AZ173" s="12" t="s">
        <v>73</v>
      </c>
      <c r="BA173" s="12">
        <v>0</v>
      </c>
    </row>
    <row r="174" spans="1:53" x14ac:dyDescent="0.3">
      <c r="A174" s="12" t="s">
        <v>74</v>
      </c>
      <c r="B174" s="16">
        <v>4202602</v>
      </c>
      <c r="C174" s="12" t="s">
        <v>416</v>
      </c>
      <c r="D174" s="12" t="s">
        <v>73</v>
      </c>
      <c r="E174" s="13">
        <v>0</v>
      </c>
      <c r="F174" s="12">
        <v>360</v>
      </c>
      <c r="G174" s="12">
        <v>190.8</v>
      </c>
      <c r="H174" s="12">
        <v>9600</v>
      </c>
      <c r="I174" s="12">
        <v>9600</v>
      </c>
      <c r="J174" s="12">
        <v>20400</v>
      </c>
      <c r="K174" s="12">
        <v>30600</v>
      </c>
      <c r="L174" s="12">
        <v>360</v>
      </c>
      <c r="M174" s="12">
        <v>468</v>
      </c>
      <c r="N174" s="12" t="s">
        <v>73</v>
      </c>
      <c r="O174" s="12">
        <v>0</v>
      </c>
      <c r="P174" s="12">
        <v>480</v>
      </c>
      <c r="Q174" s="12">
        <v>254.4</v>
      </c>
      <c r="R174" s="12">
        <v>15000</v>
      </c>
      <c r="S174" s="12">
        <v>15000</v>
      </c>
      <c r="T174" s="12">
        <v>30960</v>
      </c>
      <c r="U174" s="12">
        <v>46440</v>
      </c>
      <c r="V174" s="12">
        <v>360</v>
      </c>
      <c r="W174" s="12">
        <v>468</v>
      </c>
      <c r="X174" s="12" t="s">
        <v>73</v>
      </c>
      <c r="Y174" s="12">
        <v>0</v>
      </c>
      <c r="Z174" s="12">
        <v>414</v>
      </c>
      <c r="AA174" s="12">
        <v>219.42000000000002</v>
      </c>
      <c r="AB174" s="12">
        <v>18000</v>
      </c>
      <c r="AC174" s="12">
        <v>18000</v>
      </c>
      <c r="AD174" s="12">
        <v>21600</v>
      </c>
      <c r="AE174" s="12">
        <v>32400</v>
      </c>
      <c r="AF174" s="12">
        <v>2520</v>
      </c>
      <c r="AG174" s="12">
        <v>3276</v>
      </c>
      <c r="AH174" s="12" t="s">
        <v>73</v>
      </c>
      <c r="AI174" s="12">
        <v>0</v>
      </c>
      <c r="AJ174" s="12">
        <v>489</v>
      </c>
      <c r="AK174" s="12">
        <v>259.17</v>
      </c>
      <c r="AL174" s="12">
        <v>27000</v>
      </c>
      <c r="AM174" s="12">
        <v>27000</v>
      </c>
      <c r="AN174" s="12">
        <v>33600</v>
      </c>
      <c r="AO174" s="12">
        <v>50400</v>
      </c>
      <c r="AP174" s="12">
        <v>720</v>
      </c>
      <c r="AQ174" s="12">
        <v>936</v>
      </c>
      <c r="AR174" s="12" t="s">
        <v>73</v>
      </c>
      <c r="AS174" s="12">
        <v>0</v>
      </c>
      <c r="AT174" s="12">
        <v>369</v>
      </c>
      <c r="AU174" s="12">
        <v>195.57000000000002</v>
      </c>
      <c r="AV174" s="12">
        <v>6000</v>
      </c>
      <c r="AW174" s="12">
        <v>6000</v>
      </c>
      <c r="AX174" s="12">
        <v>19460</v>
      </c>
      <c r="AY174" s="12">
        <v>29190</v>
      </c>
      <c r="AZ174" s="12">
        <v>1260</v>
      </c>
      <c r="BA174" s="12">
        <v>1638</v>
      </c>
    </row>
    <row r="175" spans="1:53" x14ac:dyDescent="0.3">
      <c r="A175" s="12" t="s">
        <v>74</v>
      </c>
      <c r="B175" s="16">
        <v>4203402</v>
      </c>
      <c r="C175" s="12" t="s">
        <v>418</v>
      </c>
      <c r="D175" s="12">
        <v>10</v>
      </c>
      <c r="E175" s="13">
        <v>12</v>
      </c>
      <c r="F175" s="12">
        <v>1820</v>
      </c>
      <c r="G175" s="12">
        <v>964.6</v>
      </c>
      <c r="H175" s="12">
        <v>24000</v>
      </c>
      <c r="I175" s="12">
        <v>24000</v>
      </c>
      <c r="J175" s="12">
        <v>21600</v>
      </c>
      <c r="K175" s="12">
        <v>32400</v>
      </c>
      <c r="L175" s="12">
        <v>1260</v>
      </c>
      <c r="M175" s="12">
        <v>1638</v>
      </c>
      <c r="N175" s="12">
        <v>12</v>
      </c>
      <c r="O175" s="12">
        <v>14.399999999999999</v>
      </c>
      <c r="P175" s="12">
        <v>3120</v>
      </c>
      <c r="Q175" s="12">
        <v>1653.6000000000001</v>
      </c>
      <c r="R175" s="12">
        <v>36000</v>
      </c>
      <c r="S175" s="12">
        <v>36000</v>
      </c>
      <c r="T175" s="12">
        <v>42780</v>
      </c>
      <c r="U175" s="12">
        <v>64170</v>
      </c>
      <c r="V175" s="12">
        <v>1260</v>
      </c>
      <c r="W175" s="12">
        <v>1638</v>
      </c>
      <c r="X175" s="12">
        <v>9</v>
      </c>
      <c r="Y175" s="12">
        <v>10.799999999999999</v>
      </c>
      <c r="Z175" s="12">
        <v>1950</v>
      </c>
      <c r="AA175" s="12">
        <v>1033.5</v>
      </c>
      <c r="AB175" s="12">
        <v>14700</v>
      </c>
      <c r="AC175" s="12">
        <v>14700</v>
      </c>
      <c r="AD175" s="12">
        <v>35100</v>
      </c>
      <c r="AE175" s="12">
        <v>52650</v>
      </c>
      <c r="AF175" s="12">
        <v>9450</v>
      </c>
      <c r="AG175" s="12">
        <v>12285</v>
      </c>
      <c r="AH175" s="12">
        <v>6</v>
      </c>
      <c r="AI175" s="12">
        <v>7.1999999999999993</v>
      </c>
      <c r="AJ175" s="12">
        <v>960</v>
      </c>
      <c r="AK175" s="12">
        <v>508.8</v>
      </c>
      <c r="AL175" s="12">
        <v>27000</v>
      </c>
      <c r="AM175" s="12">
        <v>27000</v>
      </c>
      <c r="AN175" s="12">
        <v>52080</v>
      </c>
      <c r="AO175" s="12">
        <v>78120</v>
      </c>
      <c r="AP175" s="12">
        <v>1530</v>
      </c>
      <c r="AQ175" s="12">
        <v>1989</v>
      </c>
      <c r="AR175" s="12">
        <v>6</v>
      </c>
      <c r="AS175" s="12">
        <v>7.1999999999999993</v>
      </c>
      <c r="AT175" s="12">
        <v>924</v>
      </c>
      <c r="AU175" s="12">
        <v>489.72</v>
      </c>
      <c r="AV175" s="12">
        <v>19200</v>
      </c>
      <c r="AW175" s="12">
        <v>19200</v>
      </c>
      <c r="AX175" s="12">
        <v>35520</v>
      </c>
      <c r="AY175" s="12">
        <v>53280</v>
      </c>
      <c r="AZ175" s="12">
        <v>2880</v>
      </c>
      <c r="BA175" s="12">
        <v>3744</v>
      </c>
    </row>
    <row r="176" spans="1:53" x14ac:dyDescent="0.3">
      <c r="A176" s="12" t="s">
        <v>74</v>
      </c>
      <c r="B176" s="16">
        <v>4203253</v>
      </c>
      <c r="C176" s="12" t="s">
        <v>420</v>
      </c>
      <c r="D176" s="12" t="s">
        <v>73</v>
      </c>
      <c r="E176" s="13">
        <v>0</v>
      </c>
      <c r="F176" s="12">
        <v>480</v>
      </c>
      <c r="G176" s="12">
        <v>254.4</v>
      </c>
      <c r="H176" s="12">
        <v>16200</v>
      </c>
      <c r="I176" s="12">
        <v>16200</v>
      </c>
      <c r="J176" s="12">
        <v>14040</v>
      </c>
      <c r="K176" s="12">
        <v>21060</v>
      </c>
      <c r="L176" s="12">
        <v>180</v>
      </c>
      <c r="M176" s="12">
        <v>234</v>
      </c>
      <c r="N176" s="12" t="s">
        <v>73</v>
      </c>
      <c r="O176" s="12">
        <v>0</v>
      </c>
      <c r="P176" s="12">
        <v>960</v>
      </c>
      <c r="Q176" s="12">
        <v>508.8</v>
      </c>
      <c r="R176" s="12">
        <v>26880</v>
      </c>
      <c r="S176" s="12">
        <v>26880</v>
      </c>
      <c r="T176" s="12">
        <v>23064</v>
      </c>
      <c r="U176" s="12">
        <v>34596</v>
      </c>
      <c r="V176" s="12">
        <v>540</v>
      </c>
      <c r="W176" s="12">
        <v>702</v>
      </c>
      <c r="X176" s="12" t="s">
        <v>73</v>
      </c>
      <c r="Y176" s="12">
        <v>0</v>
      </c>
      <c r="Z176" s="12">
        <v>346</v>
      </c>
      <c r="AA176" s="12">
        <v>183.38</v>
      </c>
      <c r="AB176" s="12">
        <v>9600</v>
      </c>
      <c r="AC176" s="12">
        <v>9600</v>
      </c>
      <c r="AD176" s="12">
        <v>16800</v>
      </c>
      <c r="AE176" s="12">
        <v>25200</v>
      </c>
      <c r="AF176" s="12">
        <v>2550</v>
      </c>
      <c r="AG176" s="12">
        <v>3315</v>
      </c>
      <c r="AH176" s="12" t="s">
        <v>73</v>
      </c>
      <c r="AI176" s="12">
        <v>0</v>
      </c>
      <c r="AJ176" s="12">
        <v>720</v>
      </c>
      <c r="AK176" s="12">
        <v>381.6</v>
      </c>
      <c r="AL176" s="12">
        <v>28800</v>
      </c>
      <c r="AM176" s="12">
        <v>28800</v>
      </c>
      <c r="AN176" s="12">
        <v>35100</v>
      </c>
      <c r="AO176" s="12">
        <v>52650</v>
      </c>
      <c r="AP176" s="12">
        <v>1440</v>
      </c>
      <c r="AQ176" s="12">
        <v>1872</v>
      </c>
      <c r="AR176" s="12" t="s">
        <v>73</v>
      </c>
      <c r="AS176" s="12">
        <v>0</v>
      </c>
      <c r="AT176" s="12">
        <v>360</v>
      </c>
      <c r="AU176" s="12">
        <v>190.8</v>
      </c>
      <c r="AV176" s="12">
        <v>17136</v>
      </c>
      <c r="AW176" s="12">
        <v>17136</v>
      </c>
      <c r="AX176" s="12">
        <v>23760</v>
      </c>
      <c r="AY176" s="12">
        <v>35640</v>
      </c>
      <c r="AZ176" s="12">
        <v>2520</v>
      </c>
      <c r="BA176" s="12">
        <v>3276</v>
      </c>
    </row>
    <row r="177" spans="1:53" x14ac:dyDescent="0.3">
      <c r="A177" s="12" t="s">
        <v>74</v>
      </c>
      <c r="B177" s="16">
        <v>4204152</v>
      </c>
      <c r="C177" s="12" t="s">
        <v>422</v>
      </c>
      <c r="D177" s="12" t="s">
        <v>73</v>
      </c>
      <c r="E177" s="13">
        <v>0</v>
      </c>
      <c r="F177" s="12">
        <v>12</v>
      </c>
      <c r="G177" s="12">
        <v>6.36</v>
      </c>
      <c r="H177" s="12">
        <v>2592</v>
      </c>
      <c r="I177" s="12">
        <v>2592</v>
      </c>
      <c r="J177" s="12">
        <v>1620</v>
      </c>
      <c r="K177" s="12">
        <v>2430</v>
      </c>
      <c r="L177" s="12" t="s">
        <v>73</v>
      </c>
      <c r="M177" s="12">
        <v>0</v>
      </c>
      <c r="N177" s="12" t="s">
        <v>73</v>
      </c>
      <c r="O177" s="12">
        <v>0</v>
      </c>
      <c r="P177" s="12">
        <v>44</v>
      </c>
      <c r="Q177" s="12">
        <v>23.32</v>
      </c>
      <c r="R177" s="12">
        <v>2592</v>
      </c>
      <c r="S177" s="12">
        <v>2592</v>
      </c>
      <c r="T177" s="12">
        <v>2088</v>
      </c>
      <c r="U177" s="12">
        <v>3132</v>
      </c>
      <c r="V177" s="12" t="s">
        <v>73</v>
      </c>
      <c r="W177" s="12">
        <v>0</v>
      </c>
      <c r="X177" s="12" t="s">
        <v>73</v>
      </c>
      <c r="Y177" s="12">
        <v>0</v>
      </c>
      <c r="Z177" s="12">
        <v>45</v>
      </c>
      <c r="AA177" s="12">
        <v>23.85</v>
      </c>
      <c r="AB177" s="12">
        <v>7000</v>
      </c>
      <c r="AC177" s="12">
        <v>7000</v>
      </c>
      <c r="AD177" s="12">
        <v>3600</v>
      </c>
      <c r="AE177" s="12">
        <v>5400</v>
      </c>
      <c r="AF177" s="12" t="s">
        <v>73</v>
      </c>
      <c r="AG177" s="12">
        <v>0</v>
      </c>
      <c r="AH177" s="12" t="s">
        <v>73</v>
      </c>
      <c r="AI177" s="12">
        <v>0</v>
      </c>
      <c r="AJ177" s="12">
        <v>42</v>
      </c>
      <c r="AK177" s="12">
        <v>22.26</v>
      </c>
      <c r="AL177" s="12">
        <v>5700</v>
      </c>
      <c r="AM177" s="12">
        <v>5700</v>
      </c>
      <c r="AN177" s="12">
        <v>3600</v>
      </c>
      <c r="AO177" s="12">
        <v>5400</v>
      </c>
      <c r="AP177" s="12">
        <v>90</v>
      </c>
      <c r="AQ177" s="12">
        <v>117</v>
      </c>
      <c r="AR177" s="12" t="s">
        <v>73</v>
      </c>
      <c r="AS177" s="12">
        <v>0</v>
      </c>
      <c r="AT177" s="12">
        <v>60</v>
      </c>
      <c r="AU177" s="12">
        <v>31.8</v>
      </c>
      <c r="AV177" s="12">
        <v>4200</v>
      </c>
      <c r="AW177" s="12">
        <v>4200</v>
      </c>
      <c r="AX177" s="12">
        <v>3240</v>
      </c>
      <c r="AY177" s="12">
        <v>4860</v>
      </c>
      <c r="AZ177" s="12" t="s">
        <v>73</v>
      </c>
      <c r="BA177" s="12">
        <v>0</v>
      </c>
    </row>
    <row r="178" spans="1:53" x14ac:dyDescent="0.3">
      <c r="A178" s="12" t="s">
        <v>74</v>
      </c>
      <c r="B178" s="16">
        <v>4204178</v>
      </c>
      <c r="C178" s="12" t="s">
        <v>424</v>
      </c>
      <c r="D178" s="12">
        <v>4</v>
      </c>
      <c r="E178" s="13">
        <v>4.8</v>
      </c>
      <c r="F178" s="12">
        <v>1500</v>
      </c>
      <c r="G178" s="12">
        <v>795</v>
      </c>
      <c r="H178" s="12">
        <v>14400</v>
      </c>
      <c r="I178" s="12">
        <v>14400</v>
      </c>
      <c r="J178" s="12">
        <v>10260</v>
      </c>
      <c r="K178" s="12">
        <v>15390</v>
      </c>
      <c r="L178" s="12" t="s">
        <v>73</v>
      </c>
      <c r="M178" s="12">
        <v>0</v>
      </c>
      <c r="N178" s="12">
        <v>6</v>
      </c>
      <c r="O178" s="12">
        <v>7.1999999999999993</v>
      </c>
      <c r="P178" s="12">
        <v>2640</v>
      </c>
      <c r="Q178" s="12">
        <v>1399.2</v>
      </c>
      <c r="R178" s="12">
        <v>23400</v>
      </c>
      <c r="S178" s="12">
        <v>23400</v>
      </c>
      <c r="T178" s="12">
        <v>17856</v>
      </c>
      <c r="U178" s="12">
        <v>26784</v>
      </c>
      <c r="V178" s="12" t="s">
        <v>73</v>
      </c>
      <c r="W178" s="12">
        <v>0</v>
      </c>
      <c r="X178" s="12">
        <v>6</v>
      </c>
      <c r="Y178" s="12">
        <v>7.1999999999999993</v>
      </c>
      <c r="Z178" s="12">
        <v>810</v>
      </c>
      <c r="AA178" s="12">
        <v>429.3</v>
      </c>
      <c r="AB178" s="12">
        <v>6900</v>
      </c>
      <c r="AC178" s="12">
        <v>6900</v>
      </c>
      <c r="AD178" s="12">
        <v>11760</v>
      </c>
      <c r="AE178" s="12">
        <v>17640</v>
      </c>
      <c r="AF178" s="12">
        <v>720</v>
      </c>
      <c r="AG178" s="12">
        <v>936</v>
      </c>
      <c r="AH178" s="12">
        <v>6</v>
      </c>
      <c r="AI178" s="12">
        <v>7.1999999999999993</v>
      </c>
      <c r="AJ178" s="12">
        <v>1440</v>
      </c>
      <c r="AK178" s="12">
        <v>763.2</v>
      </c>
      <c r="AL178" s="12">
        <v>15120</v>
      </c>
      <c r="AM178" s="12">
        <v>15120</v>
      </c>
      <c r="AN178" s="12">
        <v>25620</v>
      </c>
      <c r="AO178" s="12">
        <v>38430</v>
      </c>
      <c r="AP178" s="12">
        <v>1200</v>
      </c>
      <c r="AQ178" s="12">
        <v>1560</v>
      </c>
      <c r="AR178" s="12">
        <v>5</v>
      </c>
      <c r="AS178" s="12">
        <v>6</v>
      </c>
      <c r="AT178" s="12">
        <v>1440</v>
      </c>
      <c r="AU178" s="12">
        <v>763.2</v>
      </c>
      <c r="AV178" s="12">
        <v>11520</v>
      </c>
      <c r="AW178" s="12">
        <v>11520</v>
      </c>
      <c r="AX178" s="12">
        <v>18300</v>
      </c>
      <c r="AY178" s="12">
        <v>27450</v>
      </c>
      <c r="AZ178" s="12">
        <v>1680</v>
      </c>
      <c r="BA178" s="12">
        <v>2184</v>
      </c>
    </row>
    <row r="179" spans="1:53" x14ac:dyDescent="0.3">
      <c r="A179" s="12" t="s">
        <v>74</v>
      </c>
      <c r="B179" s="16">
        <v>4204558</v>
      </c>
      <c r="C179" s="12" t="s">
        <v>426</v>
      </c>
      <c r="D179" s="12" t="s">
        <v>73</v>
      </c>
      <c r="E179" s="13">
        <v>0</v>
      </c>
      <c r="F179" s="12">
        <v>375</v>
      </c>
      <c r="G179" s="12">
        <v>198.75</v>
      </c>
      <c r="H179" s="12">
        <v>10800</v>
      </c>
      <c r="I179" s="12">
        <v>10800</v>
      </c>
      <c r="J179" s="12">
        <v>8496</v>
      </c>
      <c r="K179" s="12">
        <v>12744</v>
      </c>
      <c r="L179" s="12">
        <v>360</v>
      </c>
      <c r="M179" s="12">
        <v>468</v>
      </c>
      <c r="N179" s="12" t="s">
        <v>73</v>
      </c>
      <c r="O179" s="12">
        <v>0</v>
      </c>
      <c r="P179" s="12">
        <v>420</v>
      </c>
      <c r="Q179" s="12">
        <v>222.60000000000002</v>
      </c>
      <c r="R179" s="12">
        <v>16200</v>
      </c>
      <c r="S179" s="12">
        <v>16200</v>
      </c>
      <c r="T179" s="12">
        <v>12744</v>
      </c>
      <c r="U179" s="12">
        <v>19116</v>
      </c>
      <c r="V179" s="12">
        <v>360</v>
      </c>
      <c r="W179" s="12">
        <v>468</v>
      </c>
      <c r="X179" s="12" t="s">
        <v>73</v>
      </c>
      <c r="Y179" s="12">
        <v>0</v>
      </c>
      <c r="Z179" s="12">
        <v>375</v>
      </c>
      <c r="AA179" s="12">
        <v>198.75</v>
      </c>
      <c r="AB179" s="12">
        <v>10800</v>
      </c>
      <c r="AC179" s="12">
        <v>10800</v>
      </c>
      <c r="AD179" s="12">
        <v>13500</v>
      </c>
      <c r="AE179" s="12">
        <v>20250</v>
      </c>
      <c r="AF179" s="12" t="s">
        <v>73</v>
      </c>
      <c r="AG179" s="12">
        <v>0</v>
      </c>
      <c r="AH179" s="12" t="s">
        <v>73</v>
      </c>
      <c r="AI179" s="12">
        <v>0</v>
      </c>
      <c r="AJ179" s="12">
        <v>216</v>
      </c>
      <c r="AK179" s="12">
        <v>114.48</v>
      </c>
      <c r="AL179" s="12">
        <v>7200</v>
      </c>
      <c r="AM179" s="12">
        <v>7200</v>
      </c>
      <c r="AN179" s="12">
        <v>22260</v>
      </c>
      <c r="AO179" s="12">
        <v>33390</v>
      </c>
      <c r="AP179" s="12">
        <v>510</v>
      </c>
      <c r="AQ179" s="12">
        <v>663</v>
      </c>
      <c r="AR179" s="12" t="s">
        <v>73</v>
      </c>
      <c r="AS179" s="12">
        <v>0</v>
      </c>
      <c r="AT179" s="12">
        <v>180</v>
      </c>
      <c r="AU179" s="12">
        <v>95.4</v>
      </c>
      <c r="AV179" s="12">
        <v>4320</v>
      </c>
      <c r="AW179" s="12">
        <v>4320</v>
      </c>
      <c r="AX179" s="12">
        <v>16704</v>
      </c>
      <c r="AY179" s="12">
        <v>25056</v>
      </c>
      <c r="AZ179" s="12">
        <v>504</v>
      </c>
      <c r="BA179" s="12">
        <v>655.20000000000005</v>
      </c>
    </row>
    <row r="180" spans="1:53" x14ac:dyDescent="0.3">
      <c r="A180" s="12" t="s">
        <v>74</v>
      </c>
      <c r="B180" s="16">
        <v>4209300</v>
      </c>
      <c r="C180" s="12" t="s">
        <v>428</v>
      </c>
      <c r="D180" s="12" t="s">
        <v>73</v>
      </c>
      <c r="E180" s="13">
        <v>0</v>
      </c>
      <c r="F180" s="12">
        <v>1200</v>
      </c>
      <c r="G180" s="12">
        <v>636</v>
      </c>
      <c r="H180" s="12">
        <v>21600</v>
      </c>
      <c r="I180" s="12">
        <v>21600</v>
      </c>
      <c r="J180" s="12">
        <v>19800</v>
      </c>
      <c r="K180" s="12">
        <v>29700</v>
      </c>
      <c r="L180" s="12">
        <v>180</v>
      </c>
      <c r="M180" s="12">
        <v>234</v>
      </c>
      <c r="N180" s="12" t="s">
        <v>73</v>
      </c>
      <c r="O180" s="12">
        <v>0</v>
      </c>
      <c r="P180" s="12">
        <v>2400</v>
      </c>
      <c r="Q180" s="12">
        <v>1272</v>
      </c>
      <c r="R180" s="12">
        <v>36000</v>
      </c>
      <c r="S180" s="12">
        <v>36000</v>
      </c>
      <c r="T180" s="12">
        <v>46800</v>
      </c>
      <c r="U180" s="12">
        <v>70200</v>
      </c>
      <c r="V180" s="12">
        <v>180</v>
      </c>
      <c r="W180" s="12">
        <v>234</v>
      </c>
      <c r="X180" s="12" t="s">
        <v>73</v>
      </c>
      <c r="Y180" s="12">
        <v>0</v>
      </c>
      <c r="Z180" s="12">
        <v>1800</v>
      </c>
      <c r="AA180" s="12">
        <v>954</v>
      </c>
      <c r="AB180" s="12">
        <v>15000</v>
      </c>
      <c r="AC180" s="12">
        <v>15000</v>
      </c>
      <c r="AD180" s="12">
        <v>23400</v>
      </c>
      <c r="AE180" s="12">
        <v>35100</v>
      </c>
      <c r="AF180" s="12">
        <v>4200</v>
      </c>
      <c r="AG180" s="12">
        <v>5460</v>
      </c>
      <c r="AH180" s="12" t="s">
        <v>73</v>
      </c>
      <c r="AI180" s="12">
        <v>0</v>
      </c>
      <c r="AJ180" s="12">
        <v>3150</v>
      </c>
      <c r="AK180" s="12">
        <v>1669.5</v>
      </c>
      <c r="AL180" s="12">
        <v>45000</v>
      </c>
      <c r="AM180" s="12">
        <v>45000</v>
      </c>
      <c r="AN180" s="12">
        <v>50220</v>
      </c>
      <c r="AO180" s="12">
        <v>75330</v>
      </c>
      <c r="AP180" s="12">
        <v>3600</v>
      </c>
      <c r="AQ180" s="12">
        <v>4680</v>
      </c>
      <c r="AR180" s="12" t="s">
        <v>73</v>
      </c>
      <c r="AS180" s="12">
        <v>0</v>
      </c>
      <c r="AT180" s="12">
        <v>1800</v>
      </c>
      <c r="AU180" s="12">
        <v>954</v>
      </c>
      <c r="AV180" s="12">
        <v>21600</v>
      </c>
      <c r="AW180" s="12">
        <v>21600</v>
      </c>
      <c r="AX180" s="12">
        <v>30240</v>
      </c>
      <c r="AY180" s="12">
        <v>45360</v>
      </c>
      <c r="AZ180" s="12">
        <v>1800</v>
      </c>
      <c r="BA180" s="12">
        <v>2340</v>
      </c>
    </row>
    <row r="181" spans="1:53" x14ac:dyDescent="0.3">
      <c r="A181" s="12" t="s">
        <v>74</v>
      </c>
      <c r="B181" s="16">
        <v>4211751</v>
      </c>
      <c r="C181" s="12" t="s">
        <v>430</v>
      </c>
      <c r="D181" s="12" t="s">
        <v>73</v>
      </c>
      <c r="E181" s="13">
        <v>0</v>
      </c>
      <c r="F181" s="12">
        <v>126</v>
      </c>
      <c r="G181" s="12">
        <v>66.78</v>
      </c>
      <c r="H181" s="12">
        <v>12000</v>
      </c>
      <c r="I181" s="12">
        <v>12000</v>
      </c>
      <c r="J181" s="12">
        <v>17100</v>
      </c>
      <c r="K181" s="12">
        <v>25650</v>
      </c>
      <c r="L181" s="12">
        <v>288</v>
      </c>
      <c r="M181" s="12">
        <v>374.40000000000003</v>
      </c>
      <c r="N181" s="12" t="s">
        <v>73</v>
      </c>
      <c r="O181" s="12">
        <v>0</v>
      </c>
      <c r="P181" s="12">
        <v>240</v>
      </c>
      <c r="Q181" s="12">
        <v>127.2</v>
      </c>
      <c r="R181" s="12">
        <v>27000</v>
      </c>
      <c r="S181" s="12">
        <v>27000</v>
      </c>
      <c r="T181" s="12">
        <v>28800</v>
      </c>
      <c r="U181" s="12">
        <v>43200</v>
      </c>
      <c r="V181" s="12">
        <v>288</v>
      </c>
      <c r="W181" s="12">
        <v>374.40000000000003</v>
      </c>
      <c r="X181" s="12" t="s">
        <v>73</v>
      </c>
      <c r="Y181" s="12">
        <v>0</v>
      </c>
      <c r="Z181" s="12">
        <v>225</v>
      </c>
      <c r="AA181" s="12">
        <v>119.25</v>
      </c>
      <c r="AB181" s="12">
        <v>22500</v>
      </c>
      <c r="AC181" s="12">
        <v>22500</v>
      </c>
      <c r="AD181" s="12">
        <v>27120</v>
      </c>
      <c r="AE181" s="12">
        <v>40680</v>
      </c>
      <c r="AF181" s="12">
        <v>1300</v>
      </c>
      <c r="AG181" s="12">
        <v>1690</v>
      </c>
      <c r="AH181" s="12" t="s">
        <v>73</v>
      </c>
      <c r="AI181" s="12">
        <v>0</v>
      </c>
      <c r="AJ181" s="12">
        <v>300</v>
      </c>
      <c r="AK181" s="12">
        <v>159</v>
      </c>
      <c r="AL181" s="12">
        <v>15000</v>
      </c>
      <c r="AM181" s="12">
        <v>15000</v>
      </c>
      <c r="AN181" s="12">
        <v>39900</v>
      </c>
      <c r="AO181" s="12">
        <v>59850</v>
      </c>
      <c r="AP181" s="12">
        <v>120</v>
      </c>
      <c r="AQ181" s="12">
        <v>156</v>
      </c>
      <c r="AR181" s="12" t="s">
        <v>73</v>
      </c>
      <c r="AS181" s="12">
        <v>0</v>
      </c>
      <c r="AT181" s="12">
        <v>1056</v>
      </c>
      <c r="AU181" s="12">
        <v>559.68000000000006</v>
      </c>
      <c r="AV181" s="12">
        <v>1800</v>
      </c>
      <c r="AW181" s="12">
        <v>1800</v>
      </c>
      <c r="AX181" s="12">
        <v>37440</v>
      </c>
      <c r="AY181" s="12">
        <v>56160</v>
      </c>
      <c r="AZ181" s="12">
        <v>420</v>
      </c>
      <c r="BA181" s="12">
        <v>546</v>
      </c>
    </row>
    <row r="182" spans="1:53" x14ac:dyDescent="0.3">
      <c r="A182" s="12" t="s">
        <v>74</v>
      </c>
      <c r="B182" s="16">
        <v>4211892</v>
      </c>
      <c r="C182" s="12" t="s">
        <v>432</v>
      </c>
      <c r="D182" s="12" t="s">
        <v>73</v>
      </c>
      <c r="E182" s="13">
        <v>0</v>
      </c>
      <c r="F182" s="12">
        <v>90</v>
      </c>
      <c r="G182" s="12">
        <v>47.7</v>
      </c>
      <c r="H182" s="12">
        <v>1200</v>
      </c>
      <c r="I182" s="12">
        <v>1200</v>
      </c>
      <c r="J182" s="12">
        <v>1380</v>
      </c>
      <c r="K182" s="12">
        <v>2070</v>
      </c>
      <c r="L182" s="12" t="s">
        <v>73</v>
      </c>
      <c r="M182" s="12">
        <v>0</v>
      </c>
      <c r="N182" s="12" t="s">
        <v>73</v>
      </c>
      <c r="O182" s="12">
        <v>0</v>
      </c>
      <c r="P182" s="12">
        <v>90</v>
      </c>
      <c r="Q182" s="12">
        <v>47.7</v>
      </c>
      <c r="R182" s="12">
        <v>1200</v>
      </c>
      <c r="S182" s="12">
        <v>1200</v>
      </c>
      <c r="T182" s="12">
        <v>2520</v>
      </c>
      <c r="U182" s="12">
        <v>3780</v>
      </c>
      <c r="V182" s="12" t="s">
        <v>73</v>
      </c>
      <c r="W182" s="12">
        <v>0</v>
      </c>
      <c r="X182" s="12" t="s">
        <v>73</v>
      </c>
      <c r="Y182" s="12">
        <v>0</v>
      </c>
      <c r="Z182" s="12">
        <v>24</v>
      </c>
      <c r="AA182" s="12">
        <v>12.72</v>
      </c>
      <c r="AB182" s="12">
        <v>2160</v>
      </c>
      <c r="AC182" s="12">
        <v>2160</v>
      </c>
      <c r="AD182" s="12">
        <v>2160</v>
      </c>
      <c r="AE182" s="12">
        <v>3240</v>
      </c>
      <c r="AF182" s="12" t="s">
        <v>73</v>
      </c>
      <c r="AG182" s="12">
        <v>0</v>
      </c>
      <c r="AH182" s="12" t="s">
        <v>73</v>
      </c>
      <c r="AI182" s="12">
        <v>0</v>
      </c>
      <c r="AJ182" s="12">
        <v>42</v>
      </c>
      <c r="AK182" s="12">
        <v>22.26</v>
      </c>
      <c r="AL182" s="12">
        <v>2160</v>
      </c>
      <c r="AM182" s="12">
        <v>2160</v>
      </c>
      <c r="AN182" s="12">
        <v>2880</v>
      </c>
      <c r="AO182" s="12">
        <v>4320</v>
      </c>
      <c r="AP182" s="12" t="s">
        <v>73</v>
      </c>
      <c r="AQ182" s="12">
        <v>0</v>
      </c>
      <c r="AR182" s="12" t="s">
        <v>73</v>
      </c>
      <c r="AS182" s="12">
        <v>0</v>
      </c>
      <c r="AT182" s="12">
        <v>36</v>
      </c>
      <c r="AU182" s="12">
        <v>19.080000000000002</v>
      </c>
      <c r="AV182" s="12">
        <v>1200</v>
      </c>
      <c r="AW182" s="12">
        <v>1200</v>
      </c>
      <c r="AX182" s="12">
        <v>2550</v>
      </c>
      <c r="AY182" s="12">
        <v>3825</v>
      </c>
      <c r="AZ182" s="12" t="s">
        <v>73</v>
      </c>
      <c r="BA182" s="12">
        <v>0</v>
      </c>
    </row>
    <row r="183" spans="1:53" x14ac:dyDescent="0.3">
      <c r="A183" s="12" t="s">
        <v>74</v>
      </c>
      <c r="B183" s="16">
        <v>4212056</v>
      </c>
      <c r="C183" s="12" t="s">
        <v>434</v>
      </c>
      <c r="D183" s="12" t="s">
        <v>73</v>
      </c>
      <c r="E183" s="13">
        <v>0</v>
      </c>
      <c r="F183" s="12">
        <v>90</v>
      </c>
      <c r="G183" s="12">
        <v>47.7</v>
      </c>
      <c r="H183" s="12">
        <v>2400</v>
      </c>
      <c r="I183" s="12">
        <v>2400</v>
      </c>
      <c r="J183" s="12">
        <v>3528</v>
      </c>
      <c r="K183" s="12">
        <v>5292</v>
      </c>
      <c r="L183" s="12" t="s">
        <v>73</v>
      </c>
      <c r="M183" s="12">
        <v>0</v>
      </c>
      <c r="N183" s="12" t="s">
        <v>73</v>
      </c>
      <c r="O183" s="12">
        <v>0</v>
      </c>
      <c r="P183" s="12">
        <v>200</v>
      </c>
      <c r="Q183" s="12">
        <v>106</v>
      </c>
      <c r="R183" s="12">
        <v>4320</v>
      </c>
      <c r="S183" s="12">
        <v>4320</v>
      </c>
      <c r="T183" s="12">
        <v>5904</v>
      </c>
      <c r="U183" s="12">
        <v>8856</v>
      </c>
      <c r="V183" s="12" t="s">
        <v>73</v>
      </c>
      <c r="W183" s="12">
        <v>0</v>
      </c>
      <c r="X183" s="12" t="s">
        <v>73</v>
      </c>
      <c r="Y183" s="12">
        <v>0</v>
      </c>
      <c r="Z183" s="12">
        <v>120</v>
      </c>
      <c r="AA183" s="12">
        <v>63.6</v>
      </c>
      <c r="AB183" s="12">
        <v>2160</v>
      </c>
      <c r="AC183" s="12">
        <v>2160</v>
      </c>
      <c r="AD183" s="12">
        <v>4320</v>
      </c>
      <c r="AE183" s="12">
        <v>6480</v>
      </c>
      <c r="AF183" s="12">
        <v>180</v>
      </c>
      <c r="AG183" s="12">
        <v>234</v>
      </c>
      <c r="AH183" s="12" t="s">
        <v>73</v>
      </c>
      <c r="AI183" s="12">
        <v>0</v>
      </c>
      <c r="AJ183" s="12">
        <v>120</v>
      </c>
      <c r="AK183" s="12">
        <v>63.6</v>
      </c>
      <c r="AL183" s="12">
        <v>1920</v>
      </c>
      <c r="AM183" s="12">
        <v>1920</v>
      </c>
      <c r="AN183" s="12">
        <v>7200</v>
      </c>
      <c r="AO183" s="12">
        <v>10800</v>
      </c>
      <c r="AP183" s="12">
        <v>324</v>
      </c>
      <c r="AQ183" s="12">
        <v>421.2</v>
      </c>
      <c r="AR183" s="12" t="s">
        <v>73</v>
      </c>
      <c r="AS183" s="12">
        <v>0</v>
      </c>
      <c r="AT183" s="12">
        <v>134</v>
      </c>
      <c r="AU183" s="12">
        <v>71.02000000000001</v>
      </c>
      <c r="AV183" s="12">
        <v>840</v>
      </c>
      <c r="AW183" s="12">
        <v>840</v>
      </c>
      <c r="AX183" s="12">
        <v>5940</v>
      </c>
      <c r="AY183" s="12">
        <v>8910</v>
      </c>
      <c r="AZ183" s="12">
        <v>252</v>
      </c>
      <c r="BA183" s="12">
        <v>327.60000000000002</v>
      </c>
    </row>
    <row r="184" spans="1:53" x14ac:dyDescent="0.3">
      <c r="A184" s="12" t="s">
        <v>74</v>
      </c>
      <c r="B184" s="16">
        <v>4215059</v>
      </c>
      <c r="C184" s="12" t="s">
        <v>436</v>
      </c>
      <c r="D184" s="12" t="s">
        <v>73</v>
      </c>
      <c r="E184" s="13">
        <v>0</v>
      </c>
      <c r="F184" s="12">
        <v>120</v>
      </c>
      <c r="G184" s="12">
        <v>63.6</v>
      </c>
      <c r="H184" s="12">
        <v>3900</v>
      </c>
      <c r="I184" s="12">
        <v>3900</v>
      </c>
      <c r="J184" s="12">
        <v>240</v>
      </c>
      <c r="K184" s="12">
        <v>360</v>
      </c>
      <c r="L184" s="12" t="s">
        <v>73</v>
      </c>
      <c r="M184" s="12">
        <v>0</v>
      </c>
      <c r="N184" s="12" t="s">
        <v>73</v>
      </c>
      <c r="O184" s="12">
        <v>0</v>
      </c>
      <c r="P184" s="12">
        <v>96</v>
      </c>
      <c r="Q184" s="12">
        <v>50.88</v>
      </c>
      <c r="R184" s="12">
        <v>3900</v>
      </c>
      <c r="S184" s="12">
        <v>3900</v>
      </c>
      <c r="T184" s="12">
        <v>744</v>
      </c>
      <c r="U184" s="12">
        <v>1116</v>
      </c>
      <c r="V184" s="12" t="s">
        <v>73</v>
      </c>
      <c r="W184" s="12">
        <v>0</v>
      </c>
      <c r="X184" s="12" t="s">
        <v>73</v>
      </c>
      <c r="Y184" s="12">
        <v>0</v>
      </c>
      <c r="Z184" s="12">
        <v>60</v>
      </c>
      <c r="AA184" s="12">
        <v>31.8</v>
      </c>
      <c r="AB184" s="12">
        <v>3780</v>
      </c>
      <c r="AC184" s="12">
        <v>3780</v>
      </c>
      <c r="AD184" s="12">
        <v>1500</v>
      </c>
      <c r="AE184" s="12">
        <v>2250</v>
      </c>
      <c r="AF184" s="12" t="s">
        <v>73</v>
      </c>
      <c r="AG184" s="12">
        <v>0</v>
      </c>
      <c r="AH184" s="12" t="s">
        <v>73</v>
      </c>
      <c r="AI184" s="12">
        <v>0</v>
      </c>
      <c r="AJ184" s="12">
        <v>36</v>
      </c>
      <c r="AK184" s="12">
        <v>19.080000000000002</v>
      </c>
      <c r="AL184" s="12">
        <v>4200</v>
      </c>
      <c r="AM184" s="12">
        <v>4200</v>
      </c>
      <c r="AN184" s="12">
        <v>1170</v>
      </c>
      <c r="AO184" s="12">
        <v>1755</v>
      </c>
      <c r="AP184" s="12" t="s">
        <v>73</v>
      </c>
      <c r="AQ184" s="12">
        <v>0</v>
      </c>
      <c r="AR184" s="12" t="s">
        <v>73</v>
      </c>
      <c r="AS184" s="12">
        <v>0</v>
      </c>
      <c r="AT184" s="12">
        <v>27</v>
      </c>
      <c r="AU184" s="12">
        <v>14.31</v>
      </c>
      <c r="AV184" s="12">
        <v>2208</v>
      </c>
      <c r="AW184" s="12">
        <v>2208</v>
      </c>
      <c r="AX184" s="12">
        <v>540</v>
      </c>
      <c r="AY184" s="12">
        <v>810</v>
      </c>
      <c r="AZ184" s="12" t="s">
        <v>73</v>
      </c>
      <c r="BA184" s="12">
        <v>0</v>
      </c>
    </row>
    <row r="185" spans="1:53" x14ac:dyDescent="0.3">
      <c r="A185" s="12" t="s">
        <v>74</v>
      </c>
      <c r="B185" s="16">
        <v>4216503</v>
      </c>
      <c r="C185" s="12" t="s">
        <v>438</v>
      </c>
      <c r="D185" s="12" t="s">
        <v>73</v>
      </c>
      <c r="E185" s="13">
        <v>0</v>
      </c>
      <c r="F185" s="12">
        <v>135</v>
      </c>
      <c r="G185" s="12">
        <v>71.55</v>
      </c>
      <c r="H185" s="12">
        <v>2520</v>
      </c>
      <c r="I185" s="12">
        <v>2520</v>
      </c>
      <c r="J185" s="12" t="s">
        <v>73</v>
      </c>
      <c r="K185" s="12">
        <v>0</v>
      </c>
      <c r="L185" s="12" t="s">
        <v>73</v>
      </c>
      <c r="M185" s="12">
        <v>0</v>
      </c>
      <c r="N185" s="12" t="s">
        <v>73</v>
      </c>
      <c r="O185" s="12">
        <v>0</v>
      </c>
      <c r="P185" s="12">
        <v>180</v>
      </c>
      <c r="Q185" s="12">
        <v>95.4</v>
      </c>
      <c r="R185" s="12">
        <v>1920</v>
      </c>
      <c r="S185" s="12">
        <v>1920</v>
      </c>
      <c r="T185" s="12" t="s">
        <v>73</v>
      </c>
      <c r="U185" s="12">
        <v>0</v>
      </c>
      <c r="V185" s="12" t="s">
        <v>73</v>
      </c>
      <c r="W185" s="12">
        <v>0</v>
      </c>
      <c r="X185" s="12" t="s">
        <v>73</v>
      </c>
      <c r="Y185" s="12">
        <v>0</v>
      </c>
      <c r="Z185" s="12">
        <v>105</v>
      </c>
      <c r="AA185" s="12">
        <v>55.650000000000006</v>
      </c>
      <c r="AB185" s="12">
        <v>1680</v>
      </c>
      <c r="AC185" s="12">
        <v>1680</v>
      </c>
      <c r="AD185" s="12" t="s">
        <v>73</v>
      </c>
      <c r="AE185" s="12">
        <v>0</v>
      </c>
      <c r="AF185" s="12" t="s">
        <v>73</v>
      </c>
      <c r="AG185" s="12">
        <v>0</v>
      </c>
      <c r="AH185" s="12" t="s">
        <v>73</v>
      </c>
      <c r="AI185" s="12">
        <v>0</v>
      </c>
      <c r="AJ185" s="12">
        <v>168</v>
      </c>
      <c r="AK185" s="12">
        <v>89.04</v>
      </c>
      <c r="AL185" s="12">
        <v>1920</v>
      </c>
      <c r="AM185" s="12">
        <v>1920</v>
      </c>
      <c r="AN185" s="12" t="s">
        <v>73</v>
      </c>
      <c r="AO185" s="12">
        <v>0</v>
      </c>
      <c r="AP185" s="12" t="s">
        <v>73</v>
      </c>
      <c r="AQ185" s="12">
        <v>0</v>
      </c>
      <c r="AR185" s="12" t="s">
        <v>73</v>
      </c>
      <c r="AS185" s="12">
        <v>0</v>
      </c>
      <c r="AT185" s="12">
        <v>105</v>
      </c>
      <c r="AU185" s="12">
        <v>55.650000000000006</v>
      </c>
      <c r="AV185" s="12">
        <v>1260</v>
      </c>
      <c r="AW185" s="12">
        <v>1260</v>
      </c>
      <c r="AX185" s="12" t="s">
        <v>73</v>
      </c>
      <c r="AY185" s="12">
        <v>0</v>
      </c>
      <c r="AZ185" s="12" t="s">
        <v>73</v>
      </c>
      <c r="BA185" s="12">
        <v>0</v>
      </c>
    </row>
    <row r="186" spans="1:53" x14ac:dyDescent="0.3">
      <c r="A186" s="12" t="s">
        <v>74</v>
      </c>
      <c r="B186" s="16">
        <v>4216800</v>
      </c>
      <c r="C186" s="12" t="s">
        <v>440</v>
      </c>
      <c r="D186" s="12" t="s">
        <v>73</v>
      </c>
      <c r="E186" s="13">
        <v>0</v>
      </c>
      <c r="F186" s="12">
        <v>3000</v>
      </c>
      <c r="G186" s="12">
        <v>1590</v>
      </c>
      <c r="H186" s="12">
        <v>18000</v>
      </c>
      <c r="I186" s="12">
        <v>18000</v>
      </c>
      <c r="J186" s="12">
        <v>12600</v>
      </c>
      <c r="K186" s="12">
        <v>18900</v>
      </c>
      <c r="L186" s="12" t="s">
        <v>73</v>
      </c>
      <c r="M186" s="12">
        <v>0</v>
      </c>
      <c r="N186" s="12" t="s">
        <v>73</v>
      </c>
      <c r="O186" s="12">
        <v>0</v>
      </c>
      <c r="P186" s="12">
        <v>3840</v>
      </c>
      <c r="Q186" s="12">
        <v>2035.2</v>
      </c>
      <c r="R186" s="12">
        <v>36000</v>
      </c>
      <c r="S186" s="12">
        <v>36000</v>
      </c>
      <c r="T186" s="12">
        <v>27000</v>
      </c>
      <c r="U186" s="12">
        <v>40500</v>
      </c>
      <c r="V186" s="12">
        <v>360</v>
      </c>
      <c r="W186" s="12">
        <v>468</v>
      </c>
      <c r="X186" s="12" t="s">
        <v>73</v>
      </c>
      <c r="Y186" s="12">
        <v>0</v>
      </c>
      <c r="Z186" s="12">
        <v>2400</v>
      </c>
      <c r="AA186" s="12">
        <v>1272</v>
      </c>
      <c r="AB186" s="12">
        <v>17550</v>
      </c>
      <c r="AC186" s="12">
        <v>17550</v>
      </c>
      <c r="AD186" s="12">
        <v>12000</v>
      </c>
      <c r="AE186" s="12">
        <v>18000</v>
      </c>
      <c r="AF186" s="12">
        <v>2100</v>
      </c>
      <c r="AG186" s="12">
        <v>2730</v>
      </c>
      <c r="AH186" s="12" t="s">
        <v>73</v>
      </c>
      <c r="AI186" s="12">
        <v>0</v>
      </c>
      <c r="AJ186" s="12">
        <v>3000</v>
      </c>
      <c r="AK186" s="12">
        <v>1590</v>
      </c>
      <c r="AL186" s="12">
        <v>30000</v>
      </c>
      <c r="AM186" s="12">
        <v>30000</v>
      </c>
      <c r="AN186" s="12">
        <v>35100</v>
      </c>
      <c r="AO186" s="12">
        <v>52650</v>
      </c>
      <c r="AP186" s="12">
        <v>2100</v>
      </c>
      <c r="AQ186" s="12">
        <v>2730</v>
      </c>
      <c r="AR186" s="12" t="s">
        <v>73</v>
      </c>
      <c r="AS186" s="12">
        <v>0</v>
      </c>
      <c r="AT186" s="12">
        <v>2400</v>
      </c>
      <c r="AU186" s="12">
        <v>1272</v>
      </c>
      <c r="AV186" s="12">
        <v>12000</v>
      </c>
      <c r="AW186" s="12">
        <v>12000</v>
      </c>
      <c r="AX186" s="12">
        <v>24480</v>
      </c>
      <c r="AY186" s="12">
        <v>36720</v>
      </c>
      <c r="AZ186" s="12">
        <v>720</v>
      </c>
      <c r="BA186" s="12">
        <v>936</v>
      </c>
    </row>
    <row r="187" spans="1:53" x14ac:dyDescent="0.3">
      <c r="A187" s="12" t="s">
        <v>74</v>
      </c>
      <c r="B187" s="16">
        <v>4218905</v>
      </c>
      <c r="C187" s="12" t="s">
        <v>442</v>
      </c>
      <c r="D187" s="12" t="s">
        <v>73</v>
      </c>
      <c r="E187" s="13">
        <v>0</v>
      </c>
      <c r="F187" s="12">
        <v>36</v>
      </c>
      <c r="G187" s="12">
        <v>19.080000000000002</v>
      </c>
      <c r="H187" s="12">
        <v>3600</v>
      </c>
      <c r="I187" s="12">
        <v>3600</v>
      </c>
      <c r="J187" s="12" t="s">
        <v>73</v>
      </c>
      <c r="K187" s="12">
        <v>0</v>
      </c>
      <c r="L187" s="12" t="s">
        <v>73</v>
      </c>
      <c r="M187" s="12">
        <v>0</v>
      </c>
      <c r="N187" s="12" t="s">
        <v>73</v>
      </c>
      <c r="O187" s="12">
        <v>0</v>
      </c>
      <c r="P187" s="12">
        <v>36</v>
      </c>
      <c r="Q187" s="12">
        <v>19.080000000000002</v>
      </c>
      <c r="R187" s="12">
        <v>3600</v>
      </c>
      <c r="S187" s="12">
        <v>3600</v>
      </c>
      <c r="T187" s="12" t="s">
        <v>73</v>
      </c>
      <c r="U187" s="12">
        <v>0</v>
      </c>
      <c r="V187" s="12" t="s">
        <v>73</v>
      </c>
      <c r="W187" s="12">
        <v>0</v>
      </c>
      <c r="X187" s="12" t="s">
        <v>73</v>
      </c>
      <c r="Y187" s="12">
        <v>0</v>
      </c>
      <c r="Z187" s="12">
        <v>18</v>
      </c>
      <c r="AA187" s="12">
        <v>9.5400000000000009</v>
      </c>
      <c r="AB187" s="12">
        <v>3600</v>
      </c>
      <c r="AC187" s="12">
        <v>3600</v>
      </c>
      <c r="AD187" s="12">
        <v>41</v>
      </c>
      <c r="AE187" s="12">
        <v>61.5</v>
      </c>
      <c r="AF187" s="12" t="s">
        <v>73</v>
      </c>
      <c r="AG187" s="12">
        <v>0</v>
      </c>
      <c r="AH187" s="12" t="s">
        <v>73</v>
      </c>
      <c r="AI187" s="12">
        <v>0</v>
      </c>
      <c r="AJ187" s="12">
        <v>36</v>
      </c>
      <c r="AK187" s="12">
        <v>19.080000000000002</v>
      </c>
      <c r="AL187" s="12">
        <v>5040</v>
      </c>
      <c r="AM187" s="12">
        <v>5040</v>
      </c>
      <c r="AN187" s="12">
        <v>90</v>
      </c>
      <c r="AO187" s="12">
        <v>135</v>
      </c>
      <c r="AP187" s="12" t="s">
        <v>73</v>
      </c>
      <c r="AQ187" s="12">
        <v>0</v>
      </c>
      <c r="AR187" s="12" t="s">
        <v>73</v>
      </c>
      <c r="AS187" s="12">
        <v>0</v>
      </c>
      <c r="AT187" s="12">
        <v>23</v>
      </c>
      <c r="AU187" s="12">
        <v>12.190000000000001</v>
      </c>
      <c r="AV187" s="12">
        <v>2880</v>
      </c>
      <c r="AW187" s="12">
        <v>2880</v>
      </c>
      <c r="AX187" s="12">
        <v>126</v>
      </c>
      <c r="AY187" s="12">
        <v>189</v>
      </c>
      <c r="AZ187" s="12" t="s">
        <v>73</v>
      </c>
      <c r="BA187" s="12">
        <v>0</v>
      </c>
    </row>
    <row r="188" spans="1:53" x14ac:dyDescent="0.3">
      <c r="A188" s="12" t="s">
        <v>74</v>
      </c>
      <c r="B188" s="16">
        <v>4218954</v>
      </c>
      <c r="C188" s="12" t="s">
        <v>444</v>
      </c>
      <c r="D188" s="12" t="s">
        <v>73</v>
      </c>
      <c r="E188" s="13">
        <v>0</v>
      </c>
      <c r="F188" s="12">
        <v>36</v>
      </c>
      <c r="G188" s="12">
        <v>19.080000000000002</v>
      </c>
      <c r="H188" s="12">
        <v>180</v>
      </c>
      <c r="I188" s="12">
        <v>180</v>
      </c>
      <c r="J188" s="12" t="s">
        <v>73</v>
      </c>
      <c r="K188" s="12">
        <v>0</v>
      </c>
      <c r="L188" s="12" t="s">
        <v>73</v>
      </c>
      <c r="M188" s="12">
        <v>0</v>
      </c>
      <c r="N188" s="12" t="s">
        <v>73</v>
      </c>
      <c r="O188" s="12">
        <v>0</v>
      </c>
      <c r="P188" s="12">
        <v>54</v>
      </c>
      <c r="Q188" s="12">
        <v>28.62</v>
      </c>
      <c r="R188" s="12">
        <v>420</v>
      </c>
      <c r="S188" s="12">
        <v>420</v>
      </c>
      <c r="T188" s="12" t="s">
        <v>73</v>
      </c>
      <c r="U188" s="12">
        <v>0</v>
      </c>
      <c r="V188" s="12" t="s">
        <v>73</v>
      </c>
      <c r="W188" s="12">
        <v>0</v>
      </c>
      <c r="X188" s="12" t="s">
        <v>73</v>
      </c>
      <c r="Y188" s="12">
        <v>0</v>
      </c>
      <c r="Z188" s="12">
        <v>36</v>
      </c>
      <c r="AA188" s="12">
        <v>19.080000000000002</v>
      </c>
      <c r="AB188" s="12">
        <v>504</v>
      </c>
      <c r="AC188" s="12">
        <v>504</v>
      </c>
      <c r="AD188" s="12" t="s">
        <v>73</v>
      </c>
      <c r="AE188" s="12">
        <v>0</v>
      </c>
      <c r="AF188" s="12" t="s">
        <v>73</v>
      </c>
      <c r="AG188" s="12">
        <v>0</v>
      </c>
      <c r="AH188" s="12" t="s">
        <v>73</v>
      </c>
      <c r="AI188" s="12">
        <v>0</v>
      </c>
      <c r="AJ188" s="12">
        <v>36</v>
      </c>
      <c r="AK188" s="12">
        <v>19.080000000000002</v>
      </c>
      <c r="AL188" s="12">
        <v>420</v>
      </c>
      <c r="AM188" s="12">
        <v>420</v>
      </c>
      <c r="AN188" s="12" t="s">
        <v>73</v>
      </c>
      <c r="AO188" s="12">
        <v>0</v>
      </c>
      <c r="AP188" s="12" t="s">
        <v>73</v>
      </c>
      <c r="AQ188" s="12">
        <v>0</v>
      </c>
      <c r="AR188" s="12" t="s">
        <v>73</v>
      </c>
      <c r="AS188" s="12">
        <v>0</v>
      </c>
      <c r="AT188" s="12">
        <v>30</v>
      </c>
      <c r="AU188" s="12">
        <v>15.9</v>
      </c>
      <c r="AV188" s="12">
        <v>144</v>
      </c>
      <c r="AW188" s="12">
        <v>144</v>
      </c>
      <c r="AX188" s="12" t="s">
        <v>73</v>
      </c>
      <c r="AY188" s="12">
        <v>0</v>
      </c>
      <c r="AZ188" s="12" t="s">
        <v>73</v>
      </c>
      <c r="BA188" s="12">
        <v>0</v>
      </c>
    </row>
    <row r="189" spans="1:53" x14ac:dyDescent="0.3">
      <c r="A189" s="12" t="s">
        <v>67</v>
      </c>
      <c r="B189" s="16">
        <v>4204</v>
      </c>
      <c r="C189" s="12" t="s">
        <v>446</v>
      </c>
      <c r="D189" s="12">
        <v>209525</v>
      </c>
      <c r="E189" s="13">
        <v>251430</v>
      </c>
      <c r="F189" s="12">
        <v>6242</v>
      </c>
      <c r="G189" s="12">
        <v>3308.26</v>
      </c>
      <c r="H189" s="12">
        <v>170093</v>
      </c>
      <c r="I189" s="12">
        <v>170093</v>
      </c>
      <c r="J189" s="12">
        <v>49103</v>
      </c>
      <c r="K189" s="12">
        <v>73654.5</v>
      </c>
      <c r="L189" s="12">
        <v>3688</v>
      </c>
      <c r="M189" s="12">
        <v>4794.4000000000005</v>
      </c>
      <c r="N189" s="12">
        <v>208186</v>
      </c>
      <c r="O189" s="12">
        <v>249823.19999999998</v>
      </c>
      <c r="P189" s="12">
        <v>6921</v>
      </c>
      <c r="Q189" s="12">
        <v>3668.13</v>
      </c>
      <c r="R189" s="12">
        <v>191647</v>
      </c>
      <c r="S189" s="12">
        <v>191647</v>
      </c>
      <c r="T189" s="12">
        <v>56473</v>
      </c>
      <c r="U189" s="12">
        <v>84709.5</v>
      </c>
      <c r="V189" s="12">
        <v>8783</v>
      </c>
      <c r="W189" s="12">
        <v>11417.9</v>
      </c>
      <c r="X189" s="12">
        <v>217437</v>
      </c>
      <c r="Y189" s="12">
        <v>260924.4</v>
      </c>
      <c r="Z189" s="12">
        <v>6813</v>
      </c>
      <c r="AA189" s="12">
        <v>3610.8900000000003</v>
      </c>
      <c r="AB189" s="12">
        <v>198628</v>
      </c>
      <c r="AC189" s="12">
        <v>198628</v>
      </c>
      <c r="AD189" s="12">
        <v>65780</v>
      </c>
      <c r="AE189" s="12">
        <v>98670</v>
      </c>
      <c r="AF189" s="12">
        <v>10600</v>
      </c>
      <c r="AG189" s="12">
        <v>13780</v>
      </c>
      <c r="AH189" s="12">
        <v>213279</v>
      </c>
      <c r="AI189" s="12">
        <v>255934.8</v>
      </c>
      <c r="AJ189" s="12">
        <v>4451</v>
      </c>
      <c r="AK189" s="12">
        <v>2359.0300000000002</v>
      </c>
      <c r="AL189" s="12">
        <v>191282</v>
      </c>
      <c r="AM189" s="12">
        <v>191282</v>
      </c>
      <c r="AN189" s="12">
        <v>60973</v>
      </c>
      <c r="AO189" s="12">
        <v>91459.5</v>
      </c>
      <c r="AP189" s="12">
        <v>2010</v>
      </c>
      <c r="AQ189" s="12">
        <v>2613</v>
      </c>
      <c r="AR189" s="12">
        <v>205702</v>
      </c>
      <c r="AS189" s="12">
        <v>246842.4</v>
      </c>
      <c r="AT189" s="12">
        <v>3774</v>
      </c>
      <c r="AU189" s="12">
        <v>2000.22</v>
      </c>
      <c r="AV189" s="12">
        <v>134230</v>
      </c>
      <c r="AW189" s="12">
        <v>134230</v>
      </c>
      <c r="AX189" s="12">
        <v>61894</v>
      </c>
      <c r="AY189" s="12">
        <v>92841</v>
      </c>
      <c r="AZ189" s="12">
        <v>4772</v>
      </c>
      <c r="BA189" s="12">
        <v>6203.6</v>
      </c>
    </row>
    <row r="190" spans="1:53" x14ac:dyDescent="0.3">
      <c r="A190" s="12" t="s">
        <v>70</v>
      </c>
      <c r="B190" s="16">
        <v>42011</v>
      </c>
      <c r="C190" s="12" t="s">
        <v>448</v>
      </c>
      <c r="D190" s="12">
        <v>78856</v>
      </c>
      <c r="E190" s="13">
        <v>94627.199999999997</v>
      </c>
      <c r="F190" s="12">
        <v>2022</v>
      </c>
      <c r="G190" s="12">
        <v>1071.6600000000001</v>
      </c>
      <c r="H190" s="12">
        <v>101969</v>
      </c>
      <c r="I190" s="12">
        <v>101969</v>
      </c>
      <c r="J190" s="12">
        <v>20182</v>
      </c>
      <c r="K190" s="12">
        <v>30273</v>
      </c>
      <c r="L190" s="12">
        <v>890</v>
      </c>
      <c r="M190" s="12">
        <v>1157</v>
      </c>
      <c r="N190" s="12">
        <v>78118</v>
      </c>
      <c r="O190" s="12">
        <v>93741.599999999991</v>
      </c>
      <c r="P190" s="12">
        <v>2375</v>
      </c>
      <c r="Q190" s="12">
        <v>1258.75</v>
      </c>
      <c r="R190" s="12">
        <v>117366</v>
      </c>
      <c r="S190" s="12">
        <v>117366</v>
      </c>
      <c r="T190" s="12">
        <v>24413</v>
      </c>
      <c r="U190" s="12">
        <v>36619.5</v>
      </c>
      <c r="V190" s="12">
        <v>3405</v>
      </c>
      <c r="W190" s="12">
        <v>4426.5</v>
      </c>
      <c r="X190" s="12">
        <v>83188</v>
      </c>
      <c r="Y190" s="12">
        <v>99825.599999999991</v>
      </c>
      <c r="Z190" s="12">
        <v>2676</v>
      </c>
      <c r="AA190" s="12">
        <v>1418.28</v>
      </c>
      <c r="AB190" s="12">
        <v>121389</v>
      </c>
      <c r="AC190" s="12">
        <v>121389</v>
      </c>
      <c r="AD190" s="12">
        <v>31460</v>
      </c>
      <c r="AE190" s="12">
        <v>47190</v>
      </c>
      <c r="AF190" s="12">
        <v>5270</v>
      </c>
      <c r="AG190" s="12">
        <v>6851</v>
      </c>
      <c r="AH190" s="12">
        <v>78194</v>
      </c>
      <c r="AI190" s="12">
        <v>93832.8</v>
      </c>
      <c r="AJ190" s="12">
        <v>1609</v>
      </c>
      <c r="AK190" s="12">
        <v>852.7700000000001</v>
      </c>
      <c r="AL190" s="12">
        <v>116270</v>
      </c>
      <c r="AM190" s="12">
        <v>116270</v>
      </c>
      <c r="AN190" s="12">
        <v>26041</v>
      </c>
      <c r="AO190" s="12">
        <v>39061.5</v>
      </c>
      <c r="AP190" s="12">
        <v>762</v>
      </c>
      <c r="AQ190" s="12">
        <v>990.6</v>
      </c>
      <c r="AR190" s="12">
        <v>72557</v>
      </c>
      <c r="AS190" s="12">
        <v>87068.4</v>
      </c>
      <c r="AT190" s="12">
        <v>1176</v>
      </c>
      <c r="AU190" s="12">
        <v>623.28000000000009</v>
      </c>
      <c r="AV190" s="12">
        <v>82137</v>
      </c>
      <c r="AW190" s="12">
        <v>82137</v>
      </c>
      <c r="AX190" s="12">
        <v>28180</v>
      </c>
      <c r="AY190" s="12">
        <v>42270</v>
      </c>
      <c r="AZ190" s="12">
        <v>2783</v>
      </c>
      <c r="BA190" s="12">
        <v>3617.9</v>
      </c>
    </row>
    <row r="191" spans="1:53" x14ac:dyDescent="0.3">
      <c r="A191" s="12" t="s">
        <v>74</v>
      </c>
      <c r="B191" s="16">
        <v>4200309</v>
      </c>
      <c r="C191" s="12" t="s">
        <v>450</v>
      </c>
      <c r="D191" s="12">
        <v>3850</v>
      </c>
      <c r="E191" s="13">
        <v>4620</v>
      </c>
      <c r="F191" s="12">
        <v>231</v>
      </c>
      <c r="G191" s="12">
        <v>122.43</v>
      </c>
      <c r="H191" s="12">
        <v>7590</v>
      </c>
      <c r="I191" s="12">
        <v>7590</v>
      </c>
      <c r="J191" s="12">
        <v>4836</v>
      </c>
      <c r="K191" s="12">
        <v>7254</v>
      </c>
      <c r="L191" s="12">
        <v>243</v>
      </c>
      <c r="M191" s="12">
        <v>315.90000000000003</v>
      </c>
      <c r="N191" s="12">
        <v>3850</v>
      </c>
      <c r="O191" s="12">
        <v>4620</v>
      </c>
      <c r="P191" s="12">
        <v>515</v>
      </c>
      <c r="Q191" s="12">
        <v>272.95</v>
      </c>
      <c r="R191" s="12">
        <v>9360</v>
      </c>
      <c r="S191" s="12">
        <v>9360</v>
      </c>
      <c r="T191" s="12">
        <v>5460</v>
      </c>
      <c r="U191" s="12">
        <v>8190</v>
      </c>
      <c r="V191" s="12">
        <v>1200</v>
      </c>
      <c r="W191" s="12">
        <v>1560</v>
      </c>
      <c r="X191" s="12">
        <v>3850</v>
      </c>
      <c r="Y191" s="12">
        <v>4620</v>
      </c>
      <c r="Z191" s="12">
        <v>513</v>
      </c>
      <c r="AA191" s="12">
        <v>271.89</v>
      </c>
      <c r="AB191" s="12">
        <v>8580</v>
      </c>
      <c r="AC191" s="12">
        <v>8580</v>
      </c>
      <c r="AD191" s="12">
        <v>5460</v>
      </c>
      <c r="AE191" s="12">
        <v>8190</v>
      </c>
      <c r="AF191" s="12">
        <v>1200</v>
      </c>
      <c r="AG191" s="12">
        <v>1560</v>
      </c>
      <c r="AH191" s="12">
        <v>3850</v>
      </c>
      <c r="AI191" s="12">
        <v>4620</v>
      </c>
      <c r="AJ191" s="12">
        <v>367</v>
      </c>
      <c r="AK191" s="12">
        <v>194.51000000000002</v>
      </c>
      <c r="AL191" s="12">
        <v>8930</v>
      </c>
      <c r="AM191" s="12">
        <v>8930</v>
      </c>
      <c r="AN191" s="12">
        <v>5460</v>
      </c>
      <c r="AO191" s="12">
        <v>8190</v>
      </c>
      <c r="AP191" s="12">
        <v>240</v>
      </c>
      <c r="AQ191" s="12">
        <v>312</v>
      </c>
      <c r="AR191" s="12">
        <v>2713</v>
      </c>
      <c r="AS191" s="12">
        <v>3255.6</v>
      </c>
      <c r="AT191" s="12">
        <v>69</v>
      </c>
      <c r="AU191" s="12">
        <v>36.57</v>
      </c>
      <c r="AV191" s="12">
        <v>3465</v>
      </c>
      <c r="AW191" s="12">
        <v>3465</v>
      </c>
      <c r="AX191" s="12">
        <v>5400</v>
      </c>
      <c r="AY191" s="12">
        <v>8100</v>
      </c>
      <c r="AZ191" s="12">
        <v>450</v>
      </c>
      <c r="BA191" s="12">
        <v>585</v>
      </c>
    </row>
    <row r="192" spans="1:53" x14ac:dyDescent="0.3">
      <c r="A192" s="12" t="s">
        <v>74</v>
      </c>
      <c r="B192" s="16">
        <v>4201901</v>
      </c>
      <c r="C192" s="12" t="s">
        <v>452</v>
      </c>
      <c r="D192" s="12" t="s">
        <v>73</v>
      </c>
      <c r="E192" s="13">
        <v>0</v>
      </c>
      <c r="F192" s="12">
        <v>310</v>
      </c>
      <c r="G192" s="12">
        <v>164.3</v>
      </c>
      <c r="H192" s="12">
        <v>11682</v>
      </c>
      <c r="I192" s="12">
        <v>11682</v>
      </c>
      <c r="J192" s="12">
        <v>1860</v>
      </c>
      <c r="K192" s="12">
        <v>2790</v>
      </c>
      <c r="L192" s="12">
        <v>150</v>
      </c>
      <c r="M192" s="12">
        <v>195</v>
      </c>
      <c r="N192" s="12" t="s">
        <v>73</v>
      </c>
      <c r="O192" s="12">
        <v>0</v>
      </c>
      <c r="P192" s="12">
        <v>265</v>
      </c>
      <c r="Q192" s="12">
        <v>140.45000000000002</v>
      </c>
      <c r="R192" s="12">
        <v>13110</v>
      </c>
      <c r="S192" s="12">
        <v>13110</v>
      </c>
      <c r="T192" s="12">
        <v>2535</v>
      </c>
      <c r="U192" s="12">
        <v>3802.5</v>
      </c>
      <c r="V192" s="12">
        <v>1200</v>
      </c>
      <c r="W192" s="12">
        <v>1560</v>
      </c>
      <c r="X192" s="12" t="s">
        <v>73</v>
      </c>
      <c r="Y192" s="12">
        <v>0</v>
      </c>
      <c r="Z192" s="12">
        <v>251</v>
      </c>
      <c r="AA192" s="12">
        <v>133.03</v>
      </c>
      <c r="AB192" s="12">
        <v>10800</v>
      </c>
      <c r="AC192" s="12">
        <v>10800</v>
      </c>
      <c r="AD192" s="12">
        <v>2730</v>
      </c>
      <c r="AE192" s="12">
        <v>4095</v>
      </c>
      <c r="AF192" s="12">
        <v>1500</v>
      </c>
      <c r="AG192" s="12">
        <v>1950</v>
      </c>
      <c r="AH192" s="12" t="s">
        <v>73</v>
      </c>
      <c r="AI192" s="12">
        <v>0</v>
      </c>
      <c r="AJ192" s="12">
        <v>218</v>
      </c>
      <c r="AK192" s="12">
        <v>115.54</v>
      </c>
      <c r="AL192" s="12">
        <v>12240</v>
      </c>
      <c r="AM192" s="12">
        <v>12240</v>
      </c>
      <c r="AN192" s="12">
        <v>2730</v>
      </c>
      <c r="AO192" s="12">
        <v>4095</v>
      </c>
      <c r="AP192" s="12">
        <v>180</v>
      </c>
      <c r="AQ192" s="12">
        <v>234</v>
      </c>
      <c r="AR192" s="12" t="s">
        <v>73</v>
      </c>
      <c r="AS192" s="12">
        <v>0</v>
      </c>
      <c r="AT192" s="12">
        <v>184</v>
      </c>
      <c r="AU192" s="12">
        <v>97.52000000000001</v>
      </c>
      <c r="AV192" s="12">
        <v>8670</v>
      </c>
      <c r="AW192" s="12">
        <v>8670</v>
      </c>
      <c r="AX192" s="12">
        <v>2310</v>
      </c>
      <c r="AY192" s="12">
        <v>3465</v>
      </c>
      <c r="AZ192" s="12">
        <v>450</v>
      </c>
      <c r="BA192" s="12">
        <v>585</v>
      </c>
    </row>
    <row r="193" spans="1:53" x14ac:dyDescent="0.3">
      <c r="A193" s="12" t="s">
        <v>74</v>
      </c>
      <c r="B193" s="16">
        <v>4202859</v>
      </c>
      <c r="C193" s="12" t="s">
        <v>454</v>
      </c>
      <c r="D193" s="12">
        <v>301</v>
      </c>
      <c r="E193" s="13">
        <v>361.2</v>
      </c>
      <c r="F193" s="12">
        <v>45</v>
      </c>
      <c r="G193" s="12">
        <v>23.85</v>
      </c>
      <c r="H193" s="12">
        <v>3306</v>
      </c>
      <c r="I193" s="12">
        <v>3306</v>
      </c>
      <c r="J193" s="12">
        <v>192</v>
      </c>
      <c r="K193" s="12">
        <v>288</v>
      </c>
      <c r="L193" s="12">
        <v>342</v>
      </c>
      <c r="M193" s="12">
        <v>444.6</v>
      </c>
      <c r="N193" s="12">
        <v>301</v>
      </c>
      <c r="O193" s="12">
        <v>361.2</v>
      </c>
      <c r="P193" s="12">
        <v>68</v>
      </c>
      <c r="Q193" s="12">
        <v>36.04</v>
      </c>
      <c r="R193" s="12">
        <v>4200</v>
      </c>
      <c r="S193" s="12">
        <v>4200</v>
      </c>
      <c r="T193" s="12">
        <v>342</v>
      </c>
      <c r="U193" s="12">
        <v>513</v>
      </c>
      <c r="V193" s="12">
        <v>17</v>
      </c>
      <c r="W193" s="12">
        <v>22.1</v>
      </c>
      <c r="X193" s="12">
        <v>366</v>
      </c>
      <c r="Y193" s="12">
        <v>439.2</v>
      </c>
      <c r="Z193" s="12">
        <v>64</v>
      </c>
      <c r="AA193" s="12">
        <v>33.92</v>
      </c>
      <c r="AB193" s="12">
        <v>3780</v>
      </c>
      <c r="AC193" s="12">
        <v>3780</v>
      </c>
      <c r="AD193" s="12">
        <v>342</v>
      </c>
      <c r="AE193" s="12">
        <v>513</v>
      </c>
      <c r="AF193" s="12">
        <v>17</v>
      </c>
      <c r="AG193" s="12">
        <v>22.1</v>
      </c>
      <c r="AH193" s="12">
        <v>315</v>
      </c>
      <c r="AI193" s="12">
        <v>378</v>
      </c>
      <c r="AJ193" s="12">
        <v>35</v>
      </c>
      <c r="AK193" s="12">
        <v>18.55</v>
      </c>
      <c r="AL193" s="12">
        <v>3990</v>
      </c>
      <c r="AM193" s="12">
        <v>3990</v>
      </c>
      <c r="AN193" s="12">
        <v>1080</v>
      </c>
      <c r="AO193" s="12">
        <v>1620</v>
      </c>
      <c r="AP193" s="12">
        <v>6</v>
      </c>
      <c r="AQ193" s="12">
        <v>7.8000000000000007</v>
      </c>
      <c r="AR193" s="12">
        <v>258</v>
      </c>
      <c r="AS193" s="12">
        <v>309.59999999999997</v>
      </c>
      <c r="AT193" s="12">
        <v>21</v>
      </c>
      <c r="AU193" s="12">
        <v>11.13</v>
      </c>
      <c r="AV193" s="12">
        <v>1890</v>
      </c>
      <c r="AW193" s="12">
        <v>1890</v>
      </c>
      <c r="AX193" s="12">
        <v>990</v>
      </c>
      <c r="AY193" s="12">
        <v>1485</v>
      </c>
      <c r="AZ193" s="12">
        <v>12</v>
      </c>
      <c r="BA193" s="12">
        <v>15.600000000000001</v>
      </c>
    </row>
    <row r="194" spans="1:53" x14ac:dyDescent="0.3">
      <c r="A194" s="12" t="s">
        <v>74</v>
      </c>
      <c r="B194" s="16">
        <v>4205100</v>
      </c>
      <c r="C194" s="12" t="s">
        <v>456</v>
      </c>
      <c r="D194" s="12">
        <v>120</v>
      </c>
      <c r="E194" s="13">
        <v>144</v>
      </c>
      <c r="F194" s="12">
        <v>53</v>
      </c>
      <c r="G194" s="12">
        <v>28.09</v>
      </c>
      <c r="H194" s="12">
        <v>3600</v>
      </c>
      <c r="I194" s="12">
        <v>3600</v>
      </c>
      <c r="J194" s="12">
        <v>168</v>
      </c>
      <c r="K194" s="12">
        <v>252</v>
      </c>
      <c r="L194" s="12" t="s">
        <v>73</v>
      </c>
      <c r="M194" s="12">
        <v>0</v>
      </c>
      <c r="N194" s="12">
        <v>120</v>
      </c>
      <c r="O194" s="12">
        <v>144</v>
      </c>
      <c r="P194" s="12">
        <v>53</v>
      </c>
      <c r="Q194" s="12">
        <v>28.09</v>
      </c>
      <c r="R194" s="12">
        <v>4500</v>
      </c>
      <c r="S194" s="12">
        <v>4500</v>
      </c>
      <c r="T194" s="12">
        <v>252</v>
      </c>
      <c r="U194" s="12">
        <v>378</v>
      </c>
      <c r="V194" s="12" t="s">
        <v>73</v>
      </c>
      <c r="W194" s="12">
        <v>0</v>
      </c>
      <c r="X194" s="12">
        <v>102</v>
      </c>
      <c r="Y194" s="12">
        <v>122.39999999999999</v>
      </c>
      <c r="Z194" s="12">
        <v>44</v>
      </c>
      <c r="AA194" s="12">
        <v>23.32</v>
      </c>
      <c r="AB194" s="12">
        <v>4275</v>
      </c>
      <c r="AC194" s="12">
        <v>4275</v>
      </c>
      <c r="AD194" s="12">
        <v>252</v>
      </c>
      <c r="AE194" s="12">
        <v>378</v>
      </c>
      <c r="AF194" s="12" t="s">
        <v>73</v>
      </c>
      <c r="AG194" s="12">
        <v>0</v>
      </c>
      <c r="AH194" s="12">
        <v>102</v>
      </c>
      <c r="AI194" s="12">
        <v>122.39999999999999</v>
      </c>
      <c r="AJ194" s="12">
        <v>16</v>
      </c>
      <c r="AK194" s="12">
        <v>8.48</v>
      </c>
      <c r="AL194" s="12">
        <v>4350</v>
      </c>
      <c r="AM194" s="12">
        <v>4350</v>
      </c>
      <c r="AN194" s="12">
        <v>216</v>
      </c>
      <c r="AO194" s="12">
        <v>324</v>
      </c>
      <c r="AP194" s="12">
        <v>10</v>
      </c>
      <c r="AQ194" s="12">
        <v>13</v>
      </c>
      <c r="AR194" s="12">
        <v>96</v>
      </c>
      <c r="AS194" s="12">
        <v>115.19999999999999</v>
      </c>
      <c r="AT194" s="12">
        <v>24</v>
      </c>
      <c r="AU194" s="12">
        <v>12.72</v>
      </c>
      <c r="AV194" s="12">
        <v>2700</v>
      </c>
      <c r="AW194" s="12">
        <v>2700</v>
      </c>
      <c r="AX194" s="12">
        <v>330</v>
      </c>
      <c r="AY194" s="12">
        <v>495</v>
      </c>
      <c r="AZ194" s="12" t="s">
        <v>73</v>
      </c>
      <c r="BA194" s="12">
        <v>0</v>
      </c>
    </row>
    <row r="195" spans="1:53" x14ac:dyDescent="0.3">
      <c r="A195" s="12" t="s">
        <v>74</v>
      </c>
      <c r="B195" s="16">
        <v>4206900</v>
      </c>
      <c r="C195" s="12" t="s">
        <v>458</v>
      </c>
      <c r="D195" s="12">
        <v>435</v>
      </c>
      <c r="E195" s="13">
        <v>522</v>
      </c>
      <c r="F195" s="12">
        <v>35</v>
      </c>
      <c r="G195" s="12">
        <v>18.55</v>
      </c>
      <c r="H195" s="12">
        <v>2346</v>
      </c>
      <c r="I195" s="12">
        <v>2346</v>
      </c>
      <c r="J195" s="12" t="s">
        <v>73</v>
      </c>
      <c r="K195" s="12">
        <v>0</v>
      </c>
      <c r="L195" s="12" t="s">
        <v>73</v>
      </c>
      <c r="M195" s="12">
        <v>0</v>
      </c>
      <c r="N195" s="12">
        <v>435</v>
      </c>
      <c r="O195" s="12">
        <v>522</v>
      </c>
      <c r="P195" s="12">
        <v>36</v>
      </c>
      <c r="Q195" s="12">
        <v>19.080000000000002</v>
      </c>
      <c r="R195" s="12">
        <v>2484</v>
      </c>
      <c r="S195" s="12">
        <v>2484</v>
      </c>
      <c r="T195" s="12" t="s">
        <v>73</v>
      </c>
      <c r="U195" s="12">
        <v>0</v>
      </c>
      <c r="V195" s="12" t="s">
        <v>73</v>
      </c>
      <c r="W195" s="12">
        <v>0</v>
      </c>
      <c r="X195" s="12">
        <v>425</v>
      </c>
      <c r="Y195" s="12">
        <v>510</v>
      </c>
      <c r="Z195" s="12">
        <v>47</v>
      </c>
      <c r="AA195" s="12">
        <v>24.91</v>
      </c>
      <c r="AB195" s="12">
        <v>2268</v>
      </c>
      <c r="AC195" s="12">
        <v>2268</v>
      </c>
      <c r="AD195" s="12" t="s">
        <v>73</v>
      </c>
      <c r="AE195" s="12">
        <v>0</v>
      </c>
      <c r="AF195" s="12" t="s">
        <v>73</v>
      </c>
      <c r="AG195" s="12">
        <v>0</v>
      </c>
      <c r="AH195" s="12">
        <v>425</v>
      </c>
      <c r="AI195" s="12">
        <v>510</v>
      </c>
      <c r="AJ195" s="12">
        <v>24</v>
      </c>
      <c r="AK195" s="12">
        <v>12.72</v>
      </c>
      <c r="AL195" s="12">
        <v>2268</v>
      </c>
      <c r="AM195" s="12">
        <v>2268</v>
      </c>
      <c r="AN195" s="12" t="s">
        <v>73</v>
      </c>
      <c r="AO195" s="12">
        <v>0</v>
      </c>
      <c r="AP195" s="12" t="s">
        <v>73</v>
      </c>
      <c r="AQ195" s="12">
        <v>0</v>
      </c>
      <c r="AR195" s="12">
        <v>350</v>
      </c>
      <c r="AS195" s="12">
        <v>420</v>
      </c>
      <c r="AT195" s="12">
        <v>13</v>
      </c>
      <c r="AU195" s="12">
        <v>6.8900000000000006</v>
      </c>
      <c r="AV195" s="12">
        <v>1386</v>
      </c>
      <c r="AW195" s="12">
        <v>1386</v>
      </c>
      <c r="AX195" s="12" t="s">
        <v>73</v>
      </c>
      <c r="AY195" s="12">
        <v>0</v>
      </c>
      <c r="AZ195" s="12" t="s">
        <v>73</v>
      </c>
      <c r="BA195" s="12">
        <v>0</v>
      </c>
    </row>
    <row r="196" spans="1:53" x14ac:dyDescent="0.3">
      <c r="A196" s="12" t="s">
        <v>74</v>
      </c>
      <c r="B196" s="16">
        <v>4209151</v>
      </c>
      <c r="C196" s="12" t="s">
        <v>460</v>
      </c>
      <c r="D196" s="12">
        <v>27</v>
      </c>
      <c r="E196" s="13">
        <v>32.4</v>
      </c>
      <c r="F196" s="12">
        <v>34</v>
      </c>
      <c r="G196" s="12">
        <v>18.02</v>
      </c>
      <c r="H196" s="12">
        <v>2400</v>
      </c>
      <c r="I196" s="12">
        <v>2400</v>
      </c>
      <c r="J196" s="12" t="s">
        <v>73</v>
      </c>
      <c r="K196" s="12">
        <v>0</v>
      </c>
      <c r="L196" s="12" t="s">
        <v>73</v>
      </c>
      <c r="M196" s="12">
        <v>0</v>
      </c>
      <c r="N196" s="12">
        <v>27</v>
      </c>
      <c r="O196" s="12">
        <v>32.4</v>
      </c>
      <c r="P196" s="12">
        <v>38</v>
      </c>
      <c r="Q196" s="12">
        <v>20.14</v>
      </c>
      <c r="R196" s="12">
        <v>2310</v>
      </c>
      <c r="S196" s="12">
        <v>2310</v>
      </c>
      <c r="T196" s="12" t="s">
        <v>73</v>
      </c>
      <c r="U196" s="12">
        <v>0</v>
      </c>
      <c r="V196" s="12" t="s">
        <v>73</v>
      </c>
      <c r="W196" s="12">
        <v>0</v>
      </c>
      <c r="X196" s="12">
        <v>27</v>
      </c>
      <c r="Y196" s="12">
        <v>32.4</v>
      </c>
      <c r="Z196" s="12">
        <v>42</v>
      </c>
      <c r="AA196" s="12">
        <v>22.26</v>
      </c>
      <c r="AB196" s="12">
        <v>2448</v>
      </c>
      <c r="AC196" s="12">
        <v>2448</v>
      </c>
      <c r="AD196" s="12" t="s">
        <v>73</v>
      </c>
      <c r="AE196" s="12">
        <v>0</v>
      </c>
      <c r="AF196" s="12" t="s">
        <v>73</v>
      </c>
      <c r="AG196" s="12">
        <v>0</v>
      </c>
      <c r="AH196" s="12">
        <v>27</v>
      </c>
      <c r="AI196" s="12">
        <v>32.4</v>
      </c>
      <c r="AJ196" s="12">
        <v>45</v>
      </c>
      <c r="AK196" s="12">
        <v>23.85</v>
      </c>
      <c r="AL196" s="12">
        <v>2352</v>
      </c>
      <c r="AM196" s="12">
        <v>2352</v>
      </c>
      <c r="AN196" s="12" t="s">
        <v>73</v>
      </c>
      <c r="AO196" s="12">
        <v>0</v>
      </c>
      <c r="AP196" s="12">
        <v>8</v>
      </c>
      <c r="AQ196" s="12">
        <v>10.4</v>
      </c>
      <c r="AR196" s="12">
        <v>24</v>
      </c>
      <c r="AS196" s="12">
        <v>28.799999999999997</v>
      </c>
      <c r="AT196" s="12">
        <v>31</v>
      </c>
      <c r="AU196" s="12">
        <v>16.43</v>
      </c>
      <c r="AV196" s="12">
        <v>2016</v>
      </c>
      <c r="AW196" s="12">
        <v>2016</v>
      </c>
      <c r="AX196" s="12" t="s">
        <v>73</v>
      </c>
      <c r="AY196" s="12">
        <v>0</v>
      </c>
      <c r="AZ196" s="12">
        <v>75</v>
      </c>
      <c r="BA196" s="12">
        <v>97.5</v>
      </c>
    </row>
    <row r="197" spans="1:53" x14ac:dyDescent="0.3">
      <c r="A197" s="12" t="s">
        <v>74</v>
      </c>
      <c r="B197" s="16">
        <v>4209508</v>
      </c>
      <c r="C197" s="12" t="s">
        <v>462</v>
      </c>
      <c r="D197" s="12">
        <v>272</v>
      </c>
      <c r="E197" s="13">
        <v>326.39999999999998</v>
      </c>
      <c r="F197" s="12">
        <v>75</v>
      </c>
      <c r="G197" s="12">
        <v>39.75</v>
      </c>
      <c r="H197" s="12">
        <v>1776</v>
      </c>
      <c r="I197" s="12">
        <v>1776</v>
      </c>
      <c r="J197" s="12">
        <v>18</v>
      </c>
      <c r="K197" s="12">
        <v>27</v>
      </c>
      <c r="L197" s="12" t="s">
        <v>73</v>
      </c>
      <c r="M197" s="12">
        <v>0</v>
      </c>
      <c r="N197" s="12">
        <v>239</v>
      </c>
      <c r="O197" s="12">
        <v>286.8</v>
      </c>
      <c r="P197" s="12">
        <v>67</v>
      </c>
      <c r="Q197" s="12">
        <v>35.510000000000005</v>
      </c>
      <c r="R197" s="12">
        <v>1560</v>
      </c>
      <c r="S197" s="12">
        <v>1560</v>
      </c>
      <c r="T197" s="12">
        <v>90</v>
      </c>
      <c r="U197" s="12">
        <v>135</v>
      </c>
      <c r="V197" s="12" t="s">
        <v>73</v>
      </c>
      <c r="W197" s="12">
        <v>0</v>
      </c>
      <c r="X197" s="12">
        <v>288</v>
      </c>
      <c r="Y197" s="12">
        <v>345.59999999999997</v>
      </c>
      <c r="Z197" s="12">
        <v>216</v>
      </c>
      <c r="AA197" s="12">
        <v>114.48</v>
      </c>
      <c r="AB197" s="12">
        <v>2640</v>
      </c>
      <c r="AC197" s="12">
        <v>2640</v>
      </c>
      <c r="AD197" s="12">
        <v>72</v>
      </c>
      <c r="AE197" s="12">
        <v>108</v>
      </c>
      <c r="AF197" s="12" t="s">
        <v>73</v>
      </c>
      <c r="AG197" s="12">
        <v>0</v>
      </c>
      <c r="AH197" s="12">
        <v>341</v>
      </c>
      <c r="AI197" s="12">
        <v>409.2</v>
      </c>
      <c r="AJ197" s="12">
        <v>33</v>
      </c>
      <c r="AK197" s="12">
        <v>17.490000000000002</v>
      </c>
      <c r="AL197" s="12">
        <v>2720</v>
      </c>
      <c r="AM197" s="12">
        <v>2720</v>
      </c>
      <c r="AN197" s="12">
        <v>72</v>
      </c>
      <c r="AO197" s="12">
        <v>108</v>
      </c>
      <c r="AP197" s="12" t="s">
        <v>73</v>
      </c>
      <c r="AQ197" s="12">
        <v>0</v>
      </c>
      <c r="AR197" s="12">
        <v>192</v>
      </c>
      <c r="AS197" s="12">
        <v>230.39999999999998</v>
      </c>
      <c r="AT197" s="12">
        <v>18</v>
      </c>
      <c r="AU197" s="12">
        <v>9.5400000000000009</v>
      </c>
      <c r="AV197" s="12">
        <v>1200</v>
      </c>
      <c r="AW197" s="12">
        <v>1200</v>
      </c>
      <c r="AX197" s="12">
        <v>60</v>
      </c>
      <c r="AY197" s="12">
        <v>90</v>
      </c>
      <c r="AZ197" s="12" t="s">
        <v>73</v>
      </c>
      <c r="BA197" s="12">
        <v>0</v>
      </c>
    </row>
    <row r="198" spans="1:53" x14ac:dyDescent="0.3">
      <c r="A198" s="12" t="s">
        <v>74</v>
      </c>
      <c r="B198" s="16">
        <v>4209904</v>
      </c>
      <c r="C198" s="12" t="s">
        <v>464</v>
      </c>
      <c r="D198" s="12">
        <v>1539</v>
      </c>
      <c r="E198" s="13">
        <v>1846.8</v>
      </c>
      <c r="F198" s="12">
        <v>215</v>
      </c>
      <c r="G198" s="12">
        <v>113.95</v>
      </c>
      <c r="H198" s="12">
        <v>4275</v>
      </c>
      <c r="I198" s="12">
        <v>4275</v>
      </c>
      <c r="J198" s="12">
        <v>28</v>
      </c>
      <c r="K198" s="12">
        <v>42</v>
      </c>
      <c r="L198" s="12" t="s">
        <v>73</v>
      </c>
      <c r="M198" s="12">
        <v>0</v>
      </c>
      <c r="N198" s="12">
        <v>1349</v>
      </c>
      <c r="O198" s="12">
        <v>1618.8</v>
      </c>
      <c r="P198" s="12">
        <v>215</v>
      </c>
      <c r="Q198" s="12">
        <v>113.95</v>
      </c>
      <c r="R198" s="12">
        <v>5040</v>
      </c>
      <c r="S198" s="12">
        <v>5040</v>
      </c>
      <c r="T198" s="12">
        <v>270</v>
      </c>
      <c r="U198" s="12">
        <v>405</v>
      </c>
      <c r="V198" s="12" t="s">
        <v>73</v>
      </c>
      <c r="W198" s="12">
        <v>0</v>
      </c>
      <c r="X198" s="12">
        <v>1349</v>
      </c>
      <c r="Y198" s="12">
        <v>1618.8</v>
      </c>
      <c r="Z198" s="12">
        <v>192</v>
      </c>
      <c r="AA198" s="12">
        <v>101.76</v>
      </c>
      <c r="AB198" s="12">
        <v>4440</v>
      </c>
      <c r="AC198" s="12">
        <v>4440</v>
      </c>
      <c r="AD198" s="12">
        <v>360</v>
      </c>
      <c r="AE198" s="12">
        <v>540</v>
      </c>
      <c r="AF198" s="12" t="s">
        <v>73</v>
      </c>
      <c r="AG198" s="12">
        <v>0</v>
      </c>
      <c r="AH198" s="12">
        <v>1349</v>
      </c>
      <c r="AI198" s="12">
        <v>1618.8</v>
      </c>
      <c r="AJ198" s="12">
        <v>79</v>
      </c>
      <c r="AK198" s="12">
        <v>41.870000000000005</v>
      </c>
      <c r="AL198" s="12">
        <v>4577</v>
      </c>
      <c r="AM198" s="12">
        <v>4577</v>
      </c>
      <c r="AN198" s="12">
        <v>300</v>
      </c>
      <c r="AO198" s="12">
        <v>450</v>
      </c>
      <c r="AP198" s="12" t="s">
        <v>73</v>
      </c>
      <c r="AQ198" s="12">
        <v>0</v>
      </c>
      <c r="AR198" s="12">
        <v>1065</v>
      </c>
      <c r="AS198" s="12">
        <v>1278</v>
      </c>
      <c r="AT198" s="12">
        <v>90</v>
      </c>
      <c r="AU198" s="12">
        <v>47.7</v>
      </c>
      <c r="AV198" s="12">
        <v>2442</v>
      </c>
      <c r="AW198" s="12">
        <v>2442</v>
      </c>
      <c r="AX198" s="12">
        <v>300</v>
      </c>
      <c r="AY198" s="12">
        <v>450</v>
      </c>
      <c r="AZ198" s="12">
        <v>96</v>
      </c>
      <c r="BA198" s="12">
        <v>124.80000000000001</v>
      </c>
    </row>
    <row r="199" spans="1:53" x14ac:dyDescent="0.3">
      <c r="A199" s="12" t="s">
        <v>74</v>
      </c>
      <c r="B199" s="16">
        <v>4210852</v>
      </c>
      <c r="C199" s="12" t="s">
        <v>466</v>
      </c>
      <c r="D199" s="12">
        <v>12800</v>
      </c>
      <c r="E199" s="13">
        <v>15360</v>
      </c>
      <c r="F199" s="12">
        <v>7</v>
      </c>
      <c r="G199" s="12">
        <v>3.71</v>
      </c>
      <c r="H199" s="12">
        <v>500</v>
      </c>
      <c r="I199" s="12">
        <v>500</v>
      </c>
      <c r="J199" s="12" t="s">
        <v>73</v>
      </c>
      <c r="K199" s="12">
        <v>0</v>
      </c>
      <c r="L199" s="12" t="s">
        <v>73</v>
      </c>
      <c r="M199" s="12">
        <v>0</v>
      </c>
      <c r="N199" s="12">
        <v>12267</v>
      </c>
      <c r="O199" s="12">
        <v>14720.4</v>
      </c>
      <c r="P199" s="12">
        <v>8</v>
      </c>
      <c r="Q199" s="12">
        <v>4.24</v>
      </c>
      <c r="R199" s="12">
        <v>1000</v>
      </c>
      <c r="S199" s="12">
        <v>1000</v>
      </c>
      <c r="T199" s="12" t="s">
        <v>73</v>
      </c>
      <c r="U199" s="12">
        <v>0</v>
      </c>
      <c r="V199" s="12" t="s">
        <v>73</v>
      </c>
      <c r="W199" s="12">
        <v>0</v>
      </c>
      <c r="X199" s="12">
        <v>13600</v>
      </c>
      <c r="Y199" s="12">
        <v>16320</v>
      </c>
      <c r="Z199" s="12">
        <v>5</v>
      </c>
      <c r="AA199" s="12">
        <v>2.6500000000000004</v>
      </c>
      <c r="AB199" s="12">
        <v>960</v>
      </c>
      <c r="AC199" s="12">
        <v>960</v>
      </c>
      <c r="AD199" s="12">
        <v>18</v>
      </c>
      <c r="AE199" s="12">
        <v>27</v>
      </c>
      <c r="AF199" s="12" t="s">
        <v>73</v>
      </c>
      <c r="AG199" s="12">
        <v>0</v>
      </c>
      <c r="AH199" s="12">
        <v>12208</v>
      </c>
      <c r="AI199" s="12">
        <v>14649.6</v>
      </c>
      <c r="AJ199" s="12">
        <v>8</v>
      </c>
      <c r="AK199" s="12">
        <v>4.24</v>
      </c>
      <c r="AL199" s="12">
        <v>1100</v>
      </c>
      <c r="AM199" s="12">
        <v>1100</v>
      </c>
      <c r="AN199" s="12" t="s">
        <v>73</v>
      </c>
      <c r="AO199" s="12">
        <v>0</v>
      </c>
      <c r="AP199" s="12" t="s">
        <v>73</v>
      </c>
      <c r="AQ199" s="12">
        <v>0</v>
      </c>
      <c r="AR199" s="12">
        <v>12426</v>
      </c>
      <c r="AS199" s="12">
        <v>14911.199999999999</v>
      </c>
      <c r="AT199" s="12">
        <v>8</v>
      </c>
      <c r="AU199" s="12">
        <v>4.24</v>
      </c>
      <c r="AV199" s="12">
        <v>1020</v>
      </c>
      <c r="AW199" s="12">
        <v>1020</v>
      </c>
      <c r="AX199" s="12" t="s">
        <v>73</v>
      </c>
      <c r="AY199" s="12">
        <v>0</v>
      </c>
      <c r="AZ199" s="12" t="s">
        <v>73</v>
      </c>
      <c r="BA199" s="12">
        <v>0</v>
      </c>
    </row>
    <row r="200" spans="1:53" x14ac:dyDescent="0.3">
      <c r="A200" s="12" t="s">
        <v>74</v>
      </c>
      <c r="B200" s="16">
        <v>4213708</v>
      </c>
      <c r="C200" s="12" t="s">
        <v>468</v>
      </c>
      <c r="D200" s="12">
        <v>15000</v>
      </c>
      <c r="E200" s="13">
        <v>18000</v>
      </c>
      <c r="F200" s="12">
        <v>85</v>
      </c>
      <c r="G200" s="12">
        <v>45.050000000000004</v>
      </c>
      <c r="H200" s="12">
        <v>5280</v>
      </c>
      <c r="I200" s="12">
        <v>5280</v>
      </c>
      <c r="J200" s="12">
        <v>750</v>
      </c>
      <c r="K200" s="12">
        <v>1125</v>
      </c>
      <c r="L200" s="12">
        <v>100</v>
      </c>
      <c r="M200" s="12">
        <v>130</v>
      </c>
      <c r="N200" s="12">
        <v>15334</v>
      </c>
      <c r="O200" s="12">
        <v>18400.8</v>
      </c>
      <c r="P200" s="12">
        <v>89</v>
      </c>
      <c r="Q200" s="12">
        <v>47.17</v>
      </c>
      <c r="R200" s="12">
        <v>5280</v>
      </c>
      <c r="S200" s="12">
        <v>5280</v>
      </c>
      <c r="T200" s="12">
        <v>825</v>
      </c>
      <c r="U200" s="12">
        <v>1237.5</v>
      </c>
      <c r="V200" s="12">
        <v>100</v>
      </c>
      <c r="W200" s="12">
        <v>130</v>
      </c>
      <c r="X200" s="12">
        <v>18000</v>
      </c>
      <c r="Y200" s="12">
        <v>21600</v>
      </c>
      <c r="Z200" s="12">
        <v>138</v>
      </c>
      <c r="AA200" s="12">
        <v>73.14</v>
      </c>
      <c r="AB200" s="12">
        <v>8580</v>
      </c>
      <c r="AC200" s="12">
        <v>8580</v>
      </c>
      <c r="AD200" s="12">
        <v>3600</v>
      </c>
      <c r="AE200" s="12">
        <v>5400</v>
      </c>
      <c r="AF200" s="12">
        <v>1200</v>
      </c>
      <c r="AG200" s="12">
        <v>1560</v>
      </c>
      <c r="AH200" s="12">
        <v>15260</v>
      </c>
      <c r="AI200" s="12">
        <v>18312</v>
      </c>
      <c r="AJ200" s="12">
        <v>90</v>
      </c>
      <c r="AK200" s="12">
        <v>47.7</v>
      </c>
      <c r="AL200" s="12">
        <v>5280</v>
      </c>
      <c r="AM200" s="12">
        <v>5280</v>
      </c>
      <c r="AN200" s="12">
        <v>800</v>
      </c>
      <c r="AO200" s="12">
        <v>1200</v>
      </c>
      <c r="AP200" s="12">
        <v>100</v>
      </c>
      <c r="AQ200" s="12">
        <v>130</v>
      </c>
      <c r="AR200" s="12">
        <v>15198</v>
      </c>
      <c r="AS200" s="12">
        <v>18237.599999999999</v>
      </c>
      <c r="AT200" s="12">
        <v>95</v>
      </c>
      <c r="AU200" s="12">
        <v>50.35</v>
      </c>
      <c r="AV200" s="12">
        <v>5280</v>
      </c>
      <c r="AW200" s="12">
        <v>5280</v>
      </c>
      <c r="AX200" s="12">
        <v>1950</v>
      </c>
      <c r="AY200" s="12">
        <v>2925</v>
      </c>
      <c r="AZ200" s="12">
        <v>210</v>
      </c>
      <c r="BA200" s="12">
        <v>273</v>
      </c>
    </row>
    <row r="201" spans="1:53" x14ac:dyDescent="0.3">
      <c r="A201" s="12" t="s">
        <v>74</v>
      </c>
      <c r="B201" s="16">
        <v>4214003</v>
      </c>
      <c r="C201" s="12" t="s">
        <v>470</v>
      </c>
      <c r="D201" s="12">
        <v>542</v>
      </c>
      <c r="E201" s="13">
        <v>650.4</v>
      </c>
      <c r="F201" s="12">
        <v>146</v>
      </c>
      <c r="G201" s="12">
        <v>77.38000000000001</v>
      </c>
      <c r="H201" s="12">
        <v>10836</v>
      </c>
      <c r="I201" s="12">
        <v>10836</v>
      </c>
      <c r="J201" s="12">
        <v>1050</v>
      </c>
      <c r="K201" s="12">
        <v>1575</v>
      </c>
      <c r="L201" s="12" t="s">
        <v>73</v>
      </c>
      <c r="M201" s="12">
        <v>0</v>
      </c>
      <c r="N201" s="12">
        <v>476</v>
      </c>
      <c r="O201" s="12">
        <v>571.19999999999993</v>
      </c>
      <c r="P201" s="12">
        <v>152</v>
      </c>
      <c r="Q201" s="12">
        <v>80.56</v>
      </c>
      <c r="R201" s="12">
        <v>11970</v>
      </c>
      <c r="S201" s="12">
        <v>11970</v>
      </c>
      <c r="T201" s="12">
        <v>1365</v>
      </c>
      <c r="U201" s="12">
        <v>2047.5</v>
      </c>
      <c r="V201" s="12">
        <v>360</v>
      </c>
      <c r="W201" s="12">
        <v>468</v>
      </c>
      <c r="X201" s="12">
        <v>476</v>
      </c>
      <c r="Y201" s="12">
        <v>571.19999999999993</v>
      </c>
      <c r="Z201" s="12">
        <v>198</v>
      </c>
      <c r="AA201" s="12">
        <v>104.94000000000001</v>
      </c>
      <c r="AB201" s="12">
        <v>11970</v>
      </c>
      <c r="AC201" s="12">
        <v>11970</v>
      </c>
      <c r="AD201" s="12">
        <v>1620</v>
      </c>
      <c r="AE201" s="12">
        <v>2430</v>
      </c>
      <c r="AF201" s="12">
        <v>405</v>
      </c>
      <c r="AG201" s="12">
        <v>526.5</v>
      </c>
      <c r="AH201" s="12">
        <v>571</v>
      </c>
      <c r="AI201" s="12">
        <v>685.19999999999993</v>
      </c>
      <c r="AJ201" s="12">
        <v>63</v>
      </c>
      <c r="AK201" s="12">
        <v>33.39</v>
      </c>
      <c r="AL201" s="12">
        <v>12107</v>
      </c>
      <c r="AM201" s="12">
        <v>12107</v>
      </c>
      <c r="AN201" s="12">
        <v>1620</v>
      </c>
      <c r="AO201" s="12">
        <v>2430</v>
      </c>
      <c r="AP201" s="12">
        <v>120</v>
      </c>
      <c r="AQ201" s="12">
        <v>156</v>
      </c>
      <c r="AR201" s="12">
        <v>460</v>
      </c>
      <c r="AS201" s="12">
        <v>552</v>
      </c>
      <c r="AT201" s="12">
        <v>57</v>
      </c>
      <c r="AU201" s="12">
        <v>30.21</v>
      </c>
      <c r="AV201" s="12">
        <v>7980</v>
      </c>
      <c r="AW201" s="12">
        <v>7980</v>
      </c>
      <c r="AX201" s="12">
        <v>1620</v>
      </c>
      <c r="AY201" s="12">
        <v>2430</v>
      </c>
      <c r="AZ201" s="12">
        <v>243</v>
      </c>
      <c r="BA201" s="12">
        <v>315.90000000000003</v>
      </c>
    </row>
    <row r="202" spans="1:53" x14ac:dyDescent="0.3">
      <c r="A202" s="12" t="s">
        <v>74</v>
      </c>
      <c r="B202" s="16">
        <v>4214102</v>
      </c>
      <c r="C202" s="12" t="s">
        <v>472</v>
      </c>
      <c r="D202" s="12" t="s">
        <v>73</v>
      </c>
      <c r="E202" s="13">
        <v>0</v>
      </c>
      <c r="F202" s="12">
        <v>67</v>
      </c>
      <c r="G202" s="12">
        <v>35.510000000000005</v>
      </c>
      <c r="H202" s="12">
        <v>2646</v>
      </c>
      <c r="I202" s="12">
        <v>2646</v>
      </c>
      <c r="J202" s="12" t="s">
        <v>73</v>
      </c>
      <c r="K202" s="12">
        <v>0</v>
      </c>
      <c r="L202" s="12" t="s">
        <v>73</v>
      </c>
      <c r="M202" s="12">
        <v>0</v>
      </c>
      <c r="N202" s="12" t="s">
        <v>73</v>
      </c>
      <c r="O202" s="12">
        <v>0</v>
      </c>
      <c r="P202" s="12">
        <v>89</v>
      </c>
      <c r="Q202" s="12">
        <v>47.17</v>
      </c>
      <c r="R202" s="12">
        <v>3264</v>
      </c>
      <c r="S202" s="12">
        <v>3264</v>
      </c>
      <c r="T202" s="12" t="s">
        <v>73</v>
      </c>
      <c r="U202" s="12">
        <v>0</v>
      </c>
      <c r="V202" s="12" t="s">
        <v>73</v>
      </c>
      <c r="W202" s="12">
        <v>0</v>
      </c>
      <c r="X202" s="12" t="s">
        <v>73</v>
      </c>
      <c r="Y202" s="12">
        <v>0</v>
      </c>
      <c r="Z202" s="12">
        <v>100</v>
      </c>
      <c r="AA202" s="12">
        <v>53</v>
      </c>
      <c r="AB202" s="12">
        <v>3468</v>
      </c>
      <c r="AC202" s="12">
        <v>3468</v>
      </c>
      <c r="AD202" s="12" t="s">
        <v>73</v>
      </c>
      <c r="AE202" s="12">
        <v>0</v>
      </c>
      <c r="AF202" s="12" t="s">
        <v>73</v>
      </c>
      <c r="AG202" s="12">
        <v>0</v>
      </c>
      <c r="AH202" s="12" t="s">
        <v>73</v>
      </c>
      <c r="AI202" s="12">
        <v>0</v>
      </c>
      <c r="AJ202" s="12">
        <v>83</v>
      </c>
      <c r="AK202" s="12">
        <v>43.99</v>
      </c>
      <c r="AL202" s="12">
        <v>3264</v>
      </c>
      <c r="AM202" s="12">
        <v>3264</v>
      </c>
      <c r="AN202" s="12" t="s">
        <v>73</v>
      </c>
      <c r="AO202" s="12">
        <v>0</v>
      </c>
      <c r="AP202" s="12">
        <v>10</v>
      </c>
      <c r="AQ202" s="12">
        <v>13</v>
      </c>
      <c r="AR202" s="12" t="s">
        <v>73</v>
      </c>
      <c r="AS202" s="12">
        <v>0</v>
      </c>
      <c r="AT202" s="12">
        <v>81</v>
      </c>
      <c r="AU202" s="12">
        <v>42.93</v>
      </c>
      <c r="AV202" s="12">
        <v>1632</v>
      </c>
      <c r="AW202" s="12">
        <v>1632</v>
      </c>
      <c r="AX202" s="12" t="s">
        <v>73</v>
      </c>
      <c r="AY202" s="12">
        <v>0</v>
      </c>
      <c r="AZ202" s="12">
        <v>19</v>
      </c>
      <c r="BA202" s="12">
        <v>24.7</v>
      </c>
    </row>
    <row r="203" spans="1:53" x14ac:dyDescent="0.3">
      <c r="A203" s="12" t="s">
        <v>74</v>
      </c>
      <c r="B203" s="16">
        <v>4214508</v>
      </c>
      <c r="C203" s="12" t="s">
        <v>474</v>
      </c>
      <c r="D203" s="12">
        <v>9750</v>
      </c>
      <c r="E203" s="13">
        <v>11700</v>
      </c>
      <c r="F203" s="12">
        <v>45</v>
      </c>
      <c r="G203" s="12">
        <v>23.85</v>
      </c>
      <c r="H203" s="12">
        <v>8500</v>
      </c>
      <c r="I203" s="12">
        <v>8500</v>
      </c>
      <c r="J203" s="12">
        <v>2550</v>
      </c>
      <c r="K203" s="12">
        <v>3825</v>
      </c>
      <c r="L203" s="12" t="s">
        <v>73</v>
      </c>
      <c r="M203" s="12">
        <v>0</v>
      </c>
      <c r="N203" s="12">
        <v>9500</v>
      </c>
      <c r="O203" s="12">
        <v>11400</v>
      </c>
      <c r="P203" s="12">
        <v>60</v>
      </c>
      <c r="Q203" s="12">
        <v>31.8</v>
      </c>
      <c r="R203" s="12">
        <v>10200</v>
      </c>
      <c r="S203" s="12">
        <v>10200</v>
      </c>
      <c r="T203" s="12">
        <v>2975</v>
      </c>
      <c r="U203" s="12">
        <v>4462.5</v>
      </c>
      <c r="V203" s="12" t="s">
        <v>73</v>
      </c>
      <c r="W203" s="12">
        <v>0</v>
      </c>
      <c r="X203" s="12">
        <v>9450</v>
      </c>
      <c r="Y203" s="12">
        <v>11340</v>
      </c>
      <c r="Z203" s="12">
        <v>45</v>
      </c>
      <c r="AA203" s="12">
        <v>23.85</v>
      </c>
      <c r="AB203" s="12">
        <v>10200</v>
      </c>
      <c r="AC203" s="12">
        <v>10200</v>
      </c>
      <c r="AD203" s="12">
        <v>6000</v>
      </c>
      <c r="AE203" s="12">
        <v>9000</v>
      </c>
      <c r="AF203" s="12" t="s">
        <v>73</v>
      </c>
      <c r="AG203" s="12">
        <v>0</v>
      </c>
      <c r="AH203" s="12">
        <v>9306</v>
      </c>
      <c r="AI203" s="12">
        <v>11167.199999999999</v>
      </c>
      <c r="AJ203" s="12">
        <v>55</v>
      </c>
      <c r="AK203" s="12">
        <v>29.150000000000002</v>
      </c>
      <c r="AL203" s="12">
        <v>10200</v>
      </c>
      <c r="AM203" s="12">
        <v>10200</v>
      </c>
      <c r="AN203" s="12">
        <v>2862</v>
      </c>
      <c r="AO203" s="12">
        <v>4293</v>
      </c>
      <c r="AP203" s="12" t="s">
        <v>73</v>
      </c>
      <c r="AQ203" s="12">
        <v>0</v>
      </c>
      <c r="AR203" s="12">
        <v>9419</v>
      </c>
      <c r="AS203" s="12">
        <v>11302.8</v>
      </c>
      <c r="AT203" s="12">
        <v>53</v>
      </c>
      <c r="AU203" s="12">
        <v>28.09</v>
      </c>
      <c r="AV203" s="12">
        <v>10200</v>
      </c>
      <c r="AW203" s="12">
        <v>10200</v>
      </c>
      <c r="AX203" s="12">
        <v>6000</v>
      </c>
      <c r="AY203" s="12">
        <v>9000</v>
      </c>
      <c r="AZ203" s="12">
        <v>150</v>
      </c>
      <c r="BA203" s="12">
        <v>195</v>
      </c>
    </row>
    <row r="204" spans="1:53" x14ac:dyDescent="0.3">
      <c r="A204" s="12" t="s">
        <v>74</v>
      </c>
      <c r="B204" s="16">
        <v>4214607</v>
      </c>
      <c r="C204" s="12" t="s">
        <v>476</v>
      </c>
      <c r="D204" s="12">
        <v>11835</v>
      </c>
      <c r="E204" s="13">
        <v>14202</v>
      </c>
      <c r="F204" s="12">
        <v>171</v>
      </c>
      <c r="G204" s="12">
        <v>90.63000000000001</v>
      </c>
      <c r="H204" s="12">
        <v>6336</v>
      </c>
      <c r="I204" s="12">
        <v>6336</v>
      </c>
      <c r="J204" s="12">
        <v>360</v>
      </c>
      <c r="K204" s="12">
        <v>540</v>
      </c>
      <c r="L204" s="12">
        <v>55</v>
      </c>
      <c r="M204" s="12">
        <v>71.5</v>
      </c>
      <c r="N204" s="12">
        <v>11835</v>
      </c>
      <c r="O204" s="12">
        <v>14202</v>
      </c>
      <c r="P204" s="12">
        <v>186</v>
      </c>
      <c r="Q204" s="12">
        <v>98.58</v>
      </c>
      <c r="R204" s="12">
        <v>8316</v>
      </c>
      <c r="S204" s="12">
        <v>8316</v>
      </c>
      <c r="T204" s="12">
        <v>390</v>
      </c>
      <c r="U204" s="12">
        <v>585</v>
      </c>
      <c r="V204" s="12">
        <v>60</v>
      </c>
      <c r="W204" s="12">
        <v>78</v>
      </c>
      <c r="X204" s="12">
        <v>11700</v>
      </c>
      <c r="Y204" s="12">
        <v>14040</v>
      </c>
      <c r="Z204" s="12">
        <v>198</v>
      </c>
      <c r="AA204" s="12">
        <v>104.94000000000001</v>
      </c>
      <c r="AB204" s="12">
        <v>8910</v>
      </c>
      <c r="AC204" s="12">
        <v>8910</v>
      </c>
      <c r="AD204" s="12">
        <v>390</v>
      </c>
      <c r="AE204" s="12">
        <v>585</v>
      </c>
      <c r="AF204" s="12">
        <v>60</v>
      </c>
      <c r="AG204" s="12">
        <v>78</v>
      </c>
      <c r="AH204" s="12">
        <v>12055</v>
      </c>
      <c r="AI204" s="12">
        <v>14466</v>
      </c>
      <c r="AJ204" s="12">
        <v>112</v>
      </c>
      <c r="AK204" s="12">
        <v>59.36</v>
      </c>
      <c r="AL204" s="12">
        <v>7785</v>
      </c>
      <c r="AM204" s="12">
        <v>7785</v>
      </c>
      <c r="AN204" s="12">
        <v>390</v>
      </c>
      <c r="AO204" s="12">
        <v>585</v>
      </c>
      <c r="AP204" s="12">
        <v>20</v>
      </c>
      <c r="AQ204" s="12">
        <v>26</v>
      </c>
      <c r="AR204" s="12">
        <v>9074</v>
      </c>
      <c r="AS204" s="12">
        <v>10888.8</v>
      </c>
      <c r="AT204" s="12">
        <v>50</v>
      </c>
      <c r="AU204" s="12">
        <v>26.5</v>
      </c>
      <c r="AV204" s="12">
        <v>4050</v>
      </c>
      <c r="AW204" s="12">
        <v>4050</v>
      </c>
      <c r="AX204" s="12">
        <v>300</v>
      </c>
      <c r="AY204" s="12">
        <v>450</v>
      </c>
      <c r="AZ204" s="12">
        <v>163</v>
      </c>
      <c r="BA204" s="12">
        <v>211.9</v>
      </c>
    </row>
    <row r="205" spans="1:53" x14ac:dyDescent="0.3">
      <c r="A205" s="12" t="s">
        <v>74</v>
      </c>
      <c r="B205" s="16">
        <v>4214805</v>
      </c>
      <c r="C205" s="12" t="s">
        <v>478</v>
      </c>
      <c r="D205" s="12">
        <v>2890</v>
      </c>
      <c r="E205" s="13">
        <v>3468</v>
      </c>
      <c r="F205" s="12">
        <v>43</v>
      </c>
      <c r="G205" s="12">
        <v>22.790000000000003</v>
      </c>
      <c r="H205" s="12">
        <v>2400</v>
      </c>
      <c r="I205" s="12">
        <v>2400</v>
      </c>
      <c r="J205" s="12">
        <v>1485</v>
      </c>
      <c r="K205" s="12">
        <v>2227.5</v>
      </c>
      <c r="L205" s="12" t="s">
        <v>73</v>
      </c>
      <c r="M205" s="12">
        <v>0</v>
      </c>
      <c r="N205" s="12">
        <v>2890</v>
      </c>
      <c r="O205" s="12">
        <v>3468</v>
      </c>
      <c r="P205" s="12">
        <v>53</v>
      </c>
      <c r="Q205" s="12">
        <v>28.09</v>
      </c>
      <c r="R205" s="12">
        <v>2970</v>
      </c>
      <c r="S205" s="12">
        <v>2970</v>
      </c>
      <c r="T205" s="12">
        <v>1755</v>
      </c>
      <c r="U205" s="12">
        <v>2632.5</v>
      </c>
      <c r="V205" s="12" t="s">
        <v>73</v>
      </c>
      <c r="W205" s="12">
        <v>0</v>
      </c>
      <c r="X205" s="12">
        <v>3060</v>
      </c>
      <c r="Y205" s="12">
        <v>3672</v>
      </c>
      <c r="Z205" s="12">
        <v>56</v>
      </c>
      <c r="AA205" s="12">
        <v>29.68</v>
      </c>
      <c r="AB205" s="12">
        <v>3300</v>
      </c>
      <c r="AC205" s="12">
        <v>3300</v>
      </c>
      <c r="AD205" s="12">
        <v>1872</v>
      </c>
      <c r="AE205" s="12">
        <v>2808</v>
      </c>
      <c r="AF205" s="12">
        <v>240</v>
      </c>
      <c r="AG205" s="12">
        <v>312</v>
      </c>
      <c r="AH205" s="12">
        <v>2890</v>
      </c>
      <c r="AI205" s="12">
        <v>3468</v>
      </c>
      <c r="AJ205" s="12">
        <v>21</v>
      </c>
      <c r="AK205" s="12">
        <v>11.13</v>
      </c>
      <c r="AL205" s="12">
        <v>3150</v>
      </c>
      <c r="AM205" s="12">
        <v>3150</v>
      </c>
      <c r="AN205" s="12">
        <v>1755</v>
      </c>
      <c r="AO205" s="12">
        <v>2632.5</v>
      </c>
      <c r="AP205" s="12">
        <v>6</v>
      </c>
      <c r="AQ205" s="12">
        <v>7.8000000000000007</v>
      </c>
      <c r="AR205" s="12">
        <v>2100</v>
      </c>
      <c r="AS205" s="12">
        <v>2520</v>
      </c>
      <c r="AT205" s="12">
        <v>43</v>
      </c>
      <c r="AU205" s="12">
        <v>22.790000000000003</v>
      </c>
      <c r="AV205" s="12">
        <v>1800</v>
      </c>
      <c r="AW205" s="12">
        <v>1800</v>
      </c>
      <c r="AX205" s="12">
        <v>1485</v>
      </c>
      <c r="AY205" s="12">
        <v>2227.5</v>
      </c>
      <c r="AZ205" s="12">
        <v>135</v>
      </c>
      <c r="BA205" s="12">
        <v>175.5</v>
      </c>
    </row>
    <row r="206" spans="1:53" x14ac:dyDescent="0.3">
      <c r="A206" s="12" t="s">
        <v>74</v>
      </c>
      <c r="B206" s="16">
        <v>4215307</v>
      </c>
      <c r="C206" s="12" t="s">
        <v>480</v>
      </c>
      <c r="D206" s="12">
        <v>720</v>
      </c>
      <c r="E206" s="13">
        <v>864</v>
      </c>
      <c r="F206" s="12">
        <v>36</v>
      </c>
      <c r="G206" s="12">
        <v>19.080000000000002</v>
      </c>
      <c r="H206" s="12">
        <v>3600</v>
      </c>
      <c r="I206" s="12">
        <v>3600</v>
      </c>
      <c r="J206" s="12">
        <v>750</v>
      </c>
      <c r="K206" s="12">
        <v>1125</v>
      </c>
      <c r="L206" s="12" t="s">
        <v>73</v>
      </c>
      <c r="M206" s="12">
        <v>0</v>
      </c>
      <c r="N206" s="12">
        <v>720</v>
      </c>
      <c r="O206" s="12">
        <v>864</v>
      </c>
      <c r="P206" s="12">
        <v>36</v>
      </c>
      <c r="Q206" s="12">
        <v>19.080000000000002</v>
      </c>
      <c r="R206" s="12">
        <v>4080</v>
      </c>
      <c r="S206" s="12">
        <v>4080</v>
      </c>
      <c r="T206" s="12">
        <v>800</v>
      </c>
      <c r="U206" s="12">
        <v>1200</v>
      </c>
      <c r="V206" s="12" t="s">
        <v>73</v>
      </c>
      <c r="W206" s="12">
        <v>0</v>
      </c>
      <c r="X206" s="12">
        <v>720</v>
      </c>
      <c r="Y206" s="12">
        <v>864</v>
      </c>
      <c r="Z206" s="12">
        <v>108</v>
      </c>
      <c r="AA206" s="12">
        <v>57.24</v>
      </c>
      <c r="AB206" s="12">
        <v>4320</v>
      </c>
      <c r="AC206" s="12">
        <v>4320</v>
      </c>
      <c r="AD206" s="12">
        <v>1280</v>
      </c>
      <c r="AE206" s="12">
        <v>1920</v>
      </c>
      <c r="AF206" s="12">
        <v>180</v>
      </c>
      <c r="AG206" s="12">
        <v>234</v>
      </c>
      <c r="AH206" s="12">
        <v>720</v>
      </c>
      <c r="AI206" s="12">
        <v>864</v>
      </c>
      <c r="AJ206" s="12">
        <v>36</v>
      </c>
      <c r="AK206" s="12">
        <v>19.080000000000002</v>
      </c>
      <c r="AL206" s="12">
        <v>4000</v>
      </c>
      <c r="AM206" s="12">
        <v>4000</v>
      </c>
      <c r="AN206" s="12">
        <v>817</v>
      </c>
      <c r="AO206" s="12">
        <v>1225.5</v>
      </c>
      <c r="AP206" s="12" t="s">
        <v>73</v>
      </c>
      <c r="AQ206" s="12">
        <v>0</v>
      </c>
      <c r="AR206" s="12">
        <v>720</v>
      </c>
      <c r="AS206" s="12">
        <v>864</v>
      </c>
      <c r="AT206" s="12">
        <v>36</v>
      </c>
      <c r="AU206" s="12">
        <v>19.080000000000002</v>
      </c>
      <c r="AV206" s="12">
        <v>4133</v>
      </c>
      <c r="AW206" s="12">
        <v>4133</v>
      </c>
      <c r="AX206" s="12">
        <v>1120</v>
      </c>
      <c r="AY206" s="12">
        <v>1680</v>
      </c>
      <c r="AZ206" s="12" t="s">
        <v>73</v>
      </c>
      <c r="BA206" s="12">
        <v>0</v>
      </c>
    </row>
    <row r="207" spans="1:53" x14ac:dyDescent="0.3">
      <c r="A207" s="12" t="s">
        <v>74</v>
      </c>
      <c r="B207" s="16">
        <v>4217808</v>
      </c>
      <c r="C207" s="12" t="s">
        <v>482</v>
      </c>
      <c r="D207" s="12">
        <v>18000</v>
      </c>
      <c r="E207" s="13">
        <v>21600</v>
      </c>
      <c r="F207" s="12">
        <v>228</v>
      </c>
      <c r="G207" s="12">
        <v>120.84</v>
      </c>
      <c r="H207" s="12">
        <v>12650</v>
      </c>
      <c r="I207" s="12">
        <v>12650</v>
      </c>
      <c r="J207" s="12">
        <v>2400</v>
      </c>
      <c r="K207" s="12">
        <v>3600</v>
      </c>
      <c r="L207" s="12" t="s">
        <v>73</v>
      </c>
      <c r="M207" s="12">
        <v>0</v>
      </c>
      <c r="N207" s="12">
        <v>18000</v>
      </c>
      <c r="O207" s="12">
        <v>21600</v>
      </c>
      <c r="P207" s="12">
        <v>228</v>
      </c>
      <c r="Q207" s="12">
        <v>120.84</v>
      </c>
      <c r="R207" s="12">
        <v>14336</v>
      </c>
      <c r="S207" s="12">
        <v>14336</v>
      </c>
      <c r="T207" s="12">
        <v>3040</v>
      </c>
      <c r="U207" s="12">
        <v>4560</v>
      </c>
      <c r="V207" s="12" t="s">
        <v>73</v>
      </c>
      <c r="W207" s="12">
        <v>0</v>
      </c>
      <c r="X207" s="12">
        <v>19000</v>
      </c>
      <c r="Y207" s="12">
        <v>22800</v>
      </c>
      <c r="Z207" s="12">
        <v>228</v>
      </c>
      <c r="AA207" s="12">
        <v>120.84</v>
      </c>
      <c r="AB207" s="12">
        <v>15840</v>
      </c>
      <c r="AC207" s="12">
        <v>15840</v>
      </c>
      <c r="AD207" s="12">
        <v>2700</v>
      </c>
      <c r="AE207" s="12">
        <v>4050</v>
      </c>
      <c r="AF207" s="12" t="s">
        <v>73</v>
      </c>
      <c r="AG207" s="12">
        <v>0</v>
      </c>
      <c r="AH207" s="12">
        <v>18000</v>
      </c>
      <c r="AI207" s="12">
        <v>21600</v>
      </c>
      <c r="AJ207" s="12">
        <v>228</v>
      </c>
      <c r="AK207" s="12">
        <v>120.84</v>
      </c>
      <c r="AL207" s="12">
        <v>14805</v>
      </c>
      <c r="AM207" s="12">
        <v>14805</v>
      </c>
      <c r="AN207" s="12">
        <v>2854</v>
      </c>
      <c r="AO207" s="12">
        <v>4281</v>
      </c>
      <c r="AP207" s="12" t="s">
        <v>73</v>
      </c>
      <c r="AQ207" s="12">
        <v>0</v>
      </c>
      <c r="AR207" s="12">
        <v>18000</v>
      </c>
      <c r="AS207" s="12">
        <v>21600</v>
      </c>
      <c r="AT207" s="12">
        <v>228</v>
      </c>
      <c r="AU207" s="12">
        <v>120.84</v>
      </c>
      <c r="AV207" s="12">
        <v>14773</v>
      </c>
      <c r="AW207" s="12">
        <v>14773</v>
      </c>
      <c r="AX207" s="12">
        <v>2760</v>
      </c>
      <c r="AY207" s="12">
        <v>4140</v>
      </c>
      <c r="AZ207" s="12">
        <v>450</v>
      </c>
      <c r="BA207" s="12">
        <v>585</v>
      </c>
    </row>
    <row r="208" spans="1:53" x14ac:dyDescent="0.3">
      <c r="A208" s="12" t="s">
        <v>74</v>
      </c>
      <c r="B208" s="16">
        <v>4218608</v>
      </c>
      <c r="C208" s="12" t="s">
        <v>484</v>
      </c>
      <c r="D208" s="12">
        <v>551</v>
      </c>
      <c r="E208" s="13">
        <v>661.19999999999993</v>
      </c>
      <c r="F208" s="12">
        <v>74</v>
      </c>
      <c r="G208" s="12">
        <v>39.22</v>
      </c>
      <c r="H208" s="12">
        <v>2160</v>
      </c>
      <c r="I208" s="12">
        <v>2160</v>
      </c>
      <c r="J208" s="12">
        <v>1368</v>
      </c>
      <c r="K208" s="12">
        <v>2052</v>
      </c>
      <c r="L208" s="12" t="s">
        <v>73</v>
      </c>
      <c r="M208" s="12">
        <v>0</v>
      </c>
      <c r="N208" s="12">
        <v>551</v>
      </c>
      <c r="O208" s="12">
        <v>661.19999999999993</v>
      </c>
      <c r="P208" s="12">
        <v>87</v>
      </c>
      <c r="Q208" s="12">
        <v>46.11</v>
      </c>
      <c r="R208" s="12">
        <v>3000</v>
      </c>
      <c r="S208" s="12">
        <v>3000</v>
      </c>
      <c r="T208" s="12">
        <v>1353</v>
      </c>
      <c r="U208" s="12">
        <v>2029.5</v>
      </c>
      <c r="V208" s="12">
        <v>120</v>
      </c>
      <c r="W208" s="12">
        <v>156</v>
      </c>
      <c r="X208" s="12">
        <v>551</v>
      </c>
      <c r="Y208" s="12">
        <v>661.19999999999993</v>
      </c>
      <c r="Z208" s="12">
        <v>81</v>
      </c>
      <c r="AA208" s="12">
        <v>42.93</v>
      </c>
      <c r="AB208" s="12">
        <v>2850</v>
      </c>
      <c r="AC208" s="12">
        <v>2850</v>
      </c>
      <c r="AD208" s="12">
        <v>1800</v>
      </c>
      <c r="AE208" s="12">
        <v>2700</v>
      </c>
      <c r="AF208" s="12">
        <v>120</v>
      </c>
      <c r="AG208" s="12">
        <v>156</v>
      </c>
      <c r="AH208" s="12">
        <v>551</v>
      </c>
      <c r="AI208" s="12">
        <v>661.19999999999993</v>
      </c>
      <c r="AJ208" s="12">
        <v>19</v>
      </c>
      <c r="AK208" s="12">
        <v>10.07</v>
      </c>
      <c r="AL208" s="12">
        <v>2800</v>
      </c>
      <c r="AM208" s="12">
        <v>2800</v>
      </c>
      <c r="AN208" s="12">
        <v>2160</v>
      </c>
      <c r="AO208" s="12">
        <v>3240</v>
      </c>
      <c r="AP208" s="12">
        <v>12</v>
      </c>
      <c r="AQ208" s="12">
        <v>15.600000000000001</v>
      </c>
      <c r="AR208" s="12">
        <v>250</v>
      </c>
      <c r="AS208" s="12">
        <v>300</v>
      </c>
      <c r="AT208" s="12">
        <v>17</v>
      </c>
      <c r="AU208" s="12">
        <v>9.01</v>
      </c>
      <c r="AV208" s="12">
        <v>1350</v>
      </c>
      <c r="AW208" s="12">
        <v>1350</v>
      </c>
      <c r="AX208" s="12">
        <v>1200</v>
      </c>
      <c r="AY208" s="12">
        <v>1800</v>
      </c>
      <c r="AZ208" s="12">
        <v>120</v>
      </c>
      <c r="BA208" s="12">
        <v>156</v>
      </c>
    </row>
    <row r="209" spans="1:53" x14ac:dyDescent="0.3">
      <c r="A209" s="12" t="s">
        <v>74</v>
      </c>
      <c r="B209" s="16">
        <v>4219358</v>
      </c>
      <c r="C209" s="12" t="s">
        <v>486</v>
      </c>
      <c r="D209" s="12">
        <v>160</v>
      </c>
      <c r="E209" s="13">
        <v>192</v>
      </c>
      <c r="F209" s="12">
        <v>105</v>
      </c>
      <c r="G209" s="12">
        <v>55.650000000000006</v>
      </c>
      <c r="H209" s="12">
        <v>6936</v>
      </c>
      <c r="I209" s="12">
        <v>6936</v>
      </c>
      <c r="J209" s="12">
        <v>1800</v>
      </c>
      <c r="K209" s="12">
        <v>2700</v>
      </c>
      <c r="L209" s="12" t="s">
        <v>73</v>
      </c>
      <c r="M209" s="12">
        <v>0</v>
      </c>
      <c r="N209" s="12">
        <v>160</v>
      </c>
      <c r="O209" s="12">
        <v>192</v>
      </c>
      <c r="P209" s="12">
        <v>114</v>
      </c>
      <c r="Q209" s="12">
        <v>60.42</v>
      </c>
      <c r="R209" s="12">
        <v>6336</v>
      </c>
      <c r="S209" s="12">
        <v>6336</v>
      </c>
      <c r="T209" s="12">
        <v>2376</v>
      </c>
      <c r="U209" s="12">
        <v>3564</v>
      </c>
      <c r="V209" s="12" t="s">
        <v>73</v>
      </c>
      <c r="W209" s="12">
        <v>0</v>
      </c>
      <c r="X209" s="12">
        <v>160</v>
      </c>
      <c r="Y209" s="12">
        <v>192</v>
      </c>
      <c r="Z209" s="12">
        <v>108</v>
      </c>
      <c r="AA209" s="12">
        <v>57.24</v>
      </c>
      <c r="AB209" s="12">
        <v>7560</v>
      </c>
      <c r="AC209" s="12">
        <v>7560</v>
      </c>
      <c r="AD209" s="12">
        <v>2340</v>
      </c>
      <c r="AE209" s="12">
        <v>3510</v>
      </c>
      <c r="AF209" s="12" t="s">
        <v>73</v>
      </c>
      <c r="AG209" s="12">
        <v>0</v>
      </c>
      <c r="AH209" s="12">
        <v>160</v>
      </c>
      <c r="AI209" s="12">
        <v>192</v>
      </c>
      <c r="AJ209" s="12">
        <v>63</v>
      </c>
      <c r="AK209" s="12">
        <v>33.39</v>
      </c>
      <c r="AL209" s="12">
        <v>6432</v>
      </c>
      <c r="AM209" s="12">
        <v>6432</v>
      </c>
      <c r="AN209" s="12">
        <v>2340</v>
      </c>
      <c r="AO209" s="12">
        <v>3510</v>
      </c>
      <c r="AP209" s="12" t="s">
        <v>73</v>
      </c>
      <c r="AQ209" s="12">
        <v>0</v>
      </c>
      <c r="AR209" s="12">
        <v>160</v>
      </c>
      <c r="AS209" s="12">
        <v>192</v>
      </c>
      <c r="AT209" s="12">
        <v>54</v>
      </c>
      <c r="AU209" s="12">
        <v>28.62</v>
      </c>
      <c r="AV209" s="12">
        <v>3630</v>
      </c>
      <c r="AW209" s="12">
        <v>3630</v>
      </c>
      <c r="AX209" s="12">
        <v>1755</v>
      </c>
      <c r="AY209" s="12">
        <v>2632.5</v>
      </c>
      <c r="AZ209" s="12" t="s">
        <v>73</v>
      </c>
      <c r="BA209" s="12">
        <v>0</v>
      </c>
    </row>
    <row r="210" spans="1:53" x14ac:dyDescent="0.3">
      <c r="A210" s="12" t="s">
        <v>74</v>
      </c>
      <c r="B210" s="16">
        <v>4219408</v>
      </c>
      <c r="C210" s="12" t="s">
        <v>488</v>
      </c>
      <c r="D210" s="12">
        <v>64</v>
      </c>
      <c r="E210" s="13">
        <v>76.8</v>
      </c>
      <c r="F210" s="12">
        <v>17</v>
      </c>
      <c r="G210" s="12">
        <v>9.01</v>
      </c>
      <c r="H210" s="12">
        <v>3150</v>
      </c>
      <c r="I210" s="12">
        <v>3150</v>
      </c>
      <c r="J210" s="12">
        <v>567</v>
      </c>
      <c r="K210" s="12">
        <v>850.5</v>
      </c>
      <c r="L210" s="12" t="s">
        <v>73</v>
      </c>
      <c r="M210" s="12">
        <v>0</v>
      </c>
      <c r="N210" s="12">
        <v>64</v>
      </c>
      <c r="O210" s="12">
        <v>76.8</v>
      </c>
      <c r="P210" s="12">
        <v>16</v>
      </c>
      <c r="Q210" s="12">
        <v>8.48</v>
      </c>
      <c r="R210" s="12">
        <v>4050</v>
      </c>
      <c r="S210" s="12">
        <v>4050</v>
      </c>
      <c r="T210" s="12">
        <v>585</v>
      </c>
      <c r="U210" s="12">
        <v>877.5</v>
      </c>
      <c r="V210" s="12">
        <v>348</v>
      </c>
      <c r="W210" s="12">
        <v>452.40000000000003</v>
      </c>
      <c r="X210" s="12">
        <v>64</v>
      </c>
      <c r="Y210" s="12">
        <v>76.8</v>
      </c>
      <c r="Z210" s="12">
        <v>42</v>
      </c>
      <c r="AA210" s="12">
        <v>22.26</v>
      </c>
      <c r="AB210" s="12">
        <v>4200</v>
      </c>
      <c r="AC210" s="12">
        <v>4200</v>
      </c>
      <c r="AD210" s="12">
        <v>624</v>
      </c>
      <c r="AE210" s="12">
        <v>936</v>
      </c>
      <c r="AF210" s="12">
        <v>348</v>
      </c>
      <c r="AG210" s="12">
        <v>452.40000000000003</v>
      </c>
      <c r="AH210" s="12">
        <v>64</v>
      </c>
      <c r="AI210" s="12">
        <v>76.8</v>
      </c>
      <c r="AJ210" s="12">
        <v>14</v>
      </c>
      <c r="AK210" s="12">
        <v>7.42</v>
      </c>
      <c r="AL210" s="12">
        <v>3920</v>
      </c>
      <c r="AM210" s="12">
        <v>3920</v>
      </c>
      <c r="AN210" s="12">
        <v>585</v>
      </c>
      <c r="AO210" s="12">
        <v>877.5</v>
      </c>
      <c r="AP210" s="12">
        <v>50</v>
      </c>
      <c r="AQ210" s="12">
        <v>65</v>
      </c>
      <c r="AR210" s="12">
        <v>52</v>
      </c>
      <c r="AS210" s="12">
        <v>62.4</v>
      </c>
      <c r="AT210" s="12">
        <v>4</v>
      </c>
      <c r="AU210" s="12">
        <v>2.12</v>
      </c>
      <c r="AV210" s="12">
        <v>2520</v>
      </c>
      <c r="AW210" s="12">
        <v>2520</v>
      </c>
      <c r="AX210" s="12">
        <v>600</v>
      </c>
      <c r="AY210" s="12">
        <v>900</v>
      </c>
      <c r="AZ210" s="12">
        <v>210</v>
      </c>
      <c r="BA210" s="12">
        <v>273</v>
      </c>
    </row>
    <row r="211" spans="1:53" x14ac:dyDescent="0.3">
      <c r="A211" s="12" t="s">
        <v>70</v>
      </c>
      <c r="B211" s="16">
        <v>42012</v>
      </c>
      <c r="C211" s="12" t="s">
        <v>490</v>
      </c>
      <c r="D211" s="12">
        <v>54195</v>
      </c>
      <c r="E211" s="13">
        <v>65034</v>
      </c>
      <c r="F211" s="12">
        <v>175</v>
      </c>
      <c r="G211" s="12">
        <v>92.75</v>
      </c>
      <c r="H211" s="12">
        <v>8978</v>
      </c>
      <c r="I211" s="12">
        <v>8978</v>
      </c>
      <c r="J211" s="12">
        <v>508</v>
      </c>
      <c r="K211" s="12">
        <v>762</v>
      </c>
      <c r="L211" s="12">
        <v>70</v>
      </c>
      <c r="M211" s="12">
        <v>91</v>
      </c>
      <c r="N211" s="12">
        <v>54542</v>
      </c>
      <c r="O211" s="12">
        <v>65450.399999999994</v>
      </c>
      <c r="P211" s="12">
        <v>172</v>
      </c>
      <c r="Q211" s="12">
        <v>91.160000000000011</v>
      </c>
      <c r="R211" s="12">
        <v>8811</v>
      </c>
      <c r="S211" s="12">
        <v>8811</v>
      </c>
      <c r="T211" s="12">
        <v>422</v>
      </c>
      <c r="U211" s="12">
        <v>633</v>
      </c>
      <c r="V211" s="12">
        <v>70</v>
      </c>
      <c r="W211" s="12">
        <v>91</v>
      </c>
      <c r="X211" s="12">
        <v>57396</v>
      </c>
      <c r="Y211" s="12">
        <v>68875.199999999997</v>
      </c>
      <c r="Z211" s="12">
        <v>169</v>
      </c>
      <c r="AA211" s="12">
        <v>89.570000000000007</v>
      </c>
      <c r="AB211" s="12">
        <v>8049</v>
      </c>
      <c r="AC211" s="12">
        <v>8049</v>
      </c>
      <c r="AD211" s="12">
        <v>423</v>
      </c>
      <c r="AE211" s="12">
        <v>634.5</v>
      </c>
      <c r="AF211" s="12">
        <v>70</v>
      </c>
      <c r="AG211" s="12">
        <v>91</v>
      </c>
      <c r="AH211" s="12">
        <v>53385</v>
      </c>
      <c r="AI211" s="12">
        <v>64062</v>
      </c>
      <c r="AJ211" s="12">
        <v>187</v>
      </c>
      <c r="AK211" s="12">
        <v>99.11</v>
      </c>
      <c r="AL211" s="12">
        <v>7553</v>
      </c>
      <c r="AM211" s="12">
        <v>7553</v>
      </c>
      <c r="AN211" s="12">
        <v>1230</v>
      </c>
      <c r="AO211" s="12">
        <v>1845</v>
      </c>
      <c r="AP211" s="12">
        <v>70</v>
      </c>
      <c r="AQ211" s="12">
        <v>91</v>
      </c>
      <c r="AR211" s="12">
        <v>57163</v>
      </c>
      <c r="AS211" s="12">
        <v>68595.599999999991</v>
      </c>
      <c r="AT211" s="12">
        <v>148</v>
      </c>
      <c r="AU211" s="12">
        <v>78.44</v>
      </c>
      <c r="AV211" s="12">
        <v>7863</v>
      </c>
      <c r="AW211" s="12">
        <v>7863</v>
      </c>
      <c r="AX211" s="12">
        <v>1230</v>
      </c>
      <c r="AY211" s="12">
        <v>1845</v>
      </c>
      <c r="AZ211" s="12">
        <v>70</v>
      </c>
      <c r="BA211" s="12">
        <v>91</v>
      </c>
    </row>
    <row r="212" spans="1:53" x14ac:dyDescent="0.3">
      <c r="A212" s="12" t="s">
        <v>74</v>
      </c>
      <c r="B212" s="16">
        <v>4201257</v>
      </c>
      <c r="C212" s="12" t="s">
        <v>492</v>
      </c>
      <c r="D212" s="12">
        <v>315</v>
      </c>
      <c r="E212" s="13">
        <v>378</v>
      </c>
      <c r="F212" s="12">
        <v>36</v>
      </c>
      <c r="G212" s="12">
        <v>19.080000000000002</v>
      </c>
      <c r="H212" s="12">
        <v>2183</v>
      </c>
      <c r="I212" s="12">
        <v>2183</v>
      </c>
      <c r="J212" s="12" t="s">
        <v>73</v>
      </c>
      <c r="K212" s="12">
        <v>0</v>
      </c>
      <c r="L212" s="12" t="s">
        <v>73</v>
      </c>
      <c r="M212" s="12">
        <v>0</v>
      </c>
      <c r="N212" s="12">
        <v>315</v>
      </c>
      <c r="O212" s="12">
        <v>378</v>
      </c>
      <c r="P212" s="12">
        <v>36</v>
      </c>
      <c r="Q212" s="12">
        <v>19.080000000000002</v>
      </c>
      <c r="R212" s="12">
        <v>2183</v>
      </c>
      <c r="S212" s="12">
        <v>2183</v>
      </c>
      <c r="T212" s="12" t="s">
        <v>73</v>
      </c>
      <c r="U212" s="12">
        <v>0</v>
      </c>
      <c r="V212" s="12" t="s">
        <v>73</v>
      </c>
      <c r="W212" s="12">
        <v>0</v>
      </c>
      <c r="X212" s="12">
        <v>315</v>
      </c>
      <c r="Y212" s="12">
        <v>378</v>
      </c>
      <c r="Z212" s="12">
        <v>36</v>
      </c>
      <c r="AA212" s="12">
        <v>19.080000000000002</v>
      </c>
      <c r="AB212" s="12">
        <v>1812</v>
      </c>
      <c r="AC212" s="12">
        <v>1812</v>
      </c>
      <c r="AD212" s="12" t="s">
        <v>73</v>
      </c>
      <c r="AE212" s="12">
        <v>0</v>
      </c>
      <c r="AF212" s="12" t="s">
        <v>73</v>
      </c>
      <c r="AG212" s="12">
        <v>0</v>
      </c>
      <c r="AH212" s="12">
        <v>315</v>
      </c>
      <c r="AI212" s="12">
        <v>378</v>
      </c>
      <c r="AJ212" s="12">
        <v>36</v>
      </c>
      <c r="AK212" s="12">
        <v>19.080000000000002</v>
      </c>
      <c r="AL212" s="12">
        <v>1304</v>
      </c>
      <c r="AM212" s="12">
        <v>1304</v>
      </c>
      <c r="AN212" s="12" t="s">
        <v>73</v>
      </c>
      <c r="AO212" s="12">
        <v>0</v>
      </c>
      <c r="AP212" s="12" t="s">
        <v>73</v>
      </c>
      <c r="AQ212" s="12">
        <v>0</v>
      </c>
      <c r="AR212" s="12">
        <v>280</v>
      </c>
      <c r="AS212" s="12">
        <v>336</v>
      </c>
      <c r="AT212" s="12">
        <v>36</v>
      </c>
      <c r="AU212" s="12">
        <v>19.080000000000002</v>
      </c>
      <c r="AV212" s="12">
        <v>2017</v>
      </c>
      <c r="AW212" s="12">
        <v>2017</v>
      </c>
      <c r="AX212" s="12" t="s">
        <v>73</v>
      </c>
      <c r="AY212" s="12">
        <v>0</v>
      </c>
      <c r="AZ212" s="12" t="s">
        <v>73</v>
      </c>
      <c r="BA212" s="12">
        <v>0</v>
      </c>
    </row>
    <row r="213" spans="1:53" x14ac:dyDescent="0.3">
      <c r="A213" s="12" t="s">
        <v>74</v>
      </c>
      <c r="B213" s="16">
        <v>4201703</v>
      </c>
      <c r="C213" s="12" t="s">
        <v>494</v>
      </c>
      <c r="D213" s="12">
        <v>4028</v>
      </c>
      <c r="E213" s="13">
        <v>4833.5999999999995</v>
      </c>
      <c r="F213" s="12">
        <v>2</v>
      </c>
      <c r="G213" s="12">
        <v>1.06</v>
      </c>
      <c r="H213" s="12">
        <v>120</v>
      </c>
      <c r="I213" s="12">
        <v>120</v>
      </c>
      <c r="J213" s="12" t="s">
        <v>73</v>
      </c>
      <c r="K213" s="12">
        <v>0</v>
      </c>
      <c r="L213" s="12" t="s">
        <v>73</v>
      </c>
      <c r="M213" s="12">
        <v>0</v>
      </c>
      <c r="N213" s="12">
        <v>4028</v>
      </c>
      <c r="O213" s="12">
        <v>4833.5999999999995</v>
      </c>
      <c r="P213" s="12">
        <v>2</v>
      </c>
      <c r="Q213" s="12">
        <v>1.06</v>
      </c>
      <c r="R213" s="12">
        <v>120</v>
      </c>
      <c r="S213" s="12">
        <v>120</v>
      </c>
      <c r="T213" s="12" t="s">
        <v>73</v>
      </c>
      <c r="U213" s="12">
        <v>0</v>
      </c>
      <c r="V213" s="12" t="s">
        <v>73</v>
      </c>
      <c r="W213" s="12">
        <v>0</v>
      </c>
      <c r="X213" s="12">
        <v>4170</v>
      </c>
      <c r="Y213" s="12">
        <v>5004</v>
      </c>
      <c r="Z213" s="12">
        <v>2</v>
      </c>
      <c r="AA213" s="12">
        <v>1.06</v>
      </c>
      <c r="AB213" s="12">
        <v>120</v>
      </c>
      <c r="AC213" s="12">
        <v>120</v>
      </c>
      <c r="AD213" s="12" t="s">
        <v>73</v>
      </c>
      <c r="AE213" s="12">
        <v>0</v>
      </c>
      <c r="AF213" s="12" t="s">
        <v>73</v>
      </c>
      <c r="AG213" s="12">
        <v>0</v>
      </c>
      <c r="AH213" s="12">
        <v>4103</v>
      </c>
      <c r="AI213" s="12">
        <v>4923.5999999999995</v>
      </c>
      <c r="AJ213" s="12">
        <v>2</v>
      </c>
      <c r="AK213" s="12">
        <v>1.06</v>
      </c>
      <c r="AL213" s="12">
        <v>120</v>
      </c>
      <c r="AM213" s="12">
        <v>120</v>
      </c>
      <c r="AN213" s="12" t="s">
        <v>73</v>
      </c>
      <c r="AO213" s="12">
        <v>0</v>
      </c>
      <c r="AP213" s="12" t="s">
        <v>73</v>
      </c>
      <c r="AQ213" s="12">
        <v>0</v>
      </c>
      <c r="AR213" s="12">
        <v>4103</v>
      </c>
      <c r="AS213" s="12">
        <v>4923.5999999999995</v>
      </c>
      <c r="AT213" s="12">
        <v>2</v>
      </c>
      <c r="AU213" s="12">
        <v>1.06</v>
      </c>
      <c r="AV213" s="12">
        <v>120</v>
      </c>
      <c r="AW213" s="12">
        <v>120</v>
      </c>
      <c r="AX213" s="12" t="s">
        <v>73</v>
      </c>
      <c r="AY213" s="12">
        <v>0</v>
      </c>
      <c r="AZ213" s="12" t="s">
        <v>73</v>
      </c>
      <c r="BA213" s="12">
        <v>0</v>
      </c>
    </row>
    <row r="214" spans="1:53" x14ac:dyDescent="0.3">
      <c r="A214" s="12" t="s">
        <v>74</v>
      </c>
      <c r="B214" s="16">
        <v>4202206</v>
      </c>
      <c r="C214" s="12" t="s">
        <v>496</v>
      </c>
      <c r="D214" s="12">
        <v>2394</v>
      </c>
      <c r="E214" s="13">
        <v>2872.7999999999997</v>
      </c>
      <c r="F214" s="12">
        <v>12</v>
      </c>
      <c r="G214" s="12">
        <v>6.36</v>
      </c>
      <c r="H214" s="12">
        <v>1580</v>
      </c>
      <c r="I214" s="12">
        <v>1580</v>
      </c>
      <c r="J214" s="12" t="s">
        <v>73</v>
      </c>
      <c r="K214" s="12">
        <v>0</v>
      </c>
      <c r="L214" s="12" t="s">
        <v>73</v>
      </c>
      <c r="M214" s="12">
        <v>0</v>
      </c>
      <c r="N214" s="12">
        <v>2460</v>
      </c>
      <c r="O214" s="12">
        <v>2952</v>
      </c>
      <c r="P214" s="12">
        <v>12</v>
      </c>
      <c r="Q214" s="12">
        <v>6.36</v>
      </c>
      <c r="R214" s="12">
        <v>1778</v>
      </c>
      <c r="S214" s="12">
        <v>1778</v>
      </c>
      <c r="T214" s="12" t="s">
        <v>73</v>
      </c>
      <c r="U214" s="12">
        <v>0</v>
      </c>
      <c r="V214" s="12" t="s">
        <v>73</v>
      </c>
      <c r="W214" s="12">
        <v>0</v>
      </c>
      <c r="X214" s="12">
        <v>2438</v>
      </c>
      <c r="Y214" s="12">
        <v>2925.6</v>
      </c>
      <c r="Z214" s="12">
        <v>7</v>
      </c>
      <c r="AA214" s="12">
        <v>3.71</v>
      </c>
      <c r="AB214" s="12">
        <v>1580</v>
      </c>
      <c r="AC214" s="12">
        <v>1580</v>
      </c>
      <c r="AD214" s="12" t="s">
        <v>73</v>
      </c>
      <c r="AE214" s="12">
        <v>0</v>
      </c>
      <c r="AF214" s="12" t="s">
        <v>73</v>
      </c>
      <c r="AG214" s="12">
        <v>0</v>
      </c>
      <c r="AH214" s="12">
        <v>2447</v>
      </c>
      <c r="AI214" s="12">
        <v>2936.4</v>
      </c>
      <c r="AJ214" s="12">
        <v>7</v>
      </c>
      <c r="AK214" s="12">
        <v>3.71</v>
      </c>
      <c r="AL214" s="12">
        <v>1580</v>
      </c>
      <c r="AM214" s="12">
        <v>1580</v>
      </c>
      <c r="AN214" s="12" t="s">
        <v>73</v>
      </c>
      <c r="AO214" s="12">
        <v>0</v>
      </c>
      <c r="AP214" s="12" t="s">
        <v>73</v>
      </c>
      <c r="AQ214" s="12">
        <v>0</v>
      </c>
      <c r="AR214" s="12">
        <v>2447</v>
      </c>
      <c r="AS214" s="12">
        <v>2936.4</v>
      </c>
      <c r="AT214" s="12">
        <v>9</v>
      </c>
      <c r="AU214" s="12">
        <v>4.7700000000000005</v>
      </c>
      <c r="AV214" s="12">
        <v>1580</v>
      </c>
      <c r="AW214" s="12">
        <v>1580</v>
      </c>
      <c r="AX214" s="12" t="s">
        <v>73</v>
      </c>
      <c r="AY214" s="12">
        <v>0</v>
      </c>
      <c r="AZ214" s="12" t="s">
        <v>73</v>
      </c>
      <c r="BA214" s="12">
        <v>0</v>
      </c>
    </row>
    <row r="215" spans="1:53" x14ac:dyDescent="0.3">
      <c r="A215" s="12" t="s">
        <v>74</v>
      </c>
      <c r="B215" s="16">
        <v>4202404</v>
      </c>
      <c r="C215" s="12" t="s">
        <v>498</v>
      </c>
      <c r="D215" s="12">
        <v>70</v>
      </c>
      <c r="E215" s="13">
        <v>84</v>
      </c>
      <c r="F215" s="12">
        <v>6</v>
      </c>
      <c r="G215" s="12">
        <v>3.18</v>
      </c>
      <c r="H215" s="12">
        <v>530</v>
      </c>
      <c r="I215" s="12">
        <v>530</v>
      </c>
      <c r="J215" s="12" t="s">
        <v>73</v>
      </c>
      <c r="K215" s="12">
        <v>0</v>
      </c>
      <c r="L215" s="12" t="s">
        <v>73</v>
      </c>
      <c r="M215" s="12">
        <v>0</v>
      </c>
      <c r="N215" s="12">
        <v>70</v>
      </c>
      <c r="O215" s="12">
        <v>84</v>
      </c>
      <c r="P215" s="12">
        <v>6</v>
      </c>
      <c r="Q215" s="12">
        <v>3.18</v>
      </c>
      <c r="R215" s="12">
        <v>530</v>
      </c>
      <c r="S215" s="12">
        <v>530</v>
      </c>
      <c r="T215" s="12" t="s">
        <v>73</v>
      </c>
      <c r="U215" s="12">
        <v>0</v>
      </c>
      <c r="V215" s="12" t="s">
        <v>73</v>
      </c>
      <c r="W215" s="12">
        <v>0</v>
      </c>
      <c r="X215" s="12">
        <v>70</v>
      </c>
      <c r="Y215" s="12">
        <v>84</v>
      </c>
      <c r="Z215" s="12">
        <v>6</v>
      </c>
      <c r="AA215" s="12">
        <v>3.18</v>
      </c>
      <c r="AB215" s="12">
        <v>459</v>
      </c>
      <c r="AC215" s="12">
        <v>459</v>
      </c>
      <c r="AD215" s="12" t="s">
        <v>73</v>
      </c>
      <c r="AE215" s="12">
        <v>0</v>
      </c>
      <c r="AF215" s="12" t="s">
        <v>73</v>
      </c>
      <c r="AG215" s="12">
        <v>0</v>
      </c>
      <c r="AH215" s="12">
        <v>70</v>
      </c>
      <c r="AI215" s="12">
        <v>84</v>
      </c>
      <c r="AJ215" s="12">
        <v>6</v>
      </c>
      <c r="AK215" s="12">
        <v>3.18</v>
      </c>
      <c r="AL215" s="12">
        <v>406</v>
      </c>
      <c r="AM215" s="12">
        <v>406</v>
      </c>
      <c r="AN215" s="12" t="s">
        <v>73</v>
      </c>
      <c r="AO215" s="12">
        <v>0</v>
      </c>
      <c r="AP215" s="12" t="s">
        <v>73</v>
      </c>
      <c r="AQ215" s="12">
        <v>0</v>
      </c>
      <c r="AR215" s="12">
        <v>70</v>
      </c>
      <c r="AS215" s="12">
        <v>84</v>
      </c>
      <c r="AT215" s="12">
        <v>6</v>
      </c>
      <c r="AU215" s="12">
        <v>3.18</v>
      </c>
      <c r="AV215" s="12">
        <v>498</v>
      </c>
      <c r="AW215" s="12">
        <v>498</v>
      </c>
      <c r="AX215" s="12" t="s">
        <v>73</v>
      </c>
      <c r="AY215" s="12">
        <v>0</v>
      </c>
      <c r="AZ215" s="12" t="s">
        <v>73</v>
      </c>
      <c r="BA215" s="12">
        <v>0</v>
      </c>
    </row>
    <row r="216" spans="1:53" x14ac:dyDescent="0.3">
      <c r="A216" s="12" t="s">
        <v>74</v>
      </c>
      <c r="B216" s="16">
        <v>4202701</v>
      </c>
      <c r="C216" s="12" t="s">
        <v>500</v>
      </c>
      <c r="D216" s="12" t="s">
        <v>73</v>
      </c>
      <c r="E216" s="13">
        <v>0</v>
      </c>
      <c r="F216" s="12">
        <v>67</v>
      </c>
      <c r="G216" s="12">
        <v>35.510000000000005</v>
      </c>
      <c r="H216" s="12">
        <v>633</v>
      </c>
      <c r="I216" s="12">
        <v>633</v>
      </c>
      <c r="J216" s="12" t="s">
        <v>73</v>
      </c>
      <c r="K216" s="12">
        <v>0</v>
      </c>
      <c r="L216" s="12" t="s">
        <v>73</v>
      </c>
      <c r="M216" s="12">
        <v>0</v>
      </c>
      <c r="N216" s="12" t="s">
        <v>73</v>
      </c>
      <c r="O216" s="12">
        <v>0</v>
      </c>
      <c r="P216" s="12">
        <v>64</v>
      </c>
      <c r="Q216" s="12">
        <v>33.92</v>
      </c>
      <c r="R216" s="12">
        <v>720</v>
      </c>
      <c r="S216" s="12">
        <v>720</v>
      </c>
      <c r="T216" s="12" t="s">
        <v>73</v>
      </c>
      <c r="U216" s="12">
        <v>0</v>
      </c>
      <c r="V216" s="12" t="s">
        <v>73</v>
      </c>
      <c r="W216" s="12">
        <v>0</v>
      </c>
      <c r="X216" s="12" t="s">
        <v>73</v>
      </c>
      <c r="Y216" s="12">
        <v>0</v>
      </c>
      <c r="Z216" s="12">
        <v>47</v>
      </c>
      <c r="AA216" s="12">
        <v>24.91</v>
      </c>
      <c r="AB216" s="12">
        <v>810</v>
      </c>
      <c r="AC216" s="12">
        <v>810</v>
      </c>
      <c r="AD216" s="12" t="s">
        <v>73</v>
      </c>
      <c r="AE216" s="12">
        <v>0</v>
      </c>
      <c r="AF216" s="12" t="s">
        <v>73</v>
      </c>
      <c r="AG216" s="12">
        <v>0</v>
      </c>
      <c r="AH216" s="12" t="s">
        <v>73</v>
      </c>
      <c r="AI216" s="12">
        <v>0</v>
      </c>
      <c r="AJ216" s="12">
        <v>45</v>
      </c>
      <c r="AK216" s="12">
        <v>23.85</v>
      </c>
      <c r="AL216" s="12">
        <v>810</v>
      </c>
      <c r="AM216" s="12">
        <v>810</v>
      </c>
      <c r="AN216" s="12" t="s">
        <v>73</v>
      </c>
      <c r="AO216" s="12">
        <v>0</v>
      </c>
      <c r="AP216" s="12" t="s">
        <v>73</v>
      </c>
      <c r="AQ216" s="12">
        <v>0</v>
      </c>
      <c r="AR216" s="12" t="s">
        <v>73</v>
      </c>
      <c r="AS216" s="12">
        <v>0</v>
      </c>
      <c r="AT216" s="12">
        <v>24</v>
      </c>
      <c r="AU216" s="12">
        <v>12.72</v>
      </c>
      <c r="AV216" s="12">
        <v>675</v>
      </c>
      <c r="AW216" s="12">
        <v>675</v>
      </c>
      <c r="AX216" s="12" t="s">
        <v>73</v>
      </c>
      <c r="AY216" s="12">
        <v>0</v>
      </c>
      <c r="AZ216" s="12" t="s">
        <v>73</v>
      </c>
      <c r="BA216" s="12">
        <v>0</v>
      </c>
    </row>
    <row r="217" spans="1:53" x14ac:dyDescent="0.3">
      <c r="A217" s="12" t="s">
        <v>74</v>
      </c>
      <c r="B217" s="16">
        <v>4202909</v>
      </c>
      <c r="C217" s="12" t="s">
        <v>502</v>
      </c>
      <c r="D217" s="12">
        <v>605</v>
      </c>
      <c r="E217" s="13">
        <v>726</v>
      </c>
      <c r="F217" s="12">
        <v>7</v>
      </c>
      <c r="G217" s="12">
        <v>3.71</v>
      </c>
      <c r="H217" s="12" t="s">
        <v>73</v>
      </c>
      <c r="I217" s="12" t="s">
        <v>73</v>
      </c>
      <c r="J217" s="12" t="s">
        <v>73</v>
      </c>
      <c r="K217" s="12">
        <v>0</v>
      </c>
      <c r="L217" s="12" t="s">
        <v>73</v>
      </c>
      <c r="M217" s="12">
        <v>0</v>
      </c>
      <c r="N217" s="12">
        <v>605</v>
      </c>
      <c r="O217" s="12">
        <v>726</v>
      </c>
      <c r="P217" s="12">
        <v>7</v>
      </c>
      <c r="Q217" s="12">
        <v>3.71</v>
      </c>
      <c r="R217" s="12" t="s">
        <v>73</v>
      </c>
      <c r="S217" s="12" t="s">
        <v>73</v>
      </c>
      <c r="T217" s="12" t="s">
        <v>73</v>
      </c>
      <c r="U217" s="12">
        <v>0</v>
      </c>
      <c r="V217" s="12" t="s">
        <v>73</v>
      </c>
      <c r="W217" s="12">
        <v>0</v>
      </c>
      <c r="X217" s="12">
        <v>500</v>
      </c>
      <c r="Y217" s="12">
        <v>600</v>
      </c>
      <c r="Z217" s="12">
        <v>8</v>
      </c>
      <c r="AA217" s="12">
        <v>4.24</v>
      </c>
      <c r="AB217" s="12" t="s">
        <v>73</v>
      </c>
      <c r="AC217" s="12" t="s">
        <v>73</v>
      </c>
      <c r="AD217" s="12" t="s">
        <v>73</v>
      </c>
      <c r="AE217" s="12">
        <v>0</v>
      </c>
      <c r="AF217" s="12" t="s">
        <v>73</v>
      </c>
      <c r="AG217" s="12">
        <v>0</v>
      </c>
      <c r="AH217" s="12">
        <v>100</v>
      </c>
      <c r="AI217" s="12">
        <v>120</v>
      </c>
      <c r="AJ217" s="12">
        <v>28</v>
      </c>
      <c r="AK217" s="12">
        <v>14.84</v>
      </c>
      <c r="AL217" s="12" t="s">
        <v>73</v>
      </c>
      <c r="AM217" s="12" t="s">
        <v>73</v>
      </c>
      <c r="AN217" s="12" t="s">
        <v>73</v>
      </c>
      <c r="AO217" s="12">
        <v>0</v>
      </c>
      <c r="AP217" s="12" t="s">
        <v>73</v>
      </c>
      <c r="AQ217" s="12">
        <v>0</v>
      </c>
      <c r="AR217" s="12">
        <v>100</v>
      </c>
      <c r="AS217" s="12">
        <v>120</v>
      </c>
      <c r="AT217" s="12">
        <v>24</v>
      </c>
      <c r="AU217" s="12">
        <v>12.72</v>
      </c>
      <c r="AV217" s="12" t="s">
        <v>73</v>
      </c>
      <c r="AW217" s="12" t="s">
        <v>73</v>
      </c>
      <c r="AX217" s="12" t="s">
        <v>73</v>
      </c>
      <c r="AY217" s="12">
        <v>0</v>
      </c>
      <c r="AZ217" s="12" t="s">
        <v>73</v>
      </c>
      <c r="BA217" s="12">
        <v>0</v>
      </c>
    </row>
    <row r="218" spans="1:53" x14ac:dyDescent="0.3">
      <c r="A218" s="12" t="s">
        <v>74</v>
      </c>
      <c r="B218" s="16">
        <v>4205159</v>
      </c>
      <c r="C218" s="12" t="s">
        <v>504</v>
      </c>
      <c r="D218" s="12">
        <v>6330</v>
      </c>
      <c r="E218" s="13">
        <v>7596</v>
      </c>
      <c r="F218" s="12" t="s">
        <v>73</v>
      </c>
      <c r="G218" s="12">
        <v>0</v>
      </c>
      <c r="H218" s="12">
        <v>730</v>
      </c>
      <c r="I218" s="12">
        <v>730</v>
      </c>
      <c r="J218" s="12">
        <v>334</v>
      </c>
      <c r="K218" s="12">
        <v>501</v>
      </c>
      <c r="L218" s="12">
        <v>70</v>
      </c>
      <c r="M218" s="12">
        <v>91</v>
      </c>
      <c r="N218" s="12">
        <v>6611</v>
      </c>
      <c r="O218" s="12">
        <v>7933.2</v>
      </c>
      <c r="P218" s="12" t="s">
        <v>73</v>
      </c>
      <c r="Q218" s="12">
        <v>0</v>
      </c>
      <c r="R218" s="12">
        <v>584</v>
      </c>
      <c r="S218" s="12">
        <v>584</v>
      </c>
      <c r="T218" s="12">
        <v>334</v>
      </c>
      <c r="U218" s="12">
        <v>501</v>
      </c>
      <c r="V218" s="12">
        <v>70</v>
      </c>
      <c r="W218" s="12">
        <v>91</v>
      </c>
      <c r="X218" s="12">
        <v>7596</v>
      </c>
      <c r="Y218" s="12">
        <v>9115.1999999999989</v>
      </c>
      <c r="Z218" s="12" t="s">
        <v>73</v>
      </c>
      <c r="AA218" s="12">
        <v>0</v>
      </c>
      <c r="AB218" s="12">
        <v>730</v>
      </c>
      <c r="AC218" s="12">
        <v>730</v>
      </c>
      <c r="AD218" s="12">
        <v>334</v>
      </c>
      <c r="AE218" s="12">
        <v>501</v>
      </c>
      <c r="AF218" s="12">
        <v>70</v>
      </c>
      <c r="AG218" s="12">
        <v>91</v>
      </c>
      <c r="AH218" s="12">
        <v>6846</v>
      </c>
      <c r="AI218" s="12">
        <v>8215.1999999999989</v>
      </c>
      <c r="AJ218" s="12" t="s">
        <v>73</v>
      </c>
      <c r="AK218" s="12">
        <v>0</v>
      </c>
      <c r="AL218" s="12">
        <v>681</v>
      </c>
      <c r="AM218" s="12">
        <v>681</v>
      </c>
      <c r="AN218" s="12">
        <v>1139</v>
      </c>
      <c r="AO218" s="12">
        <v>1708.5</v>
      </c>
      <c r="AP218" s="12">
        <v>70</v>
      </c>
      <c r="AQ218" s="12">
        <v>91</v>
      </c>
      <c r="AR218" s="12">
        <v>7750</v>
      </c>
      <c r="AS218" s="12">
        <v>9300</v>
      </c>
      <c r="AT218" s="12" t="s">
        <v>73</v>
      </c>
      <c r="AU218" s="12">
        <v>0</v>
      </c>
      <c r="AV218" s="12">
        <v>681</v>
      </c>
      <c r="AW218" s="12">
        <v>681</v>
      </c>
      <c r="AX218" s="12">
        <v>1139</v>
      </c>
      <c r="AY218" s="12">
        <v>1708.5</v>
      </c>
      <c r="AZ218" s="12">
        <v>70</v>
      </c>
      <c r="BA218" s="12">
        <v>91</v>
      </c>
    </row>
    <row r="219" spans="1:53" x14ac:dyDescent="0.3">
      <c r="A219" s="12" t="s">
        <v>74</v>
      </c>
      <c r="B219" s="16">
        <v>4205902</v>
      </c>
      <c r="C219" s="12" t="s">
        <v>506</v>
      </c>
      <c r="D219" s="12">
        <v>20700</v>
      </c>
      <c r="E219" s="13">
        <v>24840</v>
      </c>
      <c r="F219" s="12">
        <v>3</v>
      </c>
      <c r="G219" s="12">
        <v>1.59</v>
      </c>
      <c r="H219" s="12">
        <v>36</v>
      </c>
      <c r="I219" s="12">
        <v>36</v>
      </c>
      <c r="J219" s="12" t="s">
        <v>73</v>
      </c>
      <c r="K219" s="12">
        <v>0</v>
      </c>
      <c r="L219" s="12" t="s">
        <v>73</v>
      </c>
      <c r="M219" s="12">
        <v>0</v>
      </c>
      <c r="N219" s="12">
        <v>20700</v>
      </c>
      <c r="O219" s="12">
        <v>24840</v>
      </c>
      <c r="P219" s="12">
        <v>3</v>
      </c>
      <c r="Q219" s="12">
        <v>1.59</v>
      </c>
      <c r="R219" s="12">
        <v>36</v>
      </c>
      <c r="S219" s="12">
        <v>36</v>
      </c>
      <c r="T219" s="12" t="s">
        <v>73</v>
      </c>
      <c r="U219" s="12">
        <v>0</v>
      </c>
      <c r="V219" s="12" t="s">
        <v>73</v>
      </c>
      <c r="W219" s="12">
        <v>0</v>
      </c>
      <c r="X219" s="12">
        <v>23450</v>
      </c>
      <c r="Y219" s="12">
        <v>28140</v>
      </c>
      <c r="Z219" s="12">
        <v>3</v>
      </c>
      <c r="AA219" s="12">
        <v>1.59</v>
      </c>
      <c r="AB219" s="12">
        <v>36</v>
      </c>
      <c r="AC219" s="12">
        <v>36</v>
      </c>
      <c r="AD219" s="12" t="s">
        <v>73</v>
      </c>
      <c r="AE219" s="12">
        <v>0</v>
      </c>
      <c r="AF219" s="12" t="s">
        <v>73</v>
      </c>
      <c r="AG219" s="12">
        <v>0</v>
      </c>
      <c r="AH219" s="12">
        <v>21617</v>
      </c>
      <c r="AI219" s="12">
        <v>25940.399999999998</v>
      </c>
      <c r="AJ219" s="12">
        <v>3</v>
      </c>
      <c r="AK219" s="12">
        <v>1.59</v>
      </c>
      <c r="AL219" s="12">
        <v>36</v>
      </c>
      <c r="AM219" s="12">
        <v>36</v>
      </c>
      <c r="AN219" s="12" t="s">
        <v>73</v>
      </c>
      <c r="AO219" s="12">
        <v>0</v>
      </c>
      <c r="AP219" s="12" t="s">
        <v>73</v>
      </c>
      <c r="AQ219" s="12">
        <v>0</v>
      </c>
      <c r="AR219" s="12">
        <v>23651</v>
      </c>
      <c r="AS219" s="12">
        <v>28381.200000000001</v>
      </c>
      <c r="AT219" s="12">
        <v>3</v>
      </c>
      <c r="AU219" s="12">
        <v>1.59</v>
      </c>
      <c r="AV219" s="12">
        <v>36</v>
      </c>
      <c r="AW219" s="12">
        <v>36</v>
      </c>
      <c r="AX219" s="12" t="s">
        <v>73</v>
      </c>
      <c r="AY219" s="12">
        <v>0</v>
      </c>
      <c r="AZ219" s="12" t="s">
        <v>73</v>
      </c>
      <c r="BA219" s="12">
        <v>0</v>
      </c>
    </row>
    <row r="220" spans="1:53" x14ac:dyDescent="0.3">
      <c r="A220" s="12" t="s">
        <v>74</v>
      </c>
      <c r="B220" s="16">
        <v>4206306</v>
      </c>
      <c r="C220" s="12" t="s">
        <v>508</v>
      </c>
      <c r="D220" s="12">
        <v>300</v>
      </c>
      <c r="E220" s="13">
        <v>360</v>
      </c>
      <c r="F220" s="12">
        <v>22</v>
      </c>
      <c r="G220" s="12">
        <v>11.66</v>
      </c>
      <c r="H220" s="12">
        <v>630</v>
      </c>
      <c r="I220" s="12">
        <v>630</v>
      </c>
      <c r="J220" s="12" t="s">
        <v>73</v>
      </c>
      <c r="K220" s="12">
        <v>0</v>
      </c>
      <c r="L220" s="12" t="s">
        <v>73</v>
      </c>
      <c r="M220" s="12">
        <v>0</v>
      </c>
      <c r="N220" s="12">
        <v>300</v>
      </c>
      <c r="O220" s="12">
        <v>360</v>
      </c>
      <c r="P220" s="12">
        <v>22</v>
      </c>
      <c r="Q220" s="12">
        <v>11.66</v>
      </c>
      <c r="R220" s="12">
        <v>630</v>
      </c>
      <c r="S220" s="12">
        <v>630</v>
      </c>
      <c r="T220" s="12" t="s">
        <v>73</v>
      </c>
      <c r="U220" s="12">
        <v>0</v>
      </c>
      <c r="V220" s="12" t="s">
        <v>73</v>
      </c>
      <c r="W220" s="12">
        <v>0</v>
      </c>
      <c r="X220" s="12">
        <v>400</v>
      </c>
      <c r="Y220" s="12">
        <v>480</v>
      </c>
      <c r="Z220" s="12">
        <v>41</v>
      </c>
      <c r="AA220" s="12">
        <v>21.73</v>
      </c>
      <c r="AB220" s="12">
        <v>560</v>
      </c>
      <c r="AC220" s="12">
        <v>560</v>
      </c>
      <c r="AD220" s="12" t="s">
        <v>73</v>
      </c>
      <c r="AE220" s="12">
        <v>0</v>
      </c>
      <c r="AF220" s="12" t="s">
        <v>73</v>
      </c>
      <c r="AG220" s="12">
        <v>0</v>
      </c>
      <c r="AH220" s="12">
        <v>400</v>
      </c>
      <c r="AI220" s="12">
        <v>480</v>
      </c>
      <c r="AJ220" s="12">
        <v>41</v>
      </c>
      <c r="AK220" s="12">
        <v>21.73</v>
      </c>
      <c r="AL220" s="12">
        <v>560</v>
      </c>
      <c r="AM220" s="12">
        <v>560</v>
      </c>
      <c r="AN220" s="12" t="s">
        <v>73</v>
      </c>
      <c r="AO220" s="12">
        <v>0</v>
      </c>
      <c r="AP220" s="12" t="s">
        <v>73</v>
      </c>
      <c r="AQ220" s="12">
        <v>0</v>
      </c>
      <c r="AR220" s="12">
        <v>400</v>
      </c>
      <c r="AS220" s="12">
        <v>480</v>
      </c>
      <c r="AT220" s="12">
        <v>25</v>
      </c>
      <c r="AU220" s="12">
        <v>13.25</v>
      </c>
      <c r="AV220" s="12">
        <v>70</v>
      </c>
      <c r="AW220" s="12">
        <v>70</v>
      </c>
      <c r="AX220" s="12" t="s">
        <v>73</v>
      </c>
      <c r="AY220" s="12">
        <v>0</v>
      </c>
      <c r="AZ220" s="12" t="s">
        <v>73</v>
      </c>
      <c r="BA220" s="12">
        <v>0</v>
      </c>
    </row>
    <row r="221" spans="1:53" x14ac:dyDescent="0.3">
      <c r="A221" s="12" t="s">
        <v>74</v>
      </c>
      <c r="B221" s="16">
        <v>4207502</v>
      </c>
      <c r="C221" s="12" t="s">
        <v>510</v>
      </c>
      <c r="D221" s="12">
        <v>1683</v>
      </c>
      <c r="E221" s="13">
        <v>2019.6</v>
      </c>
      <c r="F221" s="12">
        <v>11</v>
      </c>
      <c r="G221" s="12">
        <v>5.83</v>
      </c>
      <c r="H221" s="12">
        <v>541</v>
      </c>
      <c r="I221" s="12">
        <v>541</v>
      </c>
      <c r="J221" s="12" t="s">
        <v>73</v>
      </c>
      <c r="K221" s="12">
        <v>0</v>
      </c>
      <c r="L221" s="12" t="s">
        <v>73</v>
      </c>
      <c r="M221" s="12">
        <v>0</v>
      </c>
      <c r="N221" s="12">
        <v>1683</v>
      </c>
      <c r="O221" s="12">
        <v>2019.6</v>
      </c>
      <c r="P221" s="12">
        <v>11</v>
      </c>
      <c r="Q221" s="12">
        <v>5.83</v>
      </c>
      <c r="R221" s="12">
        <v>541</v>
      </c>
      <c r="S221" s="12">
        <v>541</v>
      </c>
      <c r="T221" s="12" t="s">
        <v>73</v>
      </c>
      <c r="U221" s="12">
        <v>0</v>
      </c>
      <c r="V221" s="12" t="s">
        <v>73</v>
      </c>
      <c r="W221" s="12">
        <v>0</v>
      </c>
      <c r="X221" s="12">
        <v>1698</v>
      </c>
      <c r="Y221" s="12">
        <v>2037.6</v>
      </c>
      <c r="Z221" s="12">
        <v>10</v>
      </c>
      <c r="AA221" s="12">
        <v>5.3000000000000007</v>
      </c>
      <c r="AB221" s="12">
        <v>269</v>
      </c>
      <c r="AC221" s="12">
        <v>269</v>
      </c>
      <c r="AD221" s="12" t="s">
        <v>73</v>
      </c>
      <c r="AE221" s="12">
        <v>0</v>
      </c>
      <c r="AF221" s="12" t="s">
        <v>73</v>
      </c>
      <c r="AG221" s="12">
        <v>0</v>
      </c>
      <c r="AH221" s="12">
        <v>1693</v>
      </c>
      <c r="AI221" s="12">
        <v>2031.6</v>
      </c>
      <c r="AJ221" s="12">
        <v>10</v>
      </c>
      <c r="AK221" s="12">
        <v>5.3000000000000007</v>
      </c>
      <c r="AL221" s="12">
        <v>280</v>
      </c>
      <c r="AM221" s="12">
        <v>280</v>
      </c>
      <c r="AN221" s="12" t="s">
        <v>73</v>
      </c>
      <c r="AO221" s="12">
        <v>0</v>
      </c>
      <c r="AP221" s="12" t="s">
        <v>73</v>
      </c>
      <c r="AQ221" s="12">
        <v>0</v>
      </c>
      <c r="AR221" s="12">
        <v>1693</v>
      </c>
      <c r="AS221" s="12">
        <v>2031.6</v>
      </c>
      <c r="AT221" s="12">
        <v>10</v>
      </c>
      <c r="AU221" s="12">
        <v>5.3000000000000007</v>
      </c>
      <c r="AV221" s="12">
        <v>280</v>
      </c>
      <c r="AW221" s="12">
        <v>280</v>
      </c>
      <c r="AX221" s="12" t="s">
        <v>73</v>
      </c>
      <c r="AY221" s="12">
        <v>0</v>
      </c>
      <c r="AZ221" s="12" t="s">
        <v>73</v>
      </c>
      <c r="BA221" s="12">
        <v>0</v>
      </c>
    </row>
    <row r="222" spans="1:53" x14ac:dyDescent="0.3">
      <c r="A222" s="12" t="s">
        <v>74</v>
      </c>
      <c r="B222" s="16">
        <v>4210001</v>
      </c>
      <c r="C222" s="12" t="s">
        <v>512</v>
      </c>
      <c r="D222" s="12">
        <v>2920</v>
      </c>
      <c r="E222" s="13">
        <v>3504</v>
      </c>
      <c r="F222" s="12" t="s">
        <v>73</v>
      </c>
      <c r="G222" s="12">
        <v>0</v>
      </c>
      <c r="H222" s="12" t="s">
        <v>73</v>
      </c>
      <c r="I222" s="12" t="s">
        <v>73</v>
      </c>
      <c r="J222" s="12" t="s">
        <v>73</v>
      </c>
      <c r="K222" s="12">
        <v>0</v>
      </c>
      <c r="L222" s="12" t="s">
        <v>73</v>
      </c>
      <c r="M222" s="12">
        <v>0</v>
      </c>
      <c r="N222" s="12">
        <v>2920</v>
      </c>
      <c r="O222" s="12">
        <v>3504</v>
      </c>
      <c r="P222" s="12" t="s">
        <v>73</v>
      </c>
      <c r="Q222" s="12">
        <v>0</v>
      </c>
      <c r="R222" s="12" t="s">
        <v>73</v>
      </c>
      <c r="S222" s="12" t="s">
        <v>73</v>
      </c>
      <c r="T222" s="12" t="s">
        <v>73</v>
      </c>
      <c r="U222" s="12">
        <v>0</v>
      </c>
      <c r="V222" s="12" t="s">
        <v>73</v>
      </c>
      <c r="W222" s="12">
        <v>0</v>
      </c>
      <c r="X222" s="12">
        <v>1825</v>
      </c>
      <c r="Y222" s="12">
        <v>2190</v>
      </c>
      <c r="Z222" s="12" t="s">
        <v>73</v>
      </c>
      <c r="AA222" s="12">
        <v>0</v>
      </c>
      <c r="AB222" s="12" t="s">
        <v>73</v>
      </c>
      <c r="AC222" s="12" t="s">
        <v>73</v>
      </c>
      <c r="AD222" s="12" t="s">
        <v>73</v>
      </c>
      <c r="AE222" s="12">
        <v>0</v>
      </c>
      <c r="AF222" s="12" t="s">
        <v>73</v>
      </c>
      <c r="AG222" s="12">
        <v>0</v>
      </c>
      <c r="AH222" s="12">
        <v>1825</v>
      </c>
      <c r="AI222" s="12">
        <v>2190</v>
      </c>
      <c r="AJ222" s="12" t="s">
        <v>73</v>
      </c>
      <c r="AK222" s="12">
        <v>0</v>
      </c>
      <c r="AL222" s="12" t="s">
        <v>73</v>
      </c>
      <c r="AM222" s="12" t="s">
        <v>73</v>
      </c>
      <c r="AN222" s="12" t="s">
        <v>73</v>
      </c>
      <c r="AO222" s="12">
        <v>0</v>
      </c>
      <c r="AP222" s="12" t="s">
        <v>73</v>
      </c>
      <c r="AQ222" s="12">
        <v>0</v>
      </c>
      <c r="AR222" s="12">
        <v>2700</v>
      </c>
      <c r="AS222" s="12">
        <v>3240</v>
      </c>
      <c r="AT222" s="12" t="s">
        <v>73</v>
      </c>
      <c r="AU222" s="12">
        <v>0</v>
      </c>
      <c r="AV222" s="12" t="s">
        <v>73</v>
      </c>
      <c r="AW222" s="12" t="s">
        <v>73</v>
      </c>
      <c r="AX222" s="12" t="s">
        <v>73</v>
      </c>
      <c r="AY222" s="12">
        <v>0</v>
      </c>
      <c r="AZ222" s="12" t="s">
        <v>73</v>
      </c>
      <c r="BA222" s="12">
        <v>0</v>
      </c>
    </row>
    <row r="223" spans="1:53" x14ac:dyDescent="0.3">
      <c r="A223" s="12" t="s">
        <v>74</v>
      </c>
      <c r="B223" s="16">
        <v>4213203</v>
      </c>
      <c r="C223" s="12" t="s">
        <v>514</v>
      </c>
      <c r="D223" s="12" t="s">
        <v>73</v>
      </c>
      <c r="E223" s="13">
        <v>0</v>
      </c>
      <c r="F223" s="12">
        <v>2</v>
      </c>
      <c r="G223" s="12">
        <v>1.06</v>
      </c>
      <c r="H223" s="12">
        <v>441</v>
      </c>
      <c r="I223" s="12">
        <v>441</v>
      </c>
      <c r="J223" s="12" t="s">
        <v>73</v>
      </c>
      <c r="K223" s="12">
        <v>0</v>
      </c>
      <c r="L223" s="12" t="s">
        <v>73</v>
      </c>
      <c r="M223" s="12">
        <v>0</v>
      </c>
      <c r="N223" s="12" t="s">
        <v>73</v>
      </c>
      <c r="O223" s="12">
        <v>0</v>
      </c>
      <c r="P223" s="12">
        <v>2</v>
      </c>
      <c r="Q223" s="12">
        <v>1.06</v>
      </c>
      <c r="R223" s="12">
        <v>441</v>
      </c>
      <c r="S223" s="12">
        <v>441</v>
      </c>
      <c r="T223" s="12" t="s">
        <v>73</v>
      </c>
      <c r="U223" s="12">
        <v>0</v>
      </c>
      <c r="V223" s="12" t="s">
        <v>73</v>
      </c>
      <c r="W223" s="12">
        <v>0</v>
      </c>
      <c r="X223" s="12" t="s">
        <v>73</v>
      </c>
      <c r="Y223" s="12">
        <v>0</v>
      </c>
      <c r="Z223" s="12">
        <v>2</v>
      </c>
      <c r="AA223" s="12">
        <v>1.06</v>
      </c>
      <c r="AB223" s="12">
        <v>411</v>
      </c>
      <c r="AC223" s="12">
        <v>411</v>
      </c>
      <c r="AD223" s="12" t="s">
        <v>73</v>
      </c>
      <c r="AE223" s="12">
        <v>0</v>
      </c>
      <c r="AF223" s="12" t="s">
        <v>73</v>
      </c>
      <c r="AG223" s="12">
        <v>0</v>
      </c>
      <c r="AH223" s="12" t="s">
        <v>73</v>
      </c>
      <c r="AI223" s="12">
        <v>0</v>
      </c>
      <c r="AJ223" s="12">
        <v>2</v>
      </c>
      <c r="AK223" s="12">
        <v>1.06</v>
      </c>
      <c r="AL223" s="12">
        <v>438</v>
      </c>
      <c r="AM223" s="12">
        <v>438</v>
      </c>
      <c r="AN223" s="12" t="s">
        <v>73</v>
      </c>
      <c r="AO223" s="12">
        <v>0</v>
      </c>
      <c r="AP223" s="12" t="s">
        <v>73</v>
      </c>
      <c r="AQ223" s="12">
        <v>0</v>
      </c>
      <c r="AR223" s="12" t="s">
        <v>73</v>
      </c>
      <c r="AS223" s="12">
        <v>0</v>
      </c>
      <c r="AT223" s="12">
        <v>2</v>
      </c>
      <c r="AU223" s="12">
        <v>1.06</v>
      </c>
      <c r="AV223" s="12">
        <v>438</v>
      </c>
      <c r="AW223" s="12">
        <v>438</v>
      </c>
      <c r="AX223" s="12" t="s">
        <v>73</v>
      </c>
      <c r="AY223" s="12">
        <v>0</v>
      </c>
      <c r="AZ223" s="12" t="s">
        <v>73</v>
      </c>
      <c r="BA223" s="12">
        <v>0</v>
      </c>
    </row>
    <row r="224" spans="1:53" x14ac:dyDescent="0.3">
      <c r="A224" s="12" t="s">
        <v>74</v>
      </c>
      <c r="B224" s="16">
        <v>4214706</v>
      </c>
      <c r="C224" s="12" t="s">
        <v>516</v>
      </c>
      <c r="D224" s="12">
        <v>6525</v>
      </c>
      <c r="E224" s="13">
        <v>7830</v>
      </c>
      <c r="F224" s="12">
        <v>5</v>
      </c>
      <c r="G224" s="12">
        <v>2.6500000000000004</v>
      </c>
      <c r="H224" s="12">
        <v>916</v>
      </c>
      <c r="I224" s="12">
        <v>916</v>
      </c>
      <c r="J224" s="12">
        <v>174</v>
      </c>
      <c r="K224" s="12">
        <v>261</v>
      </c>
      <c r="L224" s="12" t="s">
        <v>73</v>
      </c>
      <c r="M224" s="12">
        <v>0</v>
      </c>
      <c r="N224" s="12">
        <v>6525</v>
      </c>
      <c r="O224" s="12">
        <v>7830</v>
      </c>
      <c r="P224" s="12">
        <v>5</v>
      </c>
      <c r="Q224" s="12">
        <v>2.6500000000000004</v>
      </c>
      <c r="R224" s="12">
        <v>610</v>
      </c>
      <c r="S224" s="12">
        <v>610</v>
      </c>
      <c r="T224" s="12">
        <v>88</v>
      </c>
      <c r="U224" s="12">
        <v>132</v>
      </c>
      <c r="V224" s="12" t="s">
        <v>73</v>
      </c>
      <c r="W224" s="12">
        <v>0</v>
      </c>
      <c r="X224" s="12">
        <v>6525</v>
      </c>
      <c r="Y224" s="12">
        <v>7830</v>
      </c>
      <c r="Z224" s="12">
        <v>5</v>
      </c>
      <c r="AA224" s="12">
        <v>2.6500000000000004</v>
      </c>
      <c r="AB224" s="12">
        <v>630</v>
      </c>
      <c r="AC224" s="12">
        <v>630</v>
      </c>
      <c r="AD224" s="12">
        <v>89</v>
      </c>
      <c r="AE224" s="12">
        <v>133.5</v>
      </c>
      <c r="AF224" s="12" t="s">
        <v>73</v>
      </c>
      <c r="AG224" s="12">
        <v>0</v>
      </c>
      <c r="AH224" s="12">
        <v>6525</v>
      </c>
      <c r="AI224" s="12">
        <v>7830</v>
      </c>
      <c r="AJ224" s="12">
        <v>5</v>
      </c>
      <c r="AK224" s="12">
        <v>2.6500000000000004</v>
      </c>
      <c r="AL224" s="12">
        <v>732</v>
      </c>
      <c r="AM224" s="12">
        <v>732</v>
      </c>
      <c r="AN224" s="12">
        <v>91</v>
      </c>
      <c r="AO224" s="12">
        <v>136.5</v>
      </c>
      <c r="AP224" s="12" t="s">
        <v>73</v>
      </c>
      <c r="AQ224" s="12">
        <v>0</v>
      </c>
      <c r="AR224" s="12">
        <v>6525</v>
      </c>
      <c r="AS224" s="12">
        <v>7830</v>
      </c>
      <c r="AT224" s="12">
        <v>5</v>
      </c>
      <c r="AU224" s="12">
        <v>2.6500000000000004</v>
      </c>
      <c r="AV224" s="12">
        <v>862</v>
      </c>
      <c r="AW224" s="12">
        <v>862</v>
      </c>
      <c r="AX224" s="12">
        <v>91</v>
      </c>
      <c r="AY224" s="12">
        <v>136.5</v>
      </c>
      <c r="AZ224" s="12" t="s">
        <v>73</v>
      </c>
      <c r="BA224" s="12">
        <v>0</v>
      </c>
    </row>
    <row r="225" spans="1:53" x14ac:dyDescent="0.3">
      <c r="A225" s="12" t="s">
        <v>74</v>
      </c>
      <c r="B225" s="16">
        <v>4215109</v>
      </c>
      <c r="C225" s="12" t="s">
        <v>518</v>
      </c>
      <c r="D225" s="12">
        <v>4575</v>
      </c>
      <c r="E225" s="13">
        <v>5490</v>
      </c>
      <c r="F225" s="12">
        <v>2</v>
      </c>
      <c r="G225" s="12">
        <v>1.06</v>
      </c>
      <c r="H225" s="12">
        <v>190</v>
      </c>
      <c r="I225" s="12">
        <v>190</v>
      </c>
      <c r="J225" s="12" t="s">
        <v>73</v>
      </c>
      <c r="K225" s="12">
        <v>0</v>
      </c>
      <c r="L225" s="12" t="s">
        <v>73</v>
      </c>
      <c r="M225" s="12">
        <v>0</v>
      </c>
      <c r="N225" s="12">
        <v>4575</v>
      </c>
      <c r="O225" s="12">
        <v>5490</v>
      </c>
      <c r="P225" s="12">
        <v>2</v>
      </c>
      <c r="Q225" s="12">
        <v>1.06</v>
      </c>
      <c r="R225" s="12">
        <v>190</v>
      </c>
      <c r="S225" s="12">
        <v>190</v>
      </c>
      <c r="T225" s="12" t="s">
        <v>73</v>
      </c>
      <c r="U225" s="12">
        <v>0</v>
      </c>
      <c r="V225" s="12" t="s">
        <v>73</v>
      </c>
      <c r="W225" s="12">
        <v>0</v>
      </c>
      <c r="X225" s="12">
        <v>4575</v>
      </c>
      <c r="Y225" s="12">
        <v>5490</v>
      </c>
      <c r="Z225" s="12">
        <v>2</v>
      </c>
      <c r="AA225" s="12">
        <v>1.06</v>
      </c>
      <c r="AB225" s="12">
        <v>184</v>
      </c>
      <c r="AC225" s="12">
        <v>184</v>
      </c>
      <c r="AD225" s="12" t="s">
        <v>73</v>
      </c>
      <c r="AE225" s="12">
        <v>0</v>
      </c>
      <c r="AF225" s="12" t="s">
        <v>73</v>
      </c>
      <c r="AG225" s="12">
        <v>0</v>
      </c>
      <c r="AH225" s="12">
        <v>3666</v>
      </c>
      <c r="AI225" s="12">
        <v>4399.2</v>
      </c>
      <c r="AJ225" s="12">
        <v>2</v>
      </c>
      <c r="AK225" s="12">
        <v>1.06</v>
      </c>
      <c r="AL225" s="12">
        <v>158</v>
      </c>
      <c r="AM225" s="12">
        <v>158</v>
      </c>
      <c r="AN225" s="12" t="s">
        <v>73</v>
      </c>
      <c r="AO225" s="12">
        <v>0</v>
      </c>
      <c r="AP225" s="12" t="s">
        <v>73</v>
      </c>
      <c r="AQ225" s="12">
        <v>0</v>
      </c>
      <c r="AR225" s="12">
        <v>3666</v>
      </c>
      <c r="AS225" s="12">
        <v>4399.2</v>
      </c>
      <c r="AT225" s="12">
        <v>2</v>
      </c>
      <c r="AU225" s="12">
        <v>1.06</v>
      </c>
      <c r="AV225" s="12">
        <v>158</v>
      </c>
      <c r="AW225" s="12">
        <v>158</v>
      </c>
      <c r="AX225" s="12" t="s">
        <v>73</v>
      </c>
      <c r="AY225" s="12">
        <v>0</v>
      </c>
      <c r="AZ225" s="12" t="s">
        <v>73</v>
      </c>
      <c r="BA225" s="12">
        <v>0</v>
      </c>
    </row>
    <row r="226" spans="1:53" x14ac:dyDescent="0.3">
      <c r="A226" s="12" t="s">
        <v>74</v>
      </c>
      <c r="B226" s="16">
        <v>4218202</v>
      </c>
      <c r="C226" s="12" t="s">
        <v>520</v>
      </c>
      <c r="D226" s="12">
        <v>3750</v>
      </c>
      <c r="E226" s="13">
        <v>4500</v>
      </c>
      <c r="F226" s="12" t="s">
        <v>73</v>
      </c>
      <c r="G226" s="12">
        <v>0</v>
      </c>
      <c r="H226" s="12">
        <v>448</v>
      </c>
      <c r="I226" s="12">
        <v>448</v>
      </c>
      <c r="J226" s="12" t="s">
        <v>73</v>
      </c>
      <c r="K226" s="12">
        <v>0</v>
      </c>
      <c r="L226" s="12" t="s">
        <v>73</v>
      </c>
      <c r="M226" s="12">
        <v>0</v>
      </c>
      <c r="N226" s="12">
        <v>3750</v>
      </c>
      <c r="O226" s="12">
        <v>4500</v>
      </c>
      <c r="P226" s="12" t="s">
        <v>73</v>
      </c>
      <c r="Q226" s="12">
        <v>0</v>
      </c>
      <c r="R226" s="12">
        <v>448</v>
      </c>
      <c r="S226" s="12">
        <v>448</v>
      </c>
      <c r="T226" s="12" t="s">
        <v>73</v>
      </c>
      <c r="U226" s="12">
        <v>0</v>
      </c>
      <c r="V226" s="12" t="s">
        <v>73</v>
      </c>
      <c r="W226" s="12">
        <v>0</v>
      </c>
      <c r="X226" s="12">
        <v>3834</v>
      </c>
      <c r="Y226" s="12">
        <v>4600.8</v>
      </c>
      <c r="Z226" s="12" t="s">
        <v>73</v>
      </c>
      <c r="AA226" s="12">
        <v>0</v>
      </c>
      <c r="AB226" s="12">
        <v>448</v>
      </c>
      <c r="AC226" s="12">
        <v>448</v>
      </c>
      <c r="AD226" s="12" t="s">
        <v>73</v>
      </c>
      <c r="AE226" s="12">
        <v>0</v>
      </c>
      <c r="AF226" s="12" t="s">
        <v>73</v>
      </c>
      <c r="AG226" s="12">
        <v>0</v>
      </c>
      <c r="AH226" s="12">
        <v>3778</v>
      </c>
      <c r="AI226" s="12">
        <v>4533.5999999999995</v>
      </c>
      <c r="AJ226" s="12" t="s">
        <v>73</v>
      </c>
      <c r="AK226" s="12">
        <v>0</v>
      </c>
      <c r="AL226" s="12">
        <v>448</v>
      </c>
      <c r="AM226" s="12">
        <v>448</v>
      </c>
      <c r="AN226" s="12" t="s">
        <v>73</v>
      </c>
      <c r="AO226" s="12">
        <v>0</v>
      </c>
      <c r="AP226" s="12" t="s">
        <v>73</v>
      </c>
      <c r="AQ226" s="12">
        <v>0</v>
      </c>
      <c r="AR226" s="12">
        <v>3778</v>
      </c>
      <c r="AS226" s="12">
        <v>4533.5999999999995</v>
      </c>
      <c r="AT226" s="12" t="s">
        <v>73</v>
      </c>
      <c r="AU226" s="12">
        <v>0</v>
      </c>
      <c r="AV226" s="12">
        <v>448</v>
      </c>
      <c r="AW226" s="12">
        <v>448</v>
      </c>
      <c r="AX226" s="12" t="s">
        <v>73</v>
      </c>
      <c r="AY226" s="12">
        <v>0</v>
      </c>
      <c r="AZ226" s="12" t="s">
        <v>73</v>
      </c>
      <c r="BA226" s="12">
        <v>0</v>
      </c>
    </row>
    <row r="227" spans="1:53" x14ac:dyDescent="0.3">
      <c r="A227" s="12" t="s">
        <v>70</v>
      </c>
      <c r="B227" s="16">
        <v>42013</v>
      </c>
      <c r="C227" s="12" t="s">
        <v>522</v>
      </c>
      <c r="D227" s="12">
        <v>74721</v>
      </c>
      <c r="E227" s="13">
        <v>89665.2</v>
      </c>
      <c r="F227" s="12">
        <v>11</v>
      </c>
      <c r="G227" s="12">
        <v>5.83</v>
      </c>
      <c r="H227" s="12">
        <v>58</v>
      </c>
      <c r="I227" s="12">
        <v>58</v>
      </c>
      <c r="J227" s="12" t="s">
        <v>73</v>
      </c>
      <c r="K227" s="12">
        <v>0</v>
      </c>
      <c r="L227" s="12" t="s">
        <v>73</v>
      </c>
      <c r="M227" s="12">
        <v>0</v>
      </c>
      <c r="N227" s="12">
        <v>73773</v>
      </c>
      <c r="O227" s="12">
        <v>88527.599999999991</v>
      </c>
      <c r="P227" s="12">
        <v>11</v>
      </c>
      <c r="Q227" s="12">
        <v>5.83</v>
      </c>
      <c r="R227" s="12">
        <v>58</v>
      </c>
      <c r="S227" s="12">
        <v>58</v>
      </c>
      <c r="T227" s="12" t="s">
        <v>73</v>
      </c>
      <c r="U227" s="12">
        <v>0</v>
      </c>
      <c r="V227" s="12" t="s">
        <v>73</v>
      </c>
      <c r="W227" s="12">
        <v>0</v>
      </c>
      <c r="X227" s="12">
        <v>75098</v>
      </c>
      <c r="Y227" s="12">
        <v>90117.599999999991</v>
      </c>
      <c r="Z227" s="12">
        <v>12</v>
      </c>
      <c r="AA227" s="12">
        <v>6.36</v>
      </c>
      <c r="AB227" s="12">
        <v>340</v>
      </c>
      <c r="AC227" s="12">
        <v>340</v>
      </c>
      <c r="AD227" s="12" t="s">
        <v>73</v>
      </c>
      <c r="AE227" s="12">
        <v>0</v>
      </c>
      <c r="AF227" s="12" t="s">
        <v>73</v>
      </c>
      <c r="AG227" s="12">
        <v>0</v>
      </c>
      <c r="AH227" s="12">
        <v>79945</v>
      </c>
      <c r="AI227" s="12">
        <v>95934</v>
      </c>
      <c r="AJ227" s="12">
        <v>17</v>
      </c>
      <c r="AK227" s="12">
        <v>9.01</v>
      </c>
      <c r="AL227" s="12">
        <v>580</v>
      </c>
      <c r="AM227" s="12">
        <v>580</v>
      </c>
      <c r="AN227" s="12" t="s">
        <v>73</v>
      </c>
      <c r="AO227" s="12">
        <v>0</v>
      </c>
      <c r="AP227" s="12" t="s">
        <v>73</v>
      </c>
      <c r="AQ227" s="12">
        <v>0</v>
      </c>
      <c r="AR227" s="12">
        <v>74577</v>
      </c>
      <c r="AS227" s="12">
        <v>89492.4</v>
      </c>
      <c r="AT227" s="12">
        <v>17</v>
      </c>
      <c r="AU227" s="12">
        <v>9.01</v>
      </c>
      <c r="AV227" s="12">
        <v>220</v>
      </c>
      <c r="AW227" s="12">
        <v>220</v>
      </c>
      <c r="AX227" s="12" t="s">
        <v>73</v>
      </c>
      <c r="AY227" s="12">
        <v>0</v>
      </c>
      <c r="AZ227" s="12" t="s">
        <v>73</v>
      </c>
      <c r="BA227" s="12">
        <v>0</v>
      </c>
    </row>
    <row r="228" spans="1:53" x14ac:dyDescent="0.3">
      <c r="A228" s="12" t="s">
        <v>74</v>
      </c>
      <c r="B228" s="16">
        <v>4202008</v>
      </c>
      <c r="C228" s="12" t="s">
        <v>524</v>
      </c>
      <c r="D228" s="12" t="s">
        <v>525</v>
      </c>
      <c r="E228" s="13">
        <v>0</v>
      </c>
      <c r="F228" s="12" t="s">
        <v>525</v>
      </c>
      <c r="G228" s="12">
        <v>0</v>
      </c>
      <c r="H228" s="12" t="s">
        <v>525</v>
      </c>
      <c r="I228" s="12" t="s">
        <v>525</v>
      </c>
      <c r="J228" s="12" t="s">
        <v>525</v>
      </c>
      <c r="K228" s="12">
        <v>0</v>
      </c>
      <c r="L228" s="12" t="s">
        <v>525</v>
      </c>
      <c r="M228" s="12">
        <v>0</v>
      </c>
      <c r="N228" s="12" t="s">
        <v>525</v>
      </c>
      <c r="O228" s="12">
        <v>0</v>
      </c>
      <c r="P228" s="12" t="s">
        <v>525</v>
      </c>
      <c r="Q228" s="12">
        <v>0</v>
      </c>
      <c r="R228" s="12" t="s">
        <v>525</v>
      </c>
      <c r="S228" s="12" t="s">
        <v>525</v>
      </c>
      <c r="T228" s="12" t="s">
        <v>525</v>
      </c>
      <c r="U228" s="12">
        <v>0</v>
      </c>
      <c r="V228" s="12" t="s">
        <v>525</v>
      </c>
      <c r="W228" s="12">
        <v>0</v>
      </c>
      <c r="X228" s="12" t="s">
        <v>525</v>
      </c>
      <c r="Y228" s="12">
        <v>0</v>
      </c>
      <c r="Z228" s="12" t="s">
        <v>525</v>
      </c>
      <c r="AA228" s="12">
        <v>0</v>
      </c>
      <c r="AB228" s="12" t="s">
        <v>525</v>
      </c>
      <c r="AC228" s="12" t="s">
        <v>525</v>
      </c>
      <c r="AD228" s="12" t="s">
        <v>525</v>
      </c>
      <c r="AE228" s="12">
        <v>0</v>
      </c>
      <c r="AF228" s="12" t="s">
        <v>525</v>
      </c>
      <c r="AG228" s="12">
        <v>0</v>
      </c>
      <c r="AH228" s="12" t="s">
        <v>525</v>
      </c>
      <c r="AI228" s="12">
        <v>0</v>
      </c>
      <c r="AJ228" s="12" t="s">
        <v>525</v>
      </c>
      <c r="AK228" s="12">
        <v>0</v>
      </c>
      <c r="AL228" s="12" t="s">
        <v>525</v>
      </c>
      <c r="AM228" s="12" t="s">
        <v>525</v>
      </c>
      <c r="AN228" s="12" t="s">
        <v>525</v>
      </c>
      <c r="AO228" s="12">
        <v>0</v>
      </c>
      <c r="AP228" s="12" t="s">
        <v>525</v>
      </c>
      <c r="AQ228" s="12">
        <v>0</v>
      </c>
      <c r="AR228" s="12" t="s">
        <v>525</v>
      </c>
      <c r="AS228" s="12">
        <v>0</v>
      </c>
      <c r="AT228" s="12" t="s">
        <v>525</v>
      </c>
      <c r="AU228" s="12">
        <v>0</v>
      </c>
      <c r="AV228" s="12" t="s">
        <v>525</v>
      </c>
      <c r="AW228" s="12" t="s">
        <v>525</v>
      </c>
      <c r="AX228" s="12" t="s">
        <v>525</v>
      </c>
      <c r="AY228" s="12">
        <v>0</v>
      </c>
      <c r="AZ228" s="12" t="s">
        <v>525</v>
      </c>
      <c r="BA228" s="12">
        <v>0</v>
      </c>
    </row>
    <row r="229" spans="1:53" x14ac:dyDescent="0.3">
      <c r="A229" s="12" t="s">
        <v>74</v>
      </c>
      <c r="B229" s="16">
        <v>4212809</v>
      </c>
      <c r="C229" s="12" t="s">
        <v>527</v>
      </c>
      <c r="D229" s="12">
        <v>2903</v>
      </c>
      <c r="E229" s="13">
        <v>3483.6</v>
      </c>
      <c r="F229" s="12" t="s">
        <v>73</v>
      </c>
      <c r="G229" s="12">
        <v>0</v>
      </c>
      <c r="H229" s="12" t="s">
        <v>73</v>
      </c>
      <c r="I229" s="12" t="s">
        <v>73</v>
      </c>
      <c r="J229" s="12" t="s">
        <v>73</v>
      </c>
      <c r="K229" s="12">
        <v>0</v>
      </c>
      <c r="L229" s="12" t="s">
        <v>73</v>
      </c>
      <c r="M229" s="12">
        <v>0</v>
      </c>
      <c r="N229" s="12">
        <v>2993</v>
      </c>
      <c r="O229" s="12">
        <v>3591.6</v>
      </c>
      <c r="P229" s="12" t="s">
        <v>73</v>
      </c>
      <c r="Q229" s="12">
        <v>0</v>
      </c>
      <c r="R229" s="12" t="s">
        <v>73</v>
      </c>
      <c r="S229" s="12" t="s">
        <v>73</v>
      </c>
      <c r="T229" s="12" t="s">
        <v>73</v>
      </c>
      <c r="U229" s="12">
        <v>0</v>
      </c>
      <c r="V229" s="12" t="s">
        <v>73</v>
      </c>
      <c r="W229" s="12">
        <v>0</v>
      </c>
      <c r="X229" s="12">
        <v>1750</v>
      </c>
      <c r="Y229" s="12">
        <v>2100</v>
      </c>
      <c r="Z229" s="12" t="s">
        <v>73</v>
      </c>
      <c r="AA229" s="12">
        <v>0</v>
      </c>
      <c r="AB229" s="12" t="s">
        <v>73</v>
      </c>
      <c r="AC229" s="12" t="s">
        <v>73</v>
      </c>
      <c r="AD229" s="12" t="s">
        <v>73</v>
      </c>
      <c r="AE229" s="12">
        <v>0</v>
      </c>
      <c r="AF229" s="12" t="s">
        <v>73</v>
      </c>
      <c r="AG229" s="12">
        <v>0</v>
      </c>
      <c r="AH229" s="12">
        <v>1797</v>
      </c>
      <c r="AI229" s="12">
        <v>2156.4</v>
      </c>
      <c r="AJ229" s="12" t="s">
        <v>73</v>
      </c>
      <c r="AK229" s="12">
        <v>0</v>
      </c>
      <c r="AL229" s="12" t="s">
        <v>73</v>
      </c>
      <c r="AM229" s="12" t="s">
        <v>73</v>
      </c>
      <c r="AN229" s="12" t="s">
        <v>73</v>
      </c>
      <c r="AO229" s="12">
        <v>0</v>
      </c>
      <c r="AP229" s="12" t="s">
        <v>73</v>
      </c>
      <c r="AQ229" s="12">
        <v>0</v>
      </c>
      <c r="AR229" s="12">
        <v>1540</v>
      </c>
      <c r="AS229" s="12">
        <v>1848</v>
      </c>
      <c r="AT229" s="12" t="s">
        <v>73</v>
      </c>
      <c r="AU229" s="12">
        <v>0</v>
      </c>
      <c r="AV229" s="12" t="s">
        <v>73</v>
      </c>
      <c r="AW229" s="12" t="s">
        <v>73</v>
      </c>
      <c r="AX229" s="12" t="s">
        <v>73</v>
      </c>
      <c r="AY229" s="12">
        <v>0</v>
      </c>
      <c r="AZ229" s="12" t="s">
        <v>73</v>
      </c>
      <c r="BA229" s="12">
        <v>0</v>
      </c>
    </row>
    <row r="230" spans="1:53" x14ac:dyDescent="0.3">
      <c r="A230" s="12" t="s">
        <v>74</v>
      </c>
      <c r="B230" s="16">
        <v>4202107</v>
      </c>
      <c r="C230" s="12" t="s">
        <v>529</v>
      </c>
      <c r="D230" s="12">
        <v>3563</v>
      </c>
      <c r="E230" s="13">
        <v>4275.5999999999995</v>
      </c>
      <c r="F230" s="12" t="s">
        <v>73</v>
      </c>
      <c r="G230" s="12">
        <v>0</v>
      </c>
      <c r="H230" s="12" t="s">
        <v>73</v>
      </c>
      <c r="I230" s="12" t="s">
        <v>73</v>
      </c>
      <c r="J230" s="12" t="s">
        <v>73</v>
      </c>
      <c r="K230" s="12">
        <v>0</v>
      </c>
      <c r="L230" s="12" t="s">
        <v>73</v>
      </c>
      <c r="M230" s="12">
        <v>0</v>
      </c>
      <c r="N230" s="12">
        <v>3994</v>
      </c>
      <c r="O230" s="12">
        <v>4792.8</v>
      </c>
      <c r="P230" s="12" t="s">
        <v>73</v>
      </c>
      <c r="Q230" s="12">
        <v>0</v>
      </c>
      <c r="R230" s="12" t="s">
        <v>73</v>
      </c>
      <c r="S230" s="12" t="s">
        <v>73</v>
      </c>
      <c r="T230" s="12" t="s">
        <v>73</v>
      </c>
      <c r="U230" s="12">
        <v>0</v>
      </c>
      <c r="V230" s="12" t="s">
        <v>73</v>
      </c>
      <c r="W230" s="12">
        <v>0</v>
      </c>
      <c r="X230" s="12">
        <v>2352</v>
      </c>
      <c r="Y230" s="12">
        <v>2822.4</v>
      </c>
      <c r="Z230" s="12" t="s">
        <v>73</v>
      </c>
      <c r="AA230" s="12">
        <v>0</v>
      </c>
      <c r="AB230" s="12" t="s">
        <v>73</v>
      </c>
      <c r="AC230" s="12" t="s">
        <v>73</v>
      </c>
      <c r="AD230" s="12" t="s">
        <v>73</v>
      </c>
      <c r="AE230" s="12">
        <v>0</v>
      </c>
      <c r="AF230" s="12" t="s">
        <v>73</v>
      </c>
      <c r="AG230" s="12">
        <v>0</v>
      </c>
      <c r="AH230" s="12">
        <v>2695</v>
      </c>
      <c r="AI230" s="12">
        <v>3234</v>
      </c>
      <c r="AJ230" s="12" t="s">
        <v>73</v>
      </c>
      <c r="AK230" s="12">
        <v>0</v>
      </c>
      <c r="AL230" s="12" t="s">
        <v>73</v>
      </c>
      <c r="AM230" s="12" t="s">
        <v>73</v>
      </c>
      <c r="AN230" s="12" t="s">
        <v>73</v>
      </c>
      <c r="AO230" s="12">
        <v>0</v>
      </c>
      <c r="AP230" s="12" t="s">
        <v>73</v>
      </c>
      <c r="AQ230" s="12">
        <v>0</v>
      </c>
      <c r="AR230" s="12">
        <v>2695</v>
      </c>
      <c r="AS230" s="12">
        <v>3234</v>
      </c>
      <c r="AT230" s="12" t="s">
        <v>73</v>
      </c>
      <c r="AU230" s="12">
        <v>0</v>
      </c>
      <c r="AV230" s="12" t="s">
        <v>73</v>
      </c>
      <c r="AW230" s="12" t="s">
        <v>73</v>
      </c>
      <c r="AX230" s="12" t="s">
        <v>73</v>
      </c>
      <c r="AY230" s="12">
        <v>0</v>
      </c>
      <c r="AZ230" s="12" t="s">
        <v>73</v>
      </c>
      <c r="BA230" s="12">
        <v>0</v>
      </c>
    </row>
    <row r="231" spans="1:53" x14ac:dyDescent="0.3">
      <c r="A231" s="12" t="s">
        <v>74</v>
      </c>
      <c r="B231" s="16">
        <v>4202453</v>
      </c>
      <c r="C231" s="12" t="s">
        <v>531</v>
      </c>
      <c r="D231" s="12" t="s">
        <v>525</v>
      </c>
      <c r="E231" s="13">
        <v>0</v>
      </c>
      <c r="F231" s="12" t="s">
        <v>525</v>
      </c>
      <c r="G231" s="12">
        <v>0</v>
      </c>
      <c r="H231" s="12" t="s">
        <v>525</v>
      </c>
      <c r="I231" s="12" t="s">
        <v>525</v>
      </c>
      <c r="J231" s="12" t="s">
        <v>525</v>
      </c>
      <c r="K231" s="12">
        <v>0</v>
      </c>
      <c r="L231" s="12" t="s">
        <v>525</v>
      </c>
      <c r="M231" s="12">
        <v>0</v>
      </c>
      <c r="N231" s="12" t="s">
        <v>525</v>
      </c>
      <c r="O231" s="12">
        <v>0</v>
      </c>
      <c r="P231" s="12" t="s">
        <v>525</v>
      </c>
      <c r="Q231" s="12">
        <v>0</v>
      </c>
      <c r="R231" s="12" t="s">
        <v>525</v>
      </c>
      <c r="S231" s="12" t="s">
        <v>525</v>
      </c>
      <c r="T231" s="12" t="s">
        <v>525</v>
      </c>
      <c r="U231" s="12">
        <v>0</v>
      </c>
      <c r="V231" s="12" t="s">
        <v>525</v>
      </c>
      <c r="W231" s="12">
        <v>0</v>
      </c>
      <c r="X231" s="12" t="s">
        <v>525</v>
      </c>
      <c r="Y231" s="12">
        <v>0</v>
      </c>
      <c r="Z231" s="12" t="s">
        <v>525</v>
      </c>
      <c r="AA231" s="12">
        <v>0</v>
      </c>
      <c r="AB231" s="12" t="s">
        <v>525</v>
      </c>
      <c r="AC231" s="12" t="s">
        <v>525</v>
      </c>
      <c r="AD231" s="12" t="s">
        <v>525</v>
      </c>
      <c r="AE231" s="12">
        <v>0</v>
      </c>
      <c r="AF231" s="12" t="s">
        <v>525</v>
      </c>
      <c r="AG231" s="12">
        <v>0</v>
      </c>
      <c r="AH231" s="12" t="s">
        <v>525</v>
      </c>
      <c r="AI231" s="12">
        <v>0</v>
      </c>
      <c r="AJ231" s="12" t="s">
        <v>525</v>
      </c>
      <c r="AK231" s="12">
        <v>0</v>
      </c>
      <c r="AL231" s="12" t="s">
        <v>525</v>
      </c>
      <c r="AM231" s="12" t="s">
        <v>525</v>
      </c>
      <c r="AN231" s="12" t="s">
        <v>525</v>
      </c>
      <c r="AO231" s="12">
        <v>0</v>
      </c>
      <c r="AP231" s="12" t="s">
        <v>525</v>
      </c>
      <c r="AQ231" s="12">
        <v>0</v>
      </c>
      <c r="AR231" s="12" t="s">
        <v>525</v>
      </c>
      <c r="AS231" s="12">
        <v>0</v>
      </c>
      <c r="AT231" s="12" t="s">
        <v>525</v>
      </c>
      <c r="AU231" s="12">
        <v>0</v>
      </c>
      <c r="AV231" s="12" t="s">
        <v>525</v>
      </c>
      <c r="AW231" s="12" t="s">
        <v>525</v>
      </c>
      <c r="AX231" s="12" t="s">
        <v>525</v>
      </c>
      <c r="AY231" s="12">
        <v>0</v>
      </c>
      <c r="AZ231" s="12" t="s">
        <v>525</v>
      </c>
      <c r="BA231" s="12">
        <v>0</v>
      </c>
    </row>
    <row r="232" spans="1:53" x14ac:dyDescent="0.3">
      <c r="A232" s="12" t="s">
        <v>74</v>
      </c>
      <c r="B232" s="16">
        <v>4203204</v>
      </c>
      <c r="C232" s="12" t="s">
        <v>533</v>
      </c>
      <c r="D232" s="12">
        <v>8500</v>
      </c>
      <c r="E232" s="13">
        <v>10200</v>
      </c>
      <c r="F232" s="12">
        <v>5</v>
      </c>
      <c r="G232" s="12">
        <v>2.6500000000000004</v>
      </c>
      <c r="H232" s="12">
        <v>40</v>
      </c>
      <c r="I232" s="12">
        <v>40</v>
      </c>
      <c r="J232" s="12" t="s">
        <v>73</v>
      </c>
      <c r="K232" s="12">
        <v>0</v>
      </c>
      <c r="L232" s="12" t="s">
        <v>73</v>
      </c>
      <c r="M232" s="12">
        <v>0</v>
      </c>
      <c r="N232" s="12">
        <v>8217</v>
      </c>
      <c r="O232" s="12">
        <v>9860.4</v>
      </c>
      <c r="P232" s="12">
        <v>5</v>
      </c>
      <c r="Q232" s="12">
        <v>2.6500000000000004</v>
      </c>
      <c r="R232" s="12">
        <v>40</v>
      </c>
      <c r="S232" s="12">
        <v>40</v>
      </c>
      <c r="T232" s="12" t="s">
        <v>73</v>
      </c>
      <c r="U232" s="12">
        <v>0</v>
      </c>
      <c r="V232" s="12" t="s">
        <v>73</v>
      </c>
      <c r="W232" s="12">
        <v>0</v>
      </c>
      <c r="X232" s="12">
        <v>8264</v>
      </c>
      <c r="Y232" s="12">
        <v>9916.7999999999993</v>
      </c>
      <c r="Z232" s="12">
        <v>5</v>
      </c>
      <c r="AA232" s="12">
        <v>2.6500000000000004</v>
      </c>
      <c r="AB232" s="12">
        <v>40</v>
      </c>
      <c r="AC232" s="12">
        <v>40</v>
      </c>
      <c r="AD232" s="12" t="s">
        <v>73</v>
      </c>
      <c r="AE232" s="12">
        <v>0</v>
      </c>
      <c r="AF232" s="12" t="s">
        <v>73</v>
      </c>
      <c r="AG232" s="12">
        <v>0</v>
      </c>
      <c r="AH232" s="12">
        <v>8327</v>
      </c>
      <c r="AI232" s="12">
        <v>9992.4</v>
      </c>
      <c r="AJ232" s="12">
        <v>5</v>
      </c>
      <c r="AK232" s="12">
        <v>2.6500000000000004</v>
      </c>
      <c r="AL232" s="12">
        <v>40</v>
      </c>
      <c r="AM232" s="12">
        <v>40</v>
      </c>
      <c r="AN232" s="12" t="s">
        <v>73</v>
      </c>
      <c r="AO232" s="12">
        <v>0</v>
      </c>
      <c r="AP232" s="12" t="s">
        <v>73</v>
      </c>
      <c r="AQ232" s="12">
        <v>0</v>
      </c>
      <c r="AR232" s="12">
        <v>8370</v>
      </c>
      <c r="AS232" s="12">
        <v>10044</v>
      </c>
      <c r="AT232" s="12">
        <v>5</v>
      </c>
      <c r="AU232" s="12">
        <v>2.6500000000000004</v>
      </c>
      <c r="AV232" s="12">
        <v>40</v>
      </c>
      <c r="AW232" s="12">
        <v>40</v>
      </c>
      <c r="AX232" s="12" t="s">
        <v>73</v>
      </c>
      <c r="AY232" s="12">
        <v>0</v>
      </c>
      <c r="AZ232" s="12" t="s">
        <v>73</v>
      </c>
      <c r="BA232" s="12">
        <v>0</v>
      </c>
    </row>
    <row r="233" spans="1:53" x14ac:dyDescent="0.3">
      <c r="A233" s="12" t="s">
        <v>74</v>
      </c>
      <c r="B233" s="16">
        <v>4207106</v>
      </c>
      <c r="C233" s="12" t="s">
        <v>535</v>
      </c>
      <c r="D233" s="12">
        <v>23600</v>
      </c>
      <c r="E233" s="13">
        <v>28320</v>
      </c>
      <c r="F233" s="12" t="s">
        <v>73</v>
      </c>
      <c r="G233" s="12">
        <v>0</v>
      </c>
      <c r="H233" s="12">
        <v>18</v>
      </c>
      <c r="I233" s="12">
        <v>18</v>
      </c>
      <c r="J233" s="12" t="s">
        <v>73</v>
      </c>
      <c r="K233" s="12">
        <v>0</v>
      </c>
      <c r="L233" s="12" t="s">
        <v>73</v>
      </c>
      <c r="M233" s="12">
        <v>0</v>
      </c>
      <c r="N233" s="12">
        <v>22812</v>
      </c>
      <c r="O233" s="12">
        <v>27374.399999999998</v>
      </c>
      <c r="P233" s="12" t="s">
        <v>73</v>
      </c>
      <c r="Q233" s="12">
        <v>0</v>
      </c>
      <c r="R233" s="12">
        <v>18</v>
      </c>
      <c r="S233" s="12">
        <v>18</v>
      </c>
      <c r="T233" s="12" t="s">
        <v>73</v>
      </c>
      <c r="U233" s="12">
        <v>0</v>
      </c>
      <c r="V233" s="12" t="s">
        <v>73</v>
      </c>
      <c r="W233" s="12">
        <v>0</v>
      </c>
      <c r="X233" s="12">
        <v>23337</v>
      </c>
      <c r="Y233" s="12">
        <v>28004.399999999998</v>
      </c>
      <c r="Z233" s="12" t="s">
        <v>73</v>
      </c>
      <c r="AA233" s="12">
        <v>0</v>
      </c>
      <c r="AB233" s="12">
        <v>300</v>
      </c>
      <c r="AC233" s="12">
        <v>300</v>
      </c>
      <c r="AD233" s="12" t="s">
        <v>73</v>
      </c>
      <c r="AE233" s="12">
        <v>0</v>
      </c>
      <c r="AF233" s="12" t="s">
        <v>73</v>
      </c>
      <c r="AG233" s="12">
        <v>0</v>
      </c>
      <c r="AH233" s="12">
        <v>23482</v>
      </c>
      <c r="AI233" s="12">
        <v>28178.399999999998</v>
      </c>
      <c r="AJ233" s="12" t="s">
        <v>73</v>
      </c>
      <c r="AK233" s="12">
        <v>0</v>
      </c>
      <c r="AL233" s="12">
        <v>540</v>
      </c>
      <c r="AM233" s="12">
        <v>540</v>
      </c>
      <c r="AN233" s="12" t="s">
        <v>73</v>
      </c>
      <c r="AO233" s="12">
        <v>0</v>
      </c>
      <c r="AP233" s="12" t="s">
        <v>73</v>
      </c>
      <c r="AQ233" s="12">
        <v>0</v>
      </c>
      <c r="AR233" s="12">
        <v>21700</v>
      </c>
      <c r="AS233" s="12">
        <v>26040</v>
      </c>
      <c r="AT233" s="12" t="s">
        <v>73</v>
      </c>
      <c r="AU233" s="12">
        <v>0</v>
      </c>
      <c r="AV233" s="12">
        <v>180</v>
      </c>
      <c r="AW233" s="12">
        <v>180</v>
      </c>
      <c r="AX233" s="12" t="s">
        <v>73</v>
      </c>
      <c r="AY233" s="12">
        <v>0</v>
      </c>
      <c r="AZ233" s="12" t="s">
        <v>73</v>
      </c>
      <c r="BA233" s="12">
        <v>0</v>
      </c>
    </row>
    <row r="234" spans="1:53" x14ac:dyDescent="0.3">
      <c r="A234" s="12" t="s">
        <v>74</v>
      </c>
      <c r="B234" s="16">
        <v>4208203</v>
      </c>
      <c r="C234" s="12" t="s">
        <v>537</v>
      </c>
      <c r="D234" s="12">
        <v>13300</v>
      </c>
      <c r="E234" s="13">
        <v>15960</v>
      </c>
      <c r="F234" s="12">
        <v>6</v>
      </c>
      <c r="G234" s="12">
        <v>3.18</v>
      </c>
      <c r="H234" s="12" t="s">
        <v>73</v>
      </c>
      <c r="I234" s="12" t="s">
        <v>73</v>
      </c>
      <c r="J234" s="12" t="s">
        <v>73</v>
      </c>
      <c r="K234" s="12">
        <v>0</v>
      </c>
      <c r="L234" s="12" t="s">
        <v>73</v>
      </c>
      <c r="M234" s="12">
        <v>0</v>
      </c>
      <c r="N234" s="12">
        <v>12983</v>
      </c>
      <c r="O234" s="12">
        <v>15579.599999999999</v>
      </c>
      <c r="P234" s="12">
        <v>6</v>
      </c>
      <c r="Q234" s="12">
        <v>3.18</v>
      </c>
      <c r="R234" s="12" t="s">
        <v>73</v>
      </c>
      <c r="S234" s="12" t="s">
        <v>73</v>
      </c>
      <c r="T234" s="12" t="s">
        <v>73</v>
      </c>
      <c r="U234" s="12">
        <v>0</v>
      </c>
      <c r="V234" s="12" t="s">
        <v>73</v>
      </c>
      <c r="W234" s="12">
        <v>0</v>
      </c>
      <c r="X234" s="12">
        <v>15200</v>
      </c>
      <c r="Y234" s="12">
        <v>18240</v>
      </c>
      <c r="Z234" s="12">
        <v>7</v>
      </c>
      <c r="AA234" s="12">
        <v>3.71</v>
      </c>
      <c r="AB234" s="12" t="s">
        <v>73</v>
      </c>
      <c r="AC234" s="12" t="s">
        <v>73</v>
      </c>
      <c r="AD234" s="12" t="s">
        <v>73</v>
      </c>
      <c r="AE234" s="12">
        <v>0</v>
      </c>
      <c r="AF234" s="12" t="s">
        <v>73</v>
      </c>
      <c r="AG234" s="12">
        <v>0</v>
      </c>
      <c r="AH234" s="12">
        <v>16000</v>
      </c>
      <c r="AI234" s="12">
        <v>19200</v>
      </c>
      <c r="AJ234" s="12">
        <v>12</v>
      </c>
      <c r="AK234" s="12">
        <v>6.36</v>
      </c>
      <c r="AL234" s="12" t="s">
        <v>73</v>
      </c>
      <c r="AM234" s="12" t="s">
        <v>73</v>
      </c>
      <c r="AN234" s="12" t="s">
        <v>73</v>
      </c>
      <c r="AO234" s="12">
        <v>0</v>
      </c>
      <c r="AP234" s="12" t="s">
        <v>73</v>
      </c>
      <c r="AQ234" s="12">
        <v>0</v>
      </c>
      <c r="AR234" s="12">
        <v>16200</v>
      </c>
      <c r="AS234" s="12">
        <v>19440</v>
      </c>
      <c r="AT234" s="12">
        <v>12</v>
      </c>
      <c r="AU234" s="12">
        <v>6.36</v>
      </c>
      <c r="AV234" s="12" t="s">
        <v>73</v>
      </c>
      <c r="AW234" s="12" t="s">
        <v>73</v>
      </c>
      <c r="AX234" s="12" t="s">
        <v>73</v>
      </c>
      <c r="AY234" s="12">
        <v>0</v>
      </c>
      <c r="AZ234" s="12" t="s">
        <v>73</v>
      </c>
      <c r="BA234" s="12">
        <v>0</v>
      </c>
    </row>
    <row r="235" spans="1:53" x14ac:dyDescent="0.3">
      <c r="A235" s="12" t="s">
        <v>74</v>
      </c>
      <c r="B235" s="16">
        <v>4208302</v>
      </c>
      <c r="C235" s="12" t="s">
        <v>539</v>
      </c>
      <c r="D235" s="12">
        <v>2100</v>
      </c>
      <c r="E235" s="13">
        <v>2520</v>
      </c>
      <c r="F235" s="12" t="s">
        <v>73</v>
      </c>
      <c r="G235" s="12">
        <v>0</v>
      </c>
      <c r="H235" s="12" t="s">
        <v>73</v>
      </c>
      <c r="I235" s="12" t="s">
        <v>73</v>
      </c>
      <c r="J235" s="12" t="s">
        <v>73</v>
      </c>
      <c r="K235" s="12">
        <v>0</v>
      </c>
      <c r="L235" s="12" t="s">
        <v>73</v>
      </c>
      <c r="M235" s="12">
        <v>0</v>
      </c>
      <c r="N235" s="12">
        <v>2540</v>
      </c>
      <c r="O235" s="12">
        <v>3048</v>
      </c>
      <c r="P235" s="12" t="s">
        <v>73</v>
      </c>
      <c r="Q235" s="12">
        <v>0</v>
      </c>
      <c r="R235" s="12" t="s">
        <v>73</v>
      </c>
      <c r="S235" s="12" t="s">
        <v>73</v>
      </c>
      <c r="T235" s="12" t="s">
        <v>73</v>
      </c>
      <c r="U235" s="12">
        <v>0</v>
      </c>
      <c r="V235" s="12" t="s">
        <v>73</v>
      </c>
      <c r="W235" s="12">
        <v>0</v>
      </c>
      <c r="X235" s="12">
        <v>2147</v>
      </c>
      <c r="Y235" s="12">
        <v>2576.4</v>
      </c>
      <c r="Z235" s="12" t="s">
        <v>73</v>
      </c>
      <c r="AA235" s="12">
        <v>0</v>
      </c>
      <c r="AB235" s="12" t="s">
        <v>73</v>
      </c>
      <c r="AC235" s="12" t="s">
        <v>73</v>
      </c>
      <c r="AD235" s="12" t="s">
        <v>73</v>
      </c>
      <c r="AE235" s="12">
        <v>0</v>
      </c>
      <c r="AF235" s="12" t="s">
        <v>73</v>
      </c>
      <c r="AG235" s="12">
        <v>0</v>
      </c>
      <c r="AH235" s="12">
        <v>2008</v>
      </c>
      <c r="AI235" s="12">
        <v>2409.6</v>
      </c>
      <c r="AJ235" s="12" t="s">
        <v>73</v>
      </c>
      <c r="AK235" s="12">
        <v>0</v>
      </c>
      <c r="AL235" s="12" t="s">
        <v>73</v>
      </c>
      <c r="AM235" s="12" t="s">
        <v>73</v>
      </c>
      <c r="AN235" s="12" t="s">
        <v>73</v>
      </c>
      <c r="AO235" s="12">
        <v>0</v>
      </c>
      <c r="AP235" s="12" t="s">
        <v>73</v>
      </c>
      <c r="AQ235" s="12">
        <v>0</v>
      </c>
      <c r="AR235" s="12" t="s">
        <v>73</v>
      </c>
      <c r="AS235" s="12">
        <v>0</v>
      </c>
      <c r="AT235" s="12" t="s">
        <v>73</v>
      </c>
      <c r="AU235" s="12">
        <v>0</v>
      </c>
      <c r="AV235" s="12" t="s">
        <v>73</v>
      </c>
      <c r="AW235" s="12" t="s">
        <v>73</v>
      </c>
      <c r="AX235" s="12" t="s">
        <v>73</v>
      </c>
      <c r="AY235" s="12">
        <v>0</v>
      </c>
      <c r="AZ235" s="12" t="s">
        <v>73</v>
      </c>
      <c r="BA235" s="12">
        <v>0</v>
      </c>
    </row>
    <row r="236" spans="1:53" x14ac:dyDescent="0.3">
      <c r="A236" s="12" t="s">
        <v>74</v>
      </c>
      <c r="B236" s="16">
        <v>4211306</v>
      </c>
      <c r="C236" s="12" t="s">
        <v>541</v>
      </c>
      <c r="D236" s="12">
        <v>5670</v>
      </c>
      <c r="E236" s="13">
        <v>6804</v>
      </c>
      <c r="F236" s="12" t="s">
        <v>73</v>
      </c>
      <c r="G236" s="12">
        <v>0</v>
      </c>
      <c r="H236" s="12" t="s">
        <v>73</v>
      </c>
      <c r="I236" s="12" t="s">
        <v>73</v>
      </c>
      <c r="J236" s="12" t="s">
        <v>73</v>
      </c>
      <c r="K236" s="12">
        <v>0</v>
      </c>
      <c r="L236" s="12" t="s">
        <v>73</v>
      </c>
      <c r="M236" s="12">
        <v>0</v>
      </c>
      <c r="N236" s="12">
        <v>5670</v>
      </c>
      <c r="O236" s="12">
        <v>6804</v>
      </c>
      <c r="P236" s="12" t="s">
        <v>73</v>
      </c>
      <c r="Q236" s="12">
        <v>0</v>
      </c>
      <c r="R236" s="12" t="s">
        <v>73</v>
      </c>
      <c r="S236" s="12" t="s">
        <v>73</v>
      </c>
      <c r="T236" s="12" t="s">
        <v>73</v>
      </c>
      <c r="U236" s="12">
        <v>0</v>
      </c>
      <c r="V236" s="12" t="s">
        <v>73</v>
      </c>
      <c r="W236" s="12">
        <v>0</v>
      </c>
      <c r="X236" s="12">
        <v>5670</v>
      </c>
      <c r="Y236" s="12">
        <v>6804</v>
      </c>
      <c r="Z236" s="12" t="s">
        <v>73</v>
      </c>
      <c r="AA236" s="12">
        <v>0</v>
      </c>
      <c r="AB236" s="12" t="s">
        <v>73</v>
      </c>
      <c r="AC236" s="12" t="s">
        <v>73</v>
      </c>
      <c r="AD236" s="12" t="s">
        <v>73</v>
      </c>
      <c r="AE236" s="12">
        <v>0</v>
      </c>
      <c r="AF236" s="12" t="s">
        <v>73</v>
      </c>
      <c r="AG236" s="12">
        <v>0</v>
      </c>
      <c r="AH236" s="12">
        <v>7296</v>
      </c>
      <c r="AI236" s="12">
        <v>8755.1999999999989</v>
      </c>
      <c r="AJ236" s="12" t="s">
        <v>73</v>
      </c>
      <c r="AK236" s="12">
        <v>0</v>
      </c>
      <c r="AL236" s="12" t="s">
        <v>73</v>
      </c>
      <c r="AM236" s="12" t="s">
        <v>73</v>
      </c>
      <c r="AN236" s="12" t="s">
        <v>73</v>
      </c>
      <c r="AO236" s="12">
        <v>0</v>
      </c>
      <c r="AP236" s="12" t="s">
        <v>73</v>
      </c>
      <c r="AQ236" s="12">
        <v>0</v>
      </c>
      <c r="AR236" s="12">
        <v>7296</v>
      </c>
      <c r="AS236" s="12">
        <v>8755.1999999999989</v>
      </c>
      <c r="AT236" s="12" t="s">
        <v>73</v>
      </c>
      <c r="AU236" s="12">
        <v>0</v>
      </c>
      <c r="AV236" s="12" t="s">
        <v>73</v>
      </c>
      <c r="AW236" s="12" t="s">
        <v>73</v>
      </c>
      <c r="AX236" s="12" t="s">
        <v>73</v>
      </c>
      <c r="AY236" s="12">
        <v>0</v>
      </c>
      <c r="AZ236" s="12" t="s">
        <v>73</v>
      </c>
      <c r="BA236" s="12">
        <v>0</v>
      </c>
    </row>
    <row r="237" spans="1:53" x14ac:dyDescent="0.3">
      <c r="A237" s="12" t="s">
        <v>74</v>
      </c>
      <c r="B237" s="16">
        <v>4212502</v>
      </c>
      <c r="C237" s="12" t="s">
        <v>543</v>
      </c>
      <c r="D237" s="12" t="s">
        <v>73</v>
      </c>
      <c r="E237" s="13">
        <v>0</v>
      </c>
      <c r="F237" s="12" t="s">
        <v>73</v>
      </c>
      <c r="G237" s="12">
        <v>0</v>
      </c>
      <c r="H237" s="12" t="s">
        <v>73</v>
      </c>
      <c r="I237" s="12" t="s">
        <v>73</v>
      </c>
      <c r="J237" s="12" t="s">
        <v>73</v>
      </c>
      <c r="K237" s="12">
        <v>0</v>
      </c>
      <c r="L237" s="12" t="s">
        <v>73</v>
      </c>
      <c r="M237" s="12">
        <v>0</v>
      </c>
      <c r="N237" s="12" t="s">
        <v>73</v>
      </c>
      <c r="O237" s="12">
        <v>0</v>
      </c>
      <c r="P237" s="12" t="s">
        <v>73</v>
      </c>
      <c r="Q237" s="12">
        <v>0</v>
      </c>
      <c r="R237" s="12" t="s">
        <v>73</v>
      </c>
      <c r="S237" s="12" t="s">
        <v>73</v>
      </c>
      <c r="T237" s="12" t="s">
        <v>73</v>
      </c>
      <c r="U237" s="12">
        <v>0</v>
      </c>
      <c r="V237" s="12" t="s">
        <v>73</v>
      </c>
      <c r="W237" s="12">
        <v>0</v>
      </c>
      <c r="X237" s="12" t="s">
        <v>73</v>
      </c>
      <c r="Y237" s="12">
        <v>0</v>
      </c>
      <c r="Z237" s="12" t="s">
        <v>73</v>
      </c>
      <c r="AA237" s="12">
        <v>0</v>
      </c>
      <c r="AB237" s="12" t="s">
        <v>73</v>
      </c>
      <c r="AC237" s="12" t="s">
        <v>73</v>
      </c>
      <c r="AD237" s="12" t="s">
        <v>73</v>
      </c>
      <c r="AE237" s="12">
        <v>0</v>
      </c>
      <c r="AF237" s="12" t="s">
        <v>73</v>
      </c>
      <c r="AG237" s="12">
        <v>0</v>
      </c>
      <c r="AH237" s="12" t="s">
        <v>73</v>
      </c>
      <c r="AI237" s="12">
        <v>0</v>
      </c>
      <c r="AJ237" s="12" t="s">
        <v>73</v>
      </c>
      <c r="AK237" s="12">
        <v>0</v>
      </c>
      <c r="AL237" s="12" t="s">
        <v>73</v>
      </c>
      <c r="AM237" s="12" t="s">
        <v>73</v>
      </c>
      <c r="AN237" s="12" t="s">
        <v>73</v>
      </c>
      <c r="AO237" s="12">
        <v>0</v>
      </c>
      <c r="AP237" s="12" t="s">
        <v>73</v>
      </c>
      <c r="AQ237" s="12">
        <v>0</v>
      </c>
      <c r="AR237" s="12" t="s">
        <v>73</v>
      </c>
      <c r="AS237" s="12">
        <v>0</v>
      </c>
      <c r="AT237" s="12" t="s">
        <v>73</v>
      </c>
      <c r="AU237" s="12">
        <v>0</v>
      </c>
      <c r="AV237" s="12" t="s">
        <v>73</v>
      </c>
      <c r="AW237" s="12" t="s">
        <v>73</v>
      </c>
      <c r="AX237" s="12" t="s">
        <v>73</v>
      </c>
      <c r="AY237" s="12">
        <v>0</v>
      </c>
      <c r="AZ237" s="12" t="s">
        <v>73</v>
      </c>
      <c r="BA237" s="12">
        <v>0</v>
      </c>
    </row>
    <row r="238" spans="1:53" x14ac:dyDescent="0.3">
      <c r="A238" s="12" t="s">
        <v>74</v>
      </c>
      <c r="B238" s="16">
        <v>4213500</v>
      </c>
      <c r="C238" s="12" t="s">
        <v>545</v>
      </c>
      <c r="D238" s="12">
        <v>250</v>
      </c>
      <c r="E238" s="13">
        <v>300</v>
      </c>
      <c r="F238" s="12" t="s">
        <v>73</v>
      </c>
      <c r="G238" s="12">
        <v>0</v>
      </c>
      <c r="H238" s="12" t="s">
        <v>73</v>
      </c>
      <c r="I238" s="12" t="s">
        <v>73</v>
      </c>
      <c r="J238" s="12" t="s">
        <v>73</v>
      </c>
      <c r="K238" s="12">
        <v>0</v>
      </c>
      <c r="L238" s="12" t="s">
        <v>73</v>
      </c>
      <c r="M238" s="12">
        <v>0</v>
      </c>
      <c r="N238" s="12">
        <v>333</v>
      </c>
      <c r="O238" s="12">
        <v>399.59999999999997</v>
      </c>
      <c r="P238" s="12" t="s">
        <v>73</v>
      </c>
      <c r="Q238" s="12">
        <v>0</v>
      </c>
      <c r="R238" s="12" t="s">
        <v>73</v>
      </c>
      <c r="S238" s="12" t="s">
        <v>73</v>
      </c>
      <c r="T238" s="12" t="s">
        <v>73</v>
      </c>
      <c r="U238" s="12">
        <v>0</v>
      </c>
      <c r="V238" s="12" t="s">
        <v>73</v>
      </c>
      <c r="W238" s="12">
        <v>0</v>
      </c>
      <c r="X238" s="12">
        <v>2147</v>
      </c>
      <c r="Y238" s="12">
        <v>2576.4</v>
      </c>
      <c r="Z238" s="12" t="s">
        <v>73</v>
      </c>
      <c r="AA238" s="12">
        <v>0</v>
      </c>
      <c r="AB238" s="12" t="s">
        <v>73</v>
      </c>
      <c r="AC238" s="12" t="s">
        <v>73</v>
      </c>
      <c r="AD238" s="12" t="s">
        <v>73</v>
      </c>
      <c r="AE238" s="12">
        <v>0</v>
      </c>
      <c r="AF238" s="12" t="s">
        <v>73</v>
      </c>
      <c r="AG238" s="12">
        <v>0</v>
      </c>
      <c r="AH238" s="12">
        <v>1564</v>
      </c>
      <c r="AI238" s="12">
        <v>1876.8</v>
      </c>
      <c r="AJ238" s="12" t="s">
        <v>73</v>
      </c>
      <c r="AK238" s="12">
        <v>0</v>
      </c>
      <c r="AL238" s="12" t="s">
        <v>73</v>
      </c>
      <c r="AM238" s="12" t="s">
        <v>73</v>
      </c>
      <c r="AN238" s="12" t="s">
        <v>73</v>
      </c>
      <c r="AO238" s="12">
        <v>0</v>
      </c>
      <c r="AP238" s="12" t="s">
        <v>73</v>
      </c>
      <c r="AQ238" s="12">
        <v>0</v>
      </c>
      <c r="AR238" s="12" t="s">
        <v>73</v>
      </c>
      <c r="AS238" s="12">
        <v>0</v>
      </c>
      <c r="AT238" s="12" t="s">
        <v>73</v>
      </c>
      <c r="AU238" s="12">
        <v>0</v>
      </c>
      <c r="AV238" s="12" t="s">
        <v>73</v>
      </c>
      <c r="AW238" s="12" t="s">
        <v>73</v>
      </c>
      <c r="AX238" s="12" t="s">
        <v>73</v>
      </c>
      <c r="AY238" s="12">
        <v>0</v>
      </c>
      <c r="AZ238" s="12" t="s">
        <v>73</v>
      </c>
      <c r="BA238" s="12">
        <v>0</v>
      </c>
    </row>
    <row r="239" spans="1:53" x14ac:dyDescent="0.3">
      <c r="A239" s="12" t="s">
        <v>74</v>
      </c>
      <c r="B239" s="16">
        <v>4216354</v>
      </c>
      <c r="C239" s="12" t="s">
        <v>547</v>
      </c>
      <c r="D239" s="12">
        <v>14835</v>
      </c>
      <c r="E239" s="13">
        <v>17802</v>
      </c>
      <c r="F239" s="12" t="s">
        <v>73</v>
      </c>
      <c r="G239" s="12">
        <v>0</v>
      </c>
      <c r="H239" s="12" t="s">
        <v>73</v>
      </c>
      <c r="I239" s="12" t="s">
        <v>73</v>
      </c>
      <c r="J239" s="12" t="s">
        <v>73</v>
      </c>
      <c r="K239" s="12">
        <v>0</v>
      </c>
      <c r="L239" s="12" t="s">
        <v>73</v>
      </c>
      <c r="M239" s="12">
        <v>0</v>
      </c>
      <c r="N239" s="12">
        <v>14231</v>
      </c>
      <c r="O239" s="12">
        <v>17077.2</v>
      </c>
      <c r="P239" s="12" t="s">
        <v>73</v>
      </c>
      <c r="Q239" s="12">
        <v>0</v>
      </c>
      <c r="R239" s="12" t="s">
        <v>73</v>
      </c>
      <c r="S239" s="12" t="s">
        <v>73</v>
      </c>
      <c r="T239" s="12" t="s">
        <v>73</v>
      </c>
      <c r="U239" s="12">
        <v>0</v>
      </c>
      <c r="V239" s="12" t="s">
        <v>73</v>
      </c>
      <c r="W239" s="12">
        <v>0</v>
      </c>
      <c r="X239" s="12">
        <v>14231</v>
      </c>
      <c r="Y239" s="12">
        <v>17077.2</v>
      </c>
      <c r="Z239" s="12" t="s">
        <v>73</v>
      </c>
      <c r="AA239" s="12">
        <v>0</v>
      </c>
      <c r="AB239" s="12" t="s">
        <v>73</v>
      </c>
      <c r="AC239" s="12" t="s">
        <v>73</v>
      </c>
      <c r="AD239" s="12" t="s">
        <v>73</v>
      </c>
      <c r="AE239" s="12">
        <v>0</v>
      </c>
      <c r="AF239" s="12" t="s">
        <v>73</v>
      </c>
      <c r="AG239" s="12">
        <v>0</v>
      </c>
      <c r="AH239" s="12">
        <v>16776</v>
      </c>
      <c r="AI239" s="12">
        <v>20131.2</v>
      </c>
      <c r="AJ239" s="12" t="s">
        <v>73</v>
      </c>
      <c r="AK239" s="12">
        <v>0</v>
      </c>
      <c r="AL239" s="12" t="s">
        <v>73</v>
      </c>
      <c r="AM239" s="12" t="s">
        <v>73</v>
      </c>
      <c r="AN239" s="12" t="s">
        <v>73</v>
      </c>
      <c r="AO239" s="12">
        <v>0</v>
      </c>
      <c r="AP239" s="12" t="s">
        <v>73</v>
      </c>
      <c r="AQ239" s="12">
        <v>0</v>
      </c>
      <c r="AR239" s="12">
        <v>16776</v>
      </c>
      <c r="AS239" s="12">
        <v>20131.2</v>
      </c>
      <c r="AT239" s="12" t="s">
        <v>73</v>
      </c>
      <c r="AU239" s="12">
        <v>0</v>
      </c>
      <c r="AV239" s="12" t="s">
        <v>73</v>
      </c>
      <c r="AW239" s="12" t="s">
        <v>73</v>
      </c>
      <c r="AX239" s="12" t="s">
        <v>73</v>
      </c>
      <c r="AY239" s="12">
        <v>0</v>
      </c>
      <c r="AZ239" s="12" t="s">
        <v>73</v>
      </c>
      <c r="BA239" s="12">
        <v>0</v>
      </c>
    </row>
    <row r="240" spans="1:53" x14ac:dyDescent="0.3">
      <c r="A240" s="12" t="s">
        <v>70</v>
      </c>
      <c r="B240" s="16">
        <v>42014</v>
      </c>
      <c r="C240" s="12" t="s">
        <v>549</v>
      </c>
      <c r="D240" s="12">
        <v>1753</v>
      </c>
      <c r="E240" s="13">
        <v>2103.6</v>
      </c>
      <c r="F240" s="12">
        <v>4034</v>
      </c>
      <c r="G240" s="12">
        <v>2138.02</v>
      </c>
      <c r="H240" s="12">
        <v>59088</v>
      </c>
      <c r="I240" s="12">
        <v>59088</v>
      </c>
      <c r="J240" s="12">
        <v>28413</v>
      </c>
      <c r="K240" s="12">
        <v>42619.5</v>
      </c>
      <c r="L240" s="12">
        <v>2728</v>
      </c>
      <c r="M240" s="12">
        <v>3546.4</v>
      </c>
      <c r="N240" s="12">
        <v>1753</v>
      </c>
      <c r="O240" s="12">
        <v>2103.6</v>
      </c>
      <c r="P240" s="12">
        <v>4363</v>
      </c>
      <c r="Q240" s="12">
        <v>2312.3900000000003</v>
      </c>
      <c r="R240" s="12">
        <v>65412</v>
      </c>
      <c r="S240" s="12">
        <v>65412</v>
      </c>
      <c r="T240" s="12">
        <v>31638</v>
      </c>
      <c r="U240" s="12">
        <v>47457</v>
      </c>
      <c r="V240" s="12">
        <v>5308</v>
      </c>
      <c r="W240" s="12">
        <v>6900.4000000000005</v>
      </c>
      <c r="X240" s="12">
        <v>1755</v>
      </c>
      <c r="Y240" s="12">
        <v>2106</v>
      </c>
      <c r="Z240" s="12">
        <v>3956</v>
      </c>
      <c r="AA240" s="12">
        <v>2096.6800000000003</v>
      </c>
      <c r="AB240" s="12">
        <v>68850</v>
      </c>
      <c r="AC240" s="12">
        <v>68850</v>
      </c>
      <c r="AD240" s="12">
        <v>33897</v>
      </c>
      <c r="AE240" s="12">
        <v>50845.5</v>
      </c>
      <c r="AF240" s="12">
        <v>5260</v>
      </c>
      <c r="AG240" s="12">
        <v>6838</v>
      </c>
      <c r="AH240" s="12">
        <v>1755</v>
      </c>
      <c r="AI240" s="12">
        <v>2106</v>
      </c>
      <c r="AJ240" s="12">
        <v>2638</v>
      </c>
      <c r="AK240" s="12">
        <v>1398.14</v>
      </c>
      <c r="AL240" s="12">
        <v>66879</v>
      </c>
      <c r="AM240" s="12">
        <v>66879</v>
      </c>
      <c r="AN240" s="12">
        <v>33702</v>
      </c>
      <c r="AO240" s="12">
        <v>50553</v>
      </c>
      <c r="AP240" s="12">
        <v>1178</v>
      </c>
      <c r="AQ240" s="12">
        <v>1531.4</v>
      </c>
      <c r="AR240" s="12">
        <v>1405</v>
      </c>
      <c r="AS240" s="12">
        <v>1686</v>
      </c>
      <c r="AT240" s="12">
        <v>2433</v>
      </c>
      <c r="AU240" s="12">
        <v>1289.49</v>
      </c>
      <c r="AV240" s="12">
        <v>44010</v>
      </c>
      <c r="AW240" s="12">
        <v>44010</v>
      </c>
      <c r="AX240" s="12">
        <v>32484</v>
      </c>
      <c r="AY240" s="12">
        <v>48726</v>
      </c>
      <c r="AZ240" s="12">
        <v>1919</v>
      </c>
      <c r="BA240" s="12">
        <v>2494.7000000000003</v>
      </c>
    </row>
    <row r="241" spans="1:53" x14ac:dyDescent="0.3">
      <c r="A241" s="12" t="s">
        <v>74</v>
      </c>
      <c r="B241" s="16">
        <v>4200200</v>
      </c>
      <c r="C241" s="12" t="s">
        <v>551</v>
      </c>
      <c r="D241" s="12">
        <v>1573</v>
      </c>
      <c r="E241" s="13">
        <v>1887.6</v>
      </c>
      <c r="F241" s="12">
        <v>150</v>
      </c>
      <c r="G241" s="12">
        <v>79.5</v>
      </c>
      <c r="H241" s="12">
        <v>6900</v>
      </c>
      <c r="I241" s="12">
        <v>6900</v>
      </c>
      <c r="J241" s="12">
        <v>2400</v>
      </c>
      <c r="K241" s="12">
        <v>3600</v>
      </c>
      <c r="L241" s="12">
        <v>240</v>
      </c>
      <c r="M241" s="12">
        <v>312</v>
      </c>
      <c r="N241" s="12">
        <v>1573</v>
      </c>
      <c r="O241" s="12">
        <v>1887.6</v>
      </c>
      <c r="P241" s="12">
        <v>147</v>
      </c>
      <c r="Q241" s="12">
        <v>77.910000000000011</v>
      </c>
      <c r="R241" s="12">
        <v>6000</v>
      </c>
      <c r="S241" s="12">
        <v>6000</v>
      </c>
      <c r="T241" s="12">
        <v>3120</v>
      </c>
      <c r="U241" s="12">
        <v>4680</v>
      </c>
      <c r="V241" s="12">
        <v>288</v>
      </c>
      <c r="W241" s="12">
        <v>374.40000000000003</v>
      </c>
      <c r="X241" s="12">
        <v>1575</v>
      </c>
      <c r="Y241" s="12">
        <v>1890</v>
      </c>
      <c r="Z241" s="12">
        <v>134</v>
      </c>
      <c r="AA241" s="12">
        <v>71.02000000000001</v>
      </c>
      <c r="AB241" s="12">
        <v>6750</v>
      </c>
      <c r="AC241" s="12">
        <v>6750</v>
      </c>
      <c r="AD241" s="12">
        <v>3315</v>
      </c>
      <c r="AE241" s="12">
        <v>4972.5</v>
      </c>
      <c r="AF241" s="12">
        <v>360</v>
      </c>
      <c r="AG241" s="12">
        <v>468</v>
      </c>
      <c r="AH241" s="12">
        <v>1575</v>
      </c>
      <c r="AI241" s="12">
        <v>1890</v>
      </c>
      <c r="AJ241" s="12">
        <v>51</v>
      </c>
      <c r="AK241" s="12">
        <v>27.03</v>
      </c>
      <c r="AL241" s="12">
        <v>6946</v>
      </c>
      <c r="AM241" s="12">
        <v>6946</v>
      </c>
      <c r="AN241" s="12">
        <v>3120</v>
      </c>
      <c r="AO241" s="12">
        <v>4680</v>
      </c>
      <c r="AP241" s="12">
        <v>18</v>
      </c>
      <c r="AQ241" s="12">
        <v>23.400000000000002</v>
      </c>
      <c r="AR241" s="12">
        <v>1225</v>
      </c>
      <c r="AS241" s="12">
        <v>1470</v>
      </c>
      <c r="AT241" s="12">
        <v>41</v>
      </c>
      <c r="AU241" s="12">
        <v>21.73</v>
      </c>
      <c r="AV241" s="12">
        <v>4500</v>
      </c>
      <c r="AW241" s="12">
        <v>4500</v>
      </c>
      <c r="AX241" s="12">
        <v>2640</v>
      </c>
      <c r="AY241" s="12">
        <v>3960</v>
      </c>
      <c r="AZ241" s="12">
        <v>210</v>
      </c>
      <c r="BA241" s="12">
        <v>273</v>
      </c>
    </row>
    <row r="242" spans="1:53" x14ac:dyDescent="0.3">
      <c r="A242" s="12" t="s">
        <v>74</v>
      </c>
      <c r="B242" s="16">
        <v>4201802</v>
      </c>
      <c r="C242" s="12" t="s">
        <v>553</v>
      </c>
      <c r="D242" s="12" t="s">
        <v>73</v>
      </c>
      <c r="E242" s="13">
        <v>0</v>
      </c>
      <c r="F242" s="12">
        <v>109</v>
      </c>
      <c r="G242" s="12">
        <v>57.77</v>
      </c>
      <c r="H242" s="12">
        <v>3060</v>
      </c>
      <c r="I242" s="12">
        <v>3060</v>
      </c>
      <c r="J242" s="12">
        <v>3828</v>
      </c>
      <c r="K242" s="12">
        <v>5742</v>
      </c>
      <c r="L242" s="12">
        <v>288</v>
      </c>
      <c r="M242" s="12">
        <v>374.40000000000003</v>
      </c>
      <c r="N242" s="12" t="s">
        <v>73</v>
      </c>
      <c r="O242" s="12">
        <v>0</v>
      </c>
      <c r="P242" s="12">
        <v>125</v>
      </c>
      <c r="Q242" s="12">
        <v>66.25</v>
      </c>
      <c r="R242" s="12">
        <v>3360</v>
      </c>
      <c r="S242" s="12">
        <v>3360</v>
      </c>
      <c r="T242" s="12">
        <v>2625</v>
      </c>
      <c r="U242" s="12">
        <v>3937.5</v>
      </c>
      <c r="V242" s="12">
        <v>720</v>
      </c>
      <c r="W242" s="12">
        <v>936</v>
      </c>
      <c r="X242" s="12" t="s">
        <v>73</v>
      </c>
      <c r="Y242" s="12">
        <v>0</v>
      </c>
      <c r="Z242" s="12">
        <v>132</v>
      </c>
      <c r="AA242" s="12">
        <v>69.960000000000008</v>
      </c>
      <c r="AB242" s="12">
        <v>4560</v>
      </c>
      <c r="AC242" s="12">
        <v>4560</v>
      </c>
      <c r="AD242" s="12">
        <v>2880</v>
      </c>
      <c r="AE242" s="12">
        <v>4320</v>
      </c>
      <c r="AF242" s="12">
        <v>720</v>
      </c>
      <c r="AG242" s="12">
        <v>936</v>
      </c>
      <c r="AH242" s="12" t="s">
        <v>73</v>
      </c>
      <c r="AI242" s="12">
        <v>0</v>
      </c>
      <c r="AJ242" s="12">
        <v>39</v>
      </c>
      <c r="AK242" s="12">
        <v>20.67</v>
      </c>
      <c r="AL242" s="12">
        <v>4320</v>
      </c>
      <c r="AM242" s="12">
        <v>4320</v>
      </c>
      <c r="AN242" s="12">
        <v>2880</v>
      </c>
      <c r="AO242" s="12">
        <v>4320</v>
      </c>
      <c r="AP242" s="12">
        <v>135</v>
      </c>
      <c r="AQ242" s="12">
        <v>175.5</v>
      </c>
      <c r="AR242" s="12" t="s">
        <v>73</v>
      </c>
      <c r="AS242" s="12">
        <v>0</v>
      </c>
      <c r="AT242" s="12">
        <v>45</v>
      </c>
      <c r="AU242" s="12">
        <v>23.85</v>
      </c>
      <c r="AV242" s="12">
        <v>3120</v>
      </c>
      <c r="AW242" s="12">
        <v>3120</v>
      </c>
      <c r="AX242" s="12">
        <v>3750</v>
      </c>
      <c r="AY242" s="12">
        <v>5625</v>
      </c>
      <c r="AZ242" s="12">
        <v>480</v>
      </c>
      <c r="BA242" s="12">
        <v>624</v>
      </c>
    </row>
    <row r="243" spans="1:53" x14ac:dyDescent="0.3">
      <c r="A243" s="12" t="s">
        <v>74</v>
      </c>
      <c r="B243" s="16">
        <v>4204194</v>
      </c>
      <c r="C243" s="12" t="s">
        <v>555</v>
      </c>
      <c r="D243" s="12" t="s">
        <v>73</v>
      </c>
      <c r="E243" s="13">
        <v>0</v>
      </c>
      <c r="F243" s="12">
        <v>303</v>
      </c>
      <c r="G243" s="12">
        <v>160.59</v>
      </c>
      <c r="H243" s="12">
        <v>2988</v>
      </c>
      <c r="I243" s="12">
        <v>2988</v>
      </c>
      <c r="J243" s="12">
        <v>1980</v>
      </c>
      <c r="K243" s="12">
        <v>2970</v>
      </c>
      <c r="L243" s="12">
        <v>240</v>
      </c>
      <c r="M243" s="12">
        <v>312</v>
      </c>
      <c r="N243" s="12" t="s">
        <v>73</v>
      </c>
      <c r="O243" s="12">
        <v>0</v>
      </c>
      <c r="P243" s="12">
        <v>274</v>
      </c>
      <c r="Q243" s="12">
        <v>145.22</v>
      </c>
      <c r="R243" s="12">
        <v>4980</v>
      </c>
      <c r="S243" s="12">
        <v>4980</v>
      </c>
      <c r="T243" s="12">
        <v>2496</v>
      </c>
      <c r="U243" s="12">
        <v>3744</v>
      </c>
      <c r="V243" s="12">
        <v>400</v>
      </c>
      <c r="W243" s="12">
        <v>520</v>
      </c>
      <c r="X243" s="12" t="s">
        <v>73</v>
      </c>
      <c r="Y243" s="12">
        <v>0</v>
      </c>
      <c r="Z243" s="12">
        <v>287</v>
      </c>
      <c r="AA243" s="12">
        <v>152.11000000000001</v>
      </c>
      <c r="AB243" s="12">
        <v>4980</v>
      </c>
      <c r="AC243" s="12">
        <v>4980</v>
      </c>
      <c r="AD243" s="12">
        <v>2496</v>
      </c>
      <c r="AE243" s="12">
        <v>3744</v>
      </c>
      <c r="AF243" s="12">
        <v>400</v>
      </c>
      <c r="AG243" s="12">
        <v>520</v>
      </c>
      <c r="AH243" s="12" t="s">
        <v>73</v>
      </c>
      <c r="AI243" s="12">
        <v>0</v>
      </c>
      <c r="AJ243" s="12">
        <v>199</v>
      </c>
      <c r="AK243" s="12">
        <v>105.47</v>
      </c>
      <c r="AL243" s="12">
        <v>4731</v>
      </c>
      <c r="AM243" s="12">
        <v>4731</v>
      </c>
      <c r="AN243" s="12">
        <v>2496</v>
      </c>
      <c r="AO243" s="12">
        <v>3744</v>
      </c>
      <c r="AP243" s="12">
        <v>135</v>
      </c>
      <c r="AQ243" s="12">
        <v>175.5</v>
      </c>
      <c r="AR243" s="12" t="s">
        <v>73</v>
      </c>
      <c r="AS243" s="12">
        <v>0</v>
      </c>
      <c r="AT243" s="12">
        <v>193</v>
      </c>
      <c r="AU243" s="12">
        <v>102.29</v>
      </c>
      <c r="AV243" s="12">
        <v>4320</v>
      </c>
      <c r="AW243" s="12">
        <v>4320</v>
      </c>
      <c r="AX243" s="12">
        <v>2304</v>
      </c>
      <c r="AY243" s="12">
        <v>3456</v>
      </c>
      <c r="AZ243" s="12">
        <v>240</v>
      </c>
      <c r="BA243" s="12">
        <v>312</v>
      </c>
    </row>
    <row r="244" spans="1:53" x14ac:dyDescent="0.3">
      <c r="A244" s="12" t="s">
        <v>74</v>
      </c>
      <c r="B244" s="16">
        <v>4207403</v>
      </c>
      <c r="C244" s="12" t="s">
        <v>557</v>
      </c>
      <c r="D244" s="12" t="s">
        <v>73</v>
      </c>
      <c r="E244" s="13">
        <v>0</v>
      </c>
      <c r="F244" s="12">
        <v>360</v>
      </c>
      <c r="G244" s="12">
        <v>190.8</v>
      </c>
      <c r="H244" s="12">
        <v>4800</v>
      </c>
      <c r="I244" s="12">
        <v>4800</v>
      </c>
      <c r="J244" s="12">
        <v>750</v>
      </c>
      <c r="K244" s="12">
        <v>1125</v>
      </c>
      <c r="L244" s="12">
        <v>16</v>
      </c>
      <c r="M244" s="12">
        <v>20.8</v>
      </c>
      <c r="N244" s="12" t="s">
        <v>73</v>
      </c>
      <c r="O244" s="12">
        <v>0</v>
      </c>
      <c r="P244" s="12">
        <v>435</v>
      </c>
      <c r="Q244" s="12">
        <v>230.55</v>
      </c>
      <c r="R244" s="12">
        <v>7920</v>
      </c>
      <c r="S244" s="12">
        <v>7920</v>
      </c>
      <c r="T244" s="12">
        <v>900</v>
      </c>
      <c r="U244" s="12">
        <v>1350</v>
      </c>
      <c r="V244" s="12">
        <v>810</v>
      </c>
      <c r="W244" s="12">
        <v>1053</v>
      </c>
      <c r="X244" s="12" t="s">
        <v>73</v>
      </c>
      <c r="Y244" s="12">
        <v>0</v>
      </c>
      <c r="Z244" s="12">
        <v>568</v>
      </c>
      <c r="AA244" s="12">
        <v>301.04000000000002</v>
      </c>
      <c r="AB244" s="12">
        <v>8640</v>
      </c>
      <c r="AC244" s="12">
        <v>8640</v>
      </c>
      <c r="AD244" s="12">
        <v>1260</v>
      </c>
      <c r="AE244" s="12">
        <v>1890</v>
      </c>
      <c r="AF244" s="12">
        <v>810</v>
      </c>
      <c r="AG244" s="12">
        <v>1053</v>
      </c>
      <c r="AH244" s="12" t="s">
        <v>73</v>
      </c>
      <c r="AI244" s="12">
        <v>0</v>
      </c>
      <c r="AJ244" s="12">
        <v>358</v>
      </c>
      <c r="AK244" s="12">
        <v>189.74</v>
      </c>
      <c r="AL244" s="12">
        <v>7800</v>
      </c>
      <c r="AM244" s="12">
        <v>7800</v>
      </c>
      <c r="AN244" s="12">
        <v>1260</v>
      </c>
      <c r="AO244" s="12">
        <v>1890</v>
      </c>
      <c r="AP244" s="12">
        <v>18</v>
      </c>
      <c r="AQ244" s="12">
        <v>23.400000000000002</v>
      </c>
      <c r="AR244" s="12" t="s">
        <v>73</v>
      </c>
      <c r="AS244" s="12">
        <v>0</v>
      </c>
      <c r="AT244" s="12">
        <v>558</v>
      </c>
      <c r="AU244" s="12">
        <v>295.74</v>
      </c>
      <c r="AV244" s="12">
        <v>6480</v>
      </c>
      <c r="AW244" s="12">
        <v>6480</v>
      </c>
      <c r="AX244" s="12">
        <v>1260</v>
      </c>
      <c r="AY244" s="12">
        <v>1890</v>
      </c>
      <c r="AZ244" s="12">
        <v>144</v>
      </c>
      <c r="BA244" s="12">
        <v>187.20000000000002</v>
      </c>
    </row>
    <row r="245" spans="1:53" x14ac:dyDescent="0.3">
      <c r="A245" s="12" t="s">
        <v>74</v>
      </c>
      <c r="B245" s="16">
        <v>4208500</v>
      </c>
      <c r="C245" s="12" t="s">
        <v>559</v>
      </c>
      <c r="D245" s="12" t="s">
        <v>73</v>
      </c>
      <c r="E245" s="13">
        <v>0</v>
      </c>
      <c r="F245" s="12">
        <v>2640</v>
      </c>
      <c r="G245" s="12">
        <v>1399.2</v>
      </c>
      <c r="H245" s="12">
        <v>25740</v>
      </c>
      <c r="I245" s="12">
        <v>25740</v>
      </c>
      <c r="J245" s="12">
        <v>14235</v>
      </c>
      <c r="K245" s="12">
        <v>21352.5</v>
      </c>
      <c r="L245" s="12">
        <v>1500</v>
      </c>
      <c r="M245" s="12">
        <v>1950</v>
      </c>
      <c r="N245" s="12" t="s">
        <v>73</v>
      </c>
      <c r="O245" s="12">
        <v>0</v>
      </c>
      <c r="P245" s="12">
        <v>2790</v>
      </c>
      <c r="Q245" s="12">
        <v>1478.7</v>
      </c>
      <c r="R245" s="12">
        <v>23622</v>
      </c>
      <c r="S245" s="12">
        <v>23622</v>
      </c>
      <c r="T245" s="12">
        <v>15477</v>
      </c>
      <c r="U245" s="12">
        <v>23215.5</v>
      </c>
      <c r="V245" s="12">
        <v>2250</v>
      </c>
      <c r="W245" s="12">
        <v>2925</v>
      </c>
      <c r="X245" s="12" t="s">
        <v>73</v>
      </c>
      <c r="Y245" s="12">
        <v>0</v>
      </c>
      <c r="Z245" s="12">
        <v>2280</v>
      </c>
      <c r="AA245" s="12">
        <v>1208.4000000000001</v>
      </c>
      <c r="AB245" s="12">
        <v>22320</v>
      </c>
      <c r="AC245" s="12">
        <v>22320</v>
      </c>
      <c r="AD245" s="12">
        <v>15600</v>
      </c>
      <c r="AE245" s="12">
        <v>23400</v>
      </c>
      <c r="AF245" s="12">
        <v>2250</v>
      </c>
      <c r="AG245" s="12">
        <v>2925</v>
      </c>
      <c r="AH245" s="12" t="s">
        <v>73</v>
      </c>
      <c r="AI245" s="12">
        <v>0</v>
      </c>
      <c r="AJ245" s="12">
        <v>1665</v>
      </c>
      <c r="AK245" s="12">
        <v>882.45</v>
      </c>
      <c r="AL245" s="12">
        <v>23994</v>
      </c>
      <c r="AM245" s="12">
        <v>23994</v>
      </c>
      <c r="AN245" s="12">
        <v>15600</v>
      </c>
      <c r="AO245" s="12">
        <v>23400</v>
      </c>
      <c r="AP245" s="12">
        <v>825</v>
      </c>
      <c r="AQ245" s="12">
        <v>1072.5</v>
      </c>
      <c r="AR245" s="12" t="s">
        <v>73</v>
      </c>
      <c r="AS245" s="12">
        <v>0</v>
      </c>
      <c r="AT245" s="12">
        <v>1290</v>
      </c>
      <c r="AU245" s="12">
        <v>683.7</v>
      </c>
      <c r="AV245" s="12">
        <v>13950</v>
      </c>
      <c r="AW245" s="12">
        <v>13950</v>
      </c>
      <c r="AX245" s="12">
        <v>15600</v>
      </c>
      <c r="AY245" s="12">
        <v>23400</v>
      </c>
      <c r="AZ245" s="12">
        <v>600</v>
      </c>
      <c r="BA245" s="12">
        <v>780</v>
      </c>
    </row>
    <row r="246" spans="1:53" x14ac:dyDescent="0.3">
      <c r="A246" s="12" t="s">
        <v>74</v>
      </c>
      <c r="B246" s="16">
        <v>4212700</v>
      </c>
      <c r="C246" s="12" t="s">
        <v>561</v>
      </c>
      <c r="D246" s="12">
        <v>180</v>
      </c>
      <c r="E246" s="13">
        <v>216</v>
      </c>
      <c r="F246" s="12">
        <v>115</v>
      </c>
      <c r="G246" s="12">
        <v>60.95</v>
      </c>
      <c r="H246" s="12">
        <v>6960</v>
      </c>
      <c r="I246" s="12">
        <v>6960</v>
      </c>
      <c r="J246" s="12">
        <v>2700</v>
      </c>
      <c r="K246" s="12">
        <v>4050</v>
      </c>
      <c r="L246" s="12">
        <v>120</v>
      </c>
      <c r="M246" s="12">
        <v>156</v>
      </c>
      <c r="N246" s="12">
        <v>180</v>
      </c>
      <c r="O246" s="12">
        <v>216</v>
      </c>
      <c r="P246" s="12">
        <v>204</v>
      </c>
      <c r="Q246" s="12">
        <v>108.12</v>
      </c>
      <c r="R246" s="12">
        <v>9450</v>
      </c>
      <c r="S246" s="12">
        <v>9450</v>
      </c>
      <c r="T246" s="12">
        <v>4290</v>
      </c>
      <c r="U246" s="12">
        <v>6435</v>
      </c>
      <c r="V246" s="12">
        <v>480</v>
      </c>
      <c r="W246" s="12">
        <v>624</v>
      </c>
      <c r="X246" s="12">
        <v>180</v>
      </c>
      <c r="Y246" s="12">
        <v>216</v>
      </c>
      <c r="Z246" s="12">
        <v>177</v>
      </c>
      <c r="AA246" s="12">
        <v>93.81</v>
      </c>
      <c r="AB246" s="12">
        <v>10560</v>
      </c>
      <c r="AC246" s="12">
        <v>10560</v>
      </c>
      <c r="AD246" s="12">
        <v>5460</v>
      </c>
      <c r="AE246" s="12">
        <v>8190</v>
      </c>
      <c r="AF246" s="12">
        <v>360</v>
      </c>
      <c r="AG246" s="12">
        <v>468</v>
      </c>
      <c r="AH246" s="12">
        <v>180</v>
      </c>
      <c r="AI246" s="12">
        <v>216</v>
      </c>
      <c r="AJ246" s="12">
        <v>100</v>
      </c>
      <c r="AK246" s="12">
        <v>53</v>
      </c>
      <c r="AL246" s="12">
        <v>9058</v>
      </c>
      <c r="AM246" s="12">
        <v>9058</v>
      </c>
      <c r="AN246" s="12">
        <v>5460</v>
      </c>
      <c r="AO246" s="12">
        <v>8190</v>
      </c>
      <c r="AP246" s="12">
        <v>38</v>
      </c>
      <c r="AQ246" s="12">
        <v>49.4</v>
      </c>
      <c r="AR246" s="12">
        <v>180</v>
      </c>
      <c r="AS246" s="12">
        <v>216</v>
      </c>
      <c r="AT246" s="12">
        <v>96</v>
      </c>
      <c r="AU246" s="12">
        <v>50.88</v>
      </c>
      <c r="AV246" s="12">
        <v>5760</v>
      </c>
      <c r="AW246" s="12">
        <v>5760</v>
      </c>
      <c r="AX246" s="12">
        <v>4620</v>
      </c>
      <c r="AY246" s="12">
        <v>6930</v>
      </c>
      <c r="AZ246" s="12">
        <v>125</v>
      </c>
      <c r="BA246" s="12">
        <v>162.5</v>
      </c>
    </row>
    <row r="247" spans="1:53" x14ac:dyDescent="0.3">
      <c r="A247" s="12" t="s">
        <v>74</v>
      </c>
      <c r="B247" s="16">
        <v>4219200</v>
      </c>
      <c r="C247" s="12" t="s">
        <v>563</v>
      </c>
      <c r="D247" s="12" t="s">
        <v>73</v>
      </c>
      <c r="E247" s="13">
        <v>0</v>
      </c>
      <c r="F247" s="12">
        <v>357</v>
      </c>
      <c r="G247" s="12">
        <v>189.21</v>
      </c>
      <c r="H247" s="12">
        <v>8640</v>
      </c>
      <c r="I247" s="12">
        <v>8640</v>
      </c>
      <c r="J247" s="12">
        <v>2520</v>
      </c>
      <c r="K247" s="12">
        <v>3780</v>
      </c>
      <c r="L247" s="12">
        <v>324</v>
      </c>
      <c r="M247" s="12">
        <v>421.2</v>
      </c>
      <c r="N247" s="12" t="s">
        <v>73</v>
      </c>
      <c r="O247" s="12">
        <v>0</v>
      </c>
      <c r="P247" s="12">
        <v>388</v>
      </c>
      <c r="Q247" s="12">
        <v>205.64000000000001</v>
      </c>
      <c r="R247" s="12">
        <v>10080</v>
      </c>
      <c r="S247" s="12">
        <v>10080</v>
      </c>
      <c r="T247" s="12">
        <v>2730</v>
      </c>
      <c r="U247" s="12">
        <v>4095</v>
      </c>
      <c r="V247" s="12">
        <v>360</v>
      </c>
      <c r="W247" s="12">
        <v>468</v>
      </c>
      <c r="X247" s="12" t="s">
        <v>73</v>
      </c>
      <c r="Y247" s="12">
        <v>0</v>
      </c>
      <c r="Z247" s="12">
        <v>378</v>
      </c>
      <c r="AA247" s="12">
        <v>200.34</v>
      </c>
      <c r="AB247" s="12">
        <v>11040</v>
      </c>
      <c r="AC247" s="12">
        <v>11040</v>
      </c>
      <c r="AD247" s="12">
        <v>2886</v>
      </c>
      <c r="AE247" s="12">
        <v>4329</v>
      </c>
      <c r="AF247" s="12">
        <v>360</v>
      </c>
      <c r="AG247" s="12">
        <v>468</v>
      </c>
      <c r="AH247" s="12" t="s">
        <v>73</v>
      </c>
      <c r="AI247" s="12">
        <v>0</v>
      </c>
      <c r="AJ247" s="12">
        <v>226</v>
      </c>
      <c r="AK247" s="12">
        <v>119.78</v>
      </c>
      <c r="AL247" s="12">
        <v>10030</v>
      </c>
      <c r="AM247" s="12">
        <v>10030</v>
      </c>
      <c r="AN247" s="12">
        <v>2886</v>
      </c>
      <c r="AO247" s="12">
        <v>4329</v>
      </c>
      <c r="AP247" s="12">
        <v>9</v>
      </c>
      <c r="AQ247" s="12">
        <v>11.700000000000001</v>
      </c>
      <c r="AR247" s="12" t="s">
        <v>73</v>
      </c>
      <c r="AS247" s="12">
        <v>0</v>
      </c>
      <c r="AT247" s="12">
        <v>210</v>
      </c>
      <c r="AU247" s="12">
        <v>111.30000000000001</v>
      </c>
      <c r="AV247" s="12">
        <v>5880</v>
      </c>
      <c r="AW247" s="12">
        <v>5880</v>
      </c>
      <c r="AX247" s="12">
        <v>2310</v>
      </c>
      <c r="AY247" s="12">
        <v>3465</v>
      </c>
      <c r="AZ247" s="12">
        <v>120</v>
      </c>
      <c r="BA247" s="12">
        <v>156</v>
      </c>
    </row>
    <row r="248" spans="1:53" x14ac:dyDescent="0.3">
      <c r="A248" s="12" t="s">
        <v>67</v>
      </c>
      <c r="B248" s="16">
        <v>4205</v>
      </c>
      <c r="C248" s="12" t="s">
        <v>565</v>
      </c>
      <c r="D248" s="12">
        <v>32440</v>
      </c>
      <c r="E248" s="13">
        <v>38928</v>
      </c>
      <c r="F248" s="12">
        <v>1448</v>
      </c>
      <c r="G248" s="12">
        <v>767.44</v>
      </c>
      <c r="H248" s="12">
        <v>37235</v>
      </c>
      <c r="I248" s="12">
        <v>37235</v>
      </c>
      <c r="J248" s="12" t="s">
        <v>73</v>
      </c>
      <c r="K248" s="12">
        <v>0</v>
      </c>
      <c r="L248" s="12" t="s">
        <v>73</v>
      </c>
      <c r="M248" s="12">
        <v>0</v>
      </c>
      <c r="N248" s="12">
        <v>32051</v>
      </c>
      <c r="O248" s="12">
        <v>38461.199999999997</v>
      </c>
      <c r="P248" s="12">
        <v>1427</v>
      </c>
      <c r="Q248" s="12">
        <v>756.31000000000006</v>
      </c>
      <c r="R248" s="12">
        <v>37926</v>
      </c>
      <c r="S248" s="12">
        <v>37926</v>
      </c>
      <c r="T248" s="12" t="s">
        <v>73</v>
      </c>
      <c r="U248" s="12">
        <v>0</v>
      </c>
      <c r="V248" s="12" t="s">
        <v>73</v>
      </c>
      <c r="W248" s="12">
        <v>0</v>
      </c>
      <c r="X248" s="12">
        <v>32293</v>
      </c>
      <c r="Y248" s="12">
        <v>38751.599999999999</v>
      </c>
      <c r="Z248" s="12">
        <v>1306</v>
      </c>
      <c r="AA248" s="12">
        <v>692.18000000000006</v>
      </c>
      <c r="AB248" s="12">
        <v>40005</v>
      </c>
      <c r="AC248" s="12">
        <v>40005</v>
      </c>
      <c r="AD248" s="12" t="s">
        <v>73</v>
      </c>
      <c r="AE248" s="12">
        <v>0</v>
      </c>
      <c r="AF248" s="12" t="s">
        <v>73</v>
      </c>
      <c r="AG248" s="12">
        <v>0</v>
      </c>
      <c r="AH248" s="12">
        <v>29462</v>
      </c>
      <c r="AI248" s="12">
        <v>35354.400000000001</v>
      </c>
      <c r="AJ248" s="12">
        <v>1308</v>
      </c>
      <c r="AK248" s="12">
        <v>693.24</v>
      </c>
      <c r="AL248" s="12">
        <v>41464</v>
      </c>
      <c r="AM248" s="12">
        <v>41464</v>
      </c>
      <c r="AN248" s="12">
        <v>2000</v>
      </c>
      <c r="AO248" s="12">
        <v>3000</v>
      </c>
      <c r="AP248" s="12">
        <v>50</v>
      </c>
      <c r="AQ248" s="12">
        <v>65</v>
      </c>
      <c r="AR248" s="12">
        <v>28015</v>
      </c>
      <c r="AS248" s="12">
        <v>33618</v>
      </c>
      <c r="AT248" s="12">
        <v>1070</v>
      </c>
      <c r="AU248" s="12">
        <v>567.1</v>
      </c>
      <c r="AV248" s="12">
        <v>30903</v>
      </c>
      <c r="AW248" s="12">
        <v>30903</v>
      </c>
      <c r="AX248" s="12">
        <v>2000</v>
      </c>
      <c r="AY248" s="12">
        <v>3000</v>
      </c>
      <c r="AZ248" s="12">
        <v>108</v>
      </c>
      <c r="BA248" s="12">
        <v>140.4</v>
      </c>
    </row>
    <row r="249" spans="1:53" x14ac:dyDescent="0.3">
      <c r="A249" s="12" t="s">
        <v>70</v>
      </c>
      <c r="B249" s="16">
        <v>42015</v>
      </c>
      <c r="C249" s="12" t="s">
        <v>567</v>
      </c>
      <c r="D249" s="12">
        <v>16840</v>
      </c>
      <c r="E249" s="13">
        <v>20208</v>
      </c>
      <c r="F249" s="12">
        <v>747</v>
      </c>
      <c r="G249" s="12">
        <v>395.91</v>
      </c>
      <c r="H249" s="12">
        <v>10982</v>
      </c>
      <c r="I249" s="12">
        <v>10982</v>
      </c>
      <c r="J249" s="12" t="s">
        <v>73</v>
      </c>
      <c r="K249" s="12">
        <v>0</v>
      </c>
      <c r="L249" s="12" t="s">
        <v>73</v>
      </c>
      <c r="M249" s="12">
        <v>0</v>
      </c>
      <c r="N249" s="12">
        <v>17440</v>
      </c>
      <c r="O249" s="12">
        <v>20928</v>
      </c>
      <c r="P249" s="12">
        <v>754</v>
      </c>
      <c r="Q249" s="12">
        <v>399.62</v>
      </c>
      <c r="R249" s="12">
        <v>10790</v>
      </c>
      <c r="S249" s="12">
        <v>10790</v>
      </c>
      <c r="T249" s="12" t="s">
        <v>73</v>
      </c>
      <c r="U249" s="12">
        <v>0</v>
      </c>
      <c r="V249" s="12" t="s">
        <v>73</v>
      </c>
      <c r="W249" s="12">
        <v>0</v>
      </c>
      <c r="X249" s="12">
        <v>16020</v>
      </c>
      <c r="Y249" s="12">
        <v>19224</v>
      </c>
      <c r="Z249" s="12">
        <v>698</v>
      </c>
      <c r="AA249" s="12">
        <v>369.94</v>
      </c>
      <c r="AB249" s="12">
        <v>16828</v>
      </c>
      <c r="AC249" s="12">
        <v>16828</v>
      </c>
      <c r="AD249" s="12" t="s">
        <v>73</v>
      </c>
      <c r="AE249" s="12">
        <v>0</v>
      </c>
      <c r="AF249" s="12" t="s">
        <v>73</v>
      </c>
      <c r="AG249" s="12">
        <v>0</v>
      </c>
      <c r="AH249" s="12">
        <v>12675</v>
      </c>
      <c r="AI249" s="12">
        <v>15210</v>
      </c>
      <c r="AJ249" s="12">
        <v>621</v>
      </c>
      <c r="AK249" s="12">
        <v>329.13</v>
      </c>
      <c r="AL249" s="12">
        <v>16768</v>
      </c>
      <c r="AM249" s="12">
        <v>16768</v>
      </c>
      <c r="AN249" s="12" t="s">
        <v>73</v>
      </c>
      <c r="AO249" s="12">
        <v>0</v>
      </c>
      <c r="AP249" s="12">
        <v>50</v>
      </c>
      <c r="AQ249" s="12">
        <v>65</v>
      </c>
      <c r="AR249" s="12">
        <v>13529</v>
      </c>
      <c r="AS249" s="12">
        <v>16234.8</v>
      </c>
      <c r="AT249" s="12">
        <v>666</v>
      </c>
      <c r="AU249" s="12">
        <v>352.98</v>
      </c>
      <c r="AV249" s="12">
        <v>13373</v>
      </c>
      <c r="AW249" s="12">
        <v>13373</v>
      </c>
      <c r="AX249" s="12" t="s">
        <v>73</v>
      </c>
      <c r="AY249" s="12">
        <v>0</v>
      </c>
      <c r="AZ249" s="12">
        <v>108</v>
      </c>
      <c r="BA249" s="12">
        <v>140.4</v>
      </c>
    </row>
    <row r="250" spans="1:53" x14ac:dyDescent="0.3">
      <c r="A250" s="12" t="s">
        <v>74</v>
      </c>
      <c r="B250" s="16">
        <v>4200903</v>
      </c>
      <c r="C250" s="12" t="s">
        <v>569</v>
      </c>
      <c r="D250" s="12" t="s">
        <v>73</v>
      </c>
      <c r="E250" s="13">
        <v>0</v>
      </c>
      <c r="F250" s="12">
        <v>454</v>
      </c>
      <c r="G250" s="12">
        <v>240.62</v>
      </c>
      <c r="H250" s="12">
        <v>4286</v>
      </c>
      <c r="I250" s="12">
        <v>4286</v>
      </c>
      <c r="J250" s="12" t="s">
        <v>73</v>
      </c>
      <c r="K250" s="12">
        <v>0</v>
      </c>
      <c r="L250" s="12" t="s">
        <v>73</v>
      </c>
      <c r="M250" s="12">
        <v>0</v>
      </c>
      <c r="N250" s="12" t="s">
        <v>73</v>
      </c>
      <c r="O250" s="12">
        <v>0</v>
      </c>
      <c r="P250" s="12">
        <v>450</v>
      </c>
      <c r="Q250" s="12">
        <v>238.5</v>
      </c>
      <c r="R250" s="12">
        <v>4100</v>
      </c>
      <c r="S250" s="12">
        <v>4100</v>
      </c>
      <c r="T250" s="12" t="s">
        <v>73</v>
      </c>
      <c r="U250" s="12">
        <v>0</v>
      </c>
      <c r="V250" s="12" t="s">
        <v>73</v>
      </c>
      <c r="W250" s="12">
        <v>0</v>
      </c>
      <c r="X250" s="12" t="s">
        <v>73</v>
      </c>
      <c r="Y250" s="12">
        <v>0</v>
      </c>
      <c r="Z250" s="12">
        <v>428</v>
      </c>
      <c r="AA250" s="12">
        <v>226.84</v>
      </c>
      <c r="AB250" s="12">
        <v>4612</v>
      </c>
      <c r="AC250" s="12">
        <v>4612</v>
      </c>
      <c r="AD250" s="12" t="s">
        <v>73</v>
      </c>
      <c r="AE250" s="12">
        <v>0</v>
      </c>
      <c r="AF250" s="12" t="s">
        <v>73</v>
      </c>
      <c r="AG250" s="12">
        <v>0</v>
      </c>
      <c r="AH250" s="12" t="s">
        <v>73</v>
      </c>
      <c r="AI250" s="12">
        <v>0</v>
      </c>
      <c r="AJ250" s="12">
        <v>429</v>
      </c>
      <c r="AK250" s="12">
        <v>227.37</v>
      </c>
      <c r="AL250" s="12">
        <v>4752</v>
      </c>
      <c r="AM250" s="12">
        <v>4752</v>
      </c>
      <c r="AN250" s="12" t="s">
        <v>73</v>
      </c>
      <c r="AO250" s="12">
        <v>0</v>
      </c>
      <c r="AP250" s="12" t="s">
        <v>73</v>
      </c>
      <c r="AQ250" s="12">
        <v>0</v>
      </c>
      <c r="AR250" s="12" t="s">
        <v>73</v>
      </c>
      <c r="AS250" s="12">
        <v>0</v>
      </c>
      <c r="AT250" s="12">
        <v>429</v>
      </c>
      <c r="AU250" s="12">
        <v>227.37</v>
      </c>
      <c r="AV250" s="12">
        <v>4752</v>
      </c>
      <c r="AW250" s="12">
        <v>4752</v>
      </c>
      <c r="AX250" s="12" t="s">
        <v>73</v>
      </c>
      <c r="AY250" s="12">
        <v>0</v>
      </c>
      <c r="AZ250" s="12" t="s">
        <v>73</v>
      </c>
      <c r="BA250" s="12">
        <v>0</v>
      </c>
    </row>
    <row r="251" spans="1:53" x14ac:dyDescent="0.3">
      <c r="A251" s="12" t="s">
        <v>74</v>
      </c>
      <c r="B251" s="16">
        <v>4203709</v>
      </c>
      <c r="C251" s="12" t="s">
        <v>571</v>
      </c>
      <c r="D251" s="12">
        <v>2080</v>
      </c>
      <c r="E251" s="13">
        <v>2496</v>
      </c>
      <c r="F251" s="12">
        <v>8</v>
      </c>
      <c r="G251" s="12">
        <v>4.24</v>
      </c>
      <c r="H251" s="12">
        <v>605</v>
      </c>
      <c r="I251" s="12">
        <v>605</v>
      </c>
      <c r="J251" s="12" t="s">
        <v>73</v>
      </c>
      <c r="K251" s="12">
        <v>0</v>
      </c>
      <c r="L251" s="12" t="s">
        <v>73</v>
      </c>
      <c r="M251" s="12">
        <v>0</v>
      </c>
      <c r="N251" s="12">
        <v>2080</v>
      </c>
      <c r="O251" s="12">
        <v>2496</v>
      </c>
      <c r="P251" s="12">
        <v>8</v>
      </c>
      <c r="Q251" s="12">
        <v>4.24</v>
      </c>
      <c r="R251" s="12">
        <v>605</v>
      </c>
      <c r="S251" s="12">
        <v>605</v>
      </c>
      <c r="T251" s="12" t="s">
        <v>73</v>
      </c>
      <c r="U251" s="12">
        <v>0</v>
      </c>
      <c r="V251" s="12" t="s">
        <v>73</v>
      </c>
      <c r="W251" s="12">
        <v>0</v>
      </c>
      <c r="X251" s="12">
        <v>600</v>
      </c>
      <c r="Y251" s="12">
        <v>720</v>
      </c>
      <c r="Z251" s="12">
        <v>12</v>
      </c>
      <c r="AA251" s="12">
        <v>6.36</v>
      </c>
      <c r="AB251" s="12">
        <v>102</v>
      </c>
      <c r="AC251" s="12">
        <v>102</v>
      </c>
      <c r="AD251" s="12" t="s">
        <v>73</v>
      </c>
      <c r="AE251" s="12">
        <v>0</v>
      </c>
      <c r="AF251" s="12" t="s">
        <v>73</v>
      </c>
      <c r="AG251" s="12">
        <v>0</v>
      </c>
      <c r="AH251" s="12">
        <v>600</v>
      </c>
      <c r="AI251" s="12">
        <v>720</v>
      </c>
      <c r="AJ251" s="12">
        <v>12</v>
      </c>
      <c r="AK251" s="12">
        <v>6.36</v>
      </c>
      <c r="AL251" s="12">
        <v>102</v>
      </c>
      <c r="AM251" s="12">
        <v>102</v>
      </c>
      <c r="AN251" s="12" t="s">
        <v>73</v>
      </c>
      <c r="AO251" s="12">
        <v>0</v>
      </c>
      <c r="AP251" s="12" t="s">
        <v>73</v>
      </c>
      <c r="AQ251" s="12">
        <v>0</v>
      </c>
      <c r="AR251" s="12">
        <v>1125</v>
      </c>
      <c r="AS251" s="12">
        <v>1350</v>
      </c>
      <c r="AT251" s="12">
        <v>1</v>
      </c>
      <c r="AU251" s="12">
        <v>0.53</v>
      </c>
      <c r="AV251" s="12">
        <v>85</v>
      </c>
      <c r="AW251" s="12">
        <v>85</v>
      </c>
      <c r="AX251" s="12" t="s">
        <v>73</v>
      </c>
      <c r="AY251" s="12">
        <v>0</v>
      </c>
      <c r="AZ251" s="12" t="s">
        <v>73</v>
      </c>
      <c r="BA251" s="12">
        <v>0</v>
      </c>
    </row>
    <row r="252" spans="1:53" x14ac:dyDescent="0.3">
      <c r="A252" s="12" t="s">
        <v>74</v>
      </c>
      <c r="B252" s="16">
        <v>4209805</v>
      </c>
      <c r="C252" s="12" t="s">
        <v>573</v>
      </c>
      <c r="D252" s="12" t="s">
        <v>73</v>
      </c>
      <c r="E252" s="13">
        <v>0</v>
      </c>
      <c r="F252" s="12">
        <v>171</v>
      </c>
      <c r="G252" s="12">
        <v>90.63000000000001</v>
      </c>
      <c r="H252" s="12">
        <v>4560</v>
      </c>
      <c r="I252" s="12">
        <v>4560</v>
      </c>
      <c r="J252" s="12" t="s">
        <v>73</v>
      </c>
      <c r="K252" s="12">
        <v>0</v>
      </c>
      <c r="L252" s="12" t="s">
        <v>73</v>
      </c>
      <c r="M252" s="12">
        <v>0</v>
      </c>
      <c r="N252" s="12" t="s">
        <v>73</v>
      </c>
      <c r="O252" s="12">
        <v>0</v>
      </c>
      <c r="P252" s="12">
        <v>186</v>
      </c>
      <c r="Q252" s="12">
        <v>98.58</v>
      </c>
      <c r="R252" s="12">
        <v>4200</v>
      </c>
      <c r="S252" s="12">
        <v>4200</v>
      </c>
      <c r="T252" s="12" t="s">
        <v>73</v>
      </c>
      <c r="U252" s="12">
        <v>0</v>
      </c>
      <c r="V252" s="12" t="s">
        <v>73</v>
      </c>
      <c r="W252" s="12">
        <v>0</v>
      </c>
      <c r="X252" s="12" t="s">
        <v>73</v>
      </c>
      <c r="Y252" s="12">
        <v>0</v>
      </c>
      <c r="Z252" s="12">
        <v>183</v>
      </c>
      <c r="AA252" s="12">
        <v>96.990000000000009</v>
      </c>
      <c r="AB252" s="12">
        <v>5700</v>
      </c>
      <c r="AC252" s="12">
        <v>5700</v>
      </c>
      <c r="AD252" s="12" t="s">
        <v>73</v>
      </c>
      <c r="AE252" s="12">
        <v>0</v>
      </c>
      <c r="AF252" s="12" t="s">
        <v>73</v>
      </c>
      <c r="AG252" s="12">
        <v>0</v>
      </c>
      <c r="AH252" s="12" t="s">
        <v>73</v>
      </c>
      <c r="AI252" s="12">
        <v>0</v>
      </c>
      <c r="AJ252" s="12">
        <v>105</v>
      </c>
      <c r="AK252" s="12">
        <v>55.650000000000006</v>
      </c>
      <c r="AL252" s="12">
        <v>5500</v>
      </c>
      <c r="AM252" s="12">
        <v>5500</v>
      </c>
      <c r="AN252" s="12" t="s">
        <v>73</v>
      </c>
      <c r="AO252" s="12">
        <v>0</v>
      </c>
      <c r="AP252" s="12">
        <v>50</v>
      </c>
      <c r="AQ252" s="12">
        <v>65</v>
      </c>
      <c r="AR252" s="12" t="s">
        <v>73</v>
      </c>
      <c r="AS252" s="12">
        <v>0</v>
      </c>
      <c r="AT252" s="12">
        <v>211</v>
      </c>
      <c r="AU252" s="12">
        <v>111.83000000000001</v>
      </c>
      <c r="AV252" s="12">
        <v>3300</v>
      </c>
      <c r="AW252" s="12">
        <v>3300</v>
      </c>
      <c r="AX252" s="12" t="s">
        <v>73</v>
      </c>
      <c r="AY252" s="12">
        <v>0</v>
      </c>
      <c r="AZ252" s="12">
        <v>108</v>
      </c>
      <c r="BA252" s="12">
        <v>140.4</v>
      </c>
    </row>
    <row r="253" spans="1:53" x14ac:dyDescent="0.3">
      <c r="A253" s="12" t="s">
        <v>74</v>
      </c>
      <c r="B253" s="16">
        <v>4210209</v>
      </c>
      <c r="C253" s="12" t="s">
        <v>575</v>
      </c>
      <c r="D253" s="12" t="s">
        <v>73</v>
      </c>
      <c r="E253" s="13">
        <v>0</v>
      </c>
      <c r="F253" s="12">
        <v>21</v>
      </c>
      <c r="G253" s="12">
        <v>11.13</v>
      </c>
      <c r="H253" s="12">
        <v>150</v>
      </c>
      <c r="I253" s="12">
        <v>150</v>
      </c>
      <c r="J253" s="12" t="s">
        <v>73</v>
      </c>
      <c r="K253" s="12">
        <v>0</v>
      </c>
      <c r="L253" s="12" t="s">
        <v>73</v>
      </c>
      <c r="M253" s="12">
        <v>0</v>
      </c>
      <c r="N253" s="12" t="s">
        <v>73</v>
      </c>
      <c r="O253" s="12">
        <v>0</v>
      </c>
      <c r="P253" s="12">
        <v>21</v>
      </c>
      <c r="Q253" s="12">
        <v>11.13</v>
      </c>
      <c r="R253" s="12">
        <v>120</v>
      </c>
      <c r="S253" s="12">
        <v>120</v>
      </c>
      <c r="T253" s="12" t="s">
        <v>73</v>
      </c>
      <c r="U253" s="12">
        <v>0</v>
      </c>
      <c r="V253" s="12" t="s">
        <v>73</v>
      </c>
      <c r="W253" s="12">
        <v>0</v>
      </c>
      <c r="X253" s="12" t="s">
        <v>73</v>
      </c>
      <c r="Y253" s="12">
        <v>0</v>
      </c>
      <c r="Z253" s="12">
        <v>15</v>
      </c>
      <c r="AA253" s="12">
        <v>7.95</v>
      </c>
      <c r="AB253" s="12">
        <v>300</v>
      </c>
      <c r="AC253" s="12">
        <v>300</v>
      </c>
      <c r="AD253" s="12" t="s">
        <v>73</v>
      </c>
      <c r="AE253" s="12">
        <v>0</v>
      </c>
      <c r="AF253" s="12" t="s">
        <v>73</v>
      </c>
      <c r="AG253" s="12">
        <v>0</v>
      </c>
      <c r="AH253" s="12" t="s">
        <v>73</v>
      </c>
      <c r="AI253" s="12">
        <v>0</v>
      </c>
      <c r="AJ253" s="12">
        <v>15</v>
      </c>
      <c r="AK253" s="12">
        <v>7.95</v>
      </c>
      <c r="AL253" s="12">
        <v>300</v>
      </c>
      <c r="AM253" s="12">
        <v>300</v>
      </c>
      <c r="AN253" s="12" t="s">
        <v>73</v>
      </c>
      <c r="AO253" s="12">
        <v>0</v>
      </c>
      <c r="AP253" s="12" t="s">
        <v>73</v>
      </c>
      <c r="AQ253" s="12">
        <v>0</v>
      </c>
      <c r="AR253" s="12" t="s">
        <v>73</v>
      </c>
      <c r="AS253" s="12">
        <v>0</v>
      </c>
      <c r="AT253" s="12">
        <v>5</v>
      </c>
      <c r="AU253" s="12">
        <v>2.6500000000000004</v>
      </c>
      <c r="AV253" s="12">
        <v>240</v>
      </c>
      <c r="AW253" s="12">
        <v>240</v>
      </c>
      <c r="AX253" s="12" t="s">
        <v>73</v>
      </c>
      <c r="AY253" s="12">
        <v>0</v>
      </c>
      <c r="AZ253" s="12" t="s">
        <v>73</v>
      </c>
      <c r="BA253" s="12">
        <v>0</v>
      </c>
    </row>
    <row r="254" spans="1:53" x14ac:dyDescent="0.3">
      <c r="A254" s="12" t="s">
        <v>74</v>
      </c>
      <c r="B254" s="16">
        <v>4211504</v>
      </c>
      <c r="C254" s="12" t="s">
        <v>577</v>
      </c>
      <c r="D254" s="12" t="s">
        <v>73</v>
      </c>
      <c r="E254" s="13">
        <v>0</v>
      </c>
      <c r="F254" s="12">
        <v>72</v>
      </c>
      <c r="G254" s="12">
        <v>38.160000000000004</v>
      </c>
      <c r="H254" s="12">
        <v>797</v>
      </c>
      <c r="I254" s="12">
        <v>797</v>
      </c>
      <c r="J254" s="12" t="s">
        <v>73</v>
      </c>
      <c r="K254" s="12">
        <v>0</v>
      </c>
      <c r="L254" s="12" t="s">
        <v>73</v>
      </c>
      <c r="M254" s="12">
        <v>0</v>
      </c>
      <c r="N254" s="12" t="s">
        <v>73</v>
      </c>
      <c r="O254" s="12">
        <v>0</v>
      </c>
      <c r="P254" s="12">
        <v>72</v>
      </c>
      <c r="Q254" s="12">
        <v>38.160000000000004</v>
      </c>
      <c r="R254" s="12">
        <v>847</v>
      </c>
      <c r="S254" s="12">
        <v>847</v>
      </c>
      <c r="T254" s="12" t="s">
        <v>73</v>
      </c>
      <c r="U254" s="12">
        <v>0</v>
      </c>
      <c r="V254" s="12" t="s">
        <v>73</v>
      </c>
      <c r="W254" s="12">
        <v>0</v>
      </c>
      <c r="X254" s="12" t="s">
        <v>73</v>
      </c>
      <c r="Y254" s="12">
        <v>0</v>
      </c>
      <c r="Z254" s="12">
        <v>45</v>
      </c>
      <c r="AA254" s="12">
        <v>23.85</v>
      </c>
      <c r="AB254" s="12">
        <v>4400</v>
      </c>
      <c r="AC254" s="12">
        <v>4400</v>
      </c>
      <c r="AD254" s="12" t="s">
        <v>73</v>
      </c>
      <c r="AE254" s="12">
        <v>0</v>
      </c>
      <c r="AF254" s="12" t="s">
        <v>73</v>
      </c>
      <c r="AG254" s="12">
        <v>0</v>
      </c>
      <c r="AH254" s="12" t="s">
        <v>73</v>
      </c>
      <c r="AI254" s="12">
        <v>0</v>
      </c>
      <c r="AJ254" s="12">
        <v>45</v>
      </c>
      <c r="AK254" s="12">
        <v>23.85</v>
      </c>
      <c r="AL254" s="12">
        <v>4400</v>
      </c>
      <c r="AM254" s="12">
        <v>4400</v>
      </c>
      <c r="AN254" s="12" t="s">
        <v>73</v>
      </c>
      <c r="AO254" s="12">
        <v>0</v>
      </c>
      <c r="AP254" s="12" t="s">
        <v>73</v>
      </c>
      <c r="AQ254" s="12">
        <v>0</v>
      </c>
      <c r="AR254" s="12" t="s">
        <v>73</v>
      </c>
      <c r="AS254" s="12">
        <v>0</v>
      </c>
      <c r="AT254" s="12">
        <v>13</v>
      </c>
      <c r="AU254" s="12">
        <v>6.8900000000000006</v>
      </c>
      <c r="AV254" s="12">
        <v>4000</v>
      </c>
      <c r="AW254" s="12">
        <v>4000</v>
      </c>
      <c r="AX254" s="12" t="s">
        <v>73</v>
      </c>
      <c r="AY254" s="12">
        <v>0</v>
      </c>
      <c r="AZ254" s="12" t="s">
        <v>73</v>
      </c>
      <c r="BA254" s="12">
        <v>0</v>
      </c>
    </row>
    <row r="255" spans="1:53" x14ac:dyDescent="0.3">
      <c r="A255" s="12" t="s">
        <v>74</v>
      </c>
      <c r="B255" s="16">
        <v>4216305</v>
      </c>
      <c r="C255" s="12" t="s">
        <v>579</v>
      </c>
      <c r="D255" s="12">
        <v>360</v>
      </c>
      <c r="E255" s="13">
        <v>432</v>
      </c>
      <c r="F255" s="12">
        <v>16</v>
      </c>
      <c r="G255" s="12">
        <v>8.48</v>
      </c>
      <c r="H255" s="12">
        <v>507</v>
      </c>
      <c r="I255" s="12">
        <v>507</v>
      </c>
      <c r="J255" s="12" t="s">
        <v>73</v>
      </c>
      <c r="K255" s="12">
        <v>0</v>
      </c>
      <c r="L255" s="12" t="s">
        <v>73</v>
      </c>
      <c r="M255" s="12">
        <v>0</v>
      </c>
      <c r="N255" s="12">
        <v>360</v>
      </c>
      <c r="O255" s="12">
        <v>432</v>
      </c>
      <c r="P255" s="12">
        <v>16</v>
      </c>
      <c r="Q255" s="12">
        <v>8.48</v>
      </c>
      <c r="R255" s="12">
        <v>493</v>
      </c>
      <c r="S255" s="12">
        <v>493</v>
      </c>
      <c r="T255" s="12" t="s">
        <v>73</v>
      </c>
      <c r="U255" s="12">
        <v>0</v>
      </c>
      <c r="V255" s="12" t="s">
        <v>73</v>
      </c>
      <c r="W255" s="12">
        <v>0</v>
      </c>
      <c r="X255" s="12">
        <v>420</v>
      </c>
      <c r="Y255" s="12">
        <v>504</v>
      </c>
      <c r="Z255" s="12">
        <v>11</v>
      </c>
      <c r="AA255" s="12">
        <v>5.83</v>
      </c>
      <c r="AB255" s="12">
        <v>1334</v>
      </c>
      <c r="AC255" s="12">
        <v>1334</v>
      </c>
      <c r="AD255" s="12" t="s">
        <v>73</v>
      </c>
      <c r="AE255" s="12">
        <v>0</v>
      </c>
      <c r="AF255" s="12" t="s">
        <v>73</v>
      </c>
      <c r="AG255" s="12">
        <v>0</v>
      </c>
      <c r="AH255" s="12">
        <v>420</v>
      </c>
      <c r="AI255" s="12">
        <v>504</v>
      </c>
      <c r="AJ255" s="12">
        <v>11</v>
      </c>
      <c r="AK255" s="12">
        <v>5.83</v>
      </c>
      <c r="AL255" s="12">
        <v>1334</v>
      </c>
      <c r="AM255" s="12">
        <v>1334</v>
      </c>
      <c r="AN255" s="12" t="s">
        <v>73</v>
      </c>
      <c r="AO255" s="12">
        <v>0</v>
      </c>
      <c r="AP255" s="12" t="s">
        <v>73</v>
      </c>
      <c r="AQ255" s="12">
        <v>0</v>
      </c>
      <c r="AR255" s="12">
        <v>420</v>
      </c>
      <c r="AS255" s="12">
        <v>504</v>
      </c>
      <c r="AT255" s="12">
        <v>3</v>
      </c>
      <c r="AU255" s="12">
        <v>1.59</v>
      </c>
      <c r="AV255" s="12">
        <v>934</v>
      </c>
      <c r="AW255" s="12">
        <v>934</v>
      </c>
      <c r="AX255" s="12" t="s">
        <v>73</v>
      </c>
      <c r="AY255" s="12">
        <v>0</v>
      </c>
      <c r="AZ255" s="12" t="s">
        <v>73</v>
      </c>
      <c r="BA255" s="12">
        <v>0</v>
      </c>
    </row>
    <row r="256" spans="1:53" x14ac:dyDescent="0.3">
      <c r="A256" s="12" t="s">
        <v>74</v>
      </c>
      <c r="B256" s="16">
        <v>4218004</v>
      </c>
      <c r="C256" s="12" t="s">
        <v>581</v>
      </c>
      <c r="D256" s="12">
        <v>14400</v>
      </c>
      <c r="E256" s="13">
        <v>17280</v>
      </c>
      <c r="F256" s="12">
        <v>5</v>
      </c>
      <c r="G256" s="12">
        <v>2.6500000000000004</v>
      </c>
      <c r="H256" s="12">
        <v>77</v>
      </c>
      <c r="I256" s="12">
        <v>77</v>
      </c>
      <c r="J256" s="12" t="s">
        <v>73</v>
      </c>
      <c r="K256" s="12">
        <v>0</v>
      </c>
      <c r="L256" s="12" t="s">
        <v>73</v>
      </c>
      <c r="M256" s="12">
        <v>0</v>
      </c>
      <c r="N256" s="12">
        <v>15000</v>
      </c>
      <c r="O256" s="12">
        <v>18000</v>
      </c>
      <c r="P256" s="12">
        <v>1</v>
      </c>
      <c r="Q256" s="12">
        <v>0.53</v>
      </c>
      <c r="R256" s="12">
        <v>425</v>
      </c>
      <c r="S256" s="12">
        <v>425</v>
      </c>
      <c r="T256" s="12" t="s">
        <v>73</v>
      </c>
      <c r="U256" s="12">
        <v>0</v>
      </c>
      <c r="V256" s="12" t="s">
        <v>73</v>
      </c>
      <c r="W256" s="12">
        <v>0</v>
      </c>
      <c r="X256" s="12">
        <v>15000</v>
      </c>
      <c r="Y256" s="12">
        <v>18000</v>
      </c>
      <c r="Z256" s="12">
        <v>4</v>
      </c>
      <c r="AA256" s="12">
        <v>2.12</v>
      </c>
      <c r="AB256" s="12">
        <v>380</v>
      </c>
      <c r="AC256" s="12">
        <v>380</v>
      </c>
      <c r="AD256" s="12" t="s">
        <v>73</v>
      </c>
      <c r="AE256" s="12">
        <v>0</v>
      </c>
      <c r="AF256" s="12" t="s">
        <v>73</v>
      </c>
      <c r="AG256" s="12">
        <v>0</v>
      </c>
      <c r="AH256" s="12">
        <v>11655</v>
      </c>
      <c r="AI256" s="12">
        <v>13986</v>
      </c>
      <c r="AJ256" s="12">
        <v>4</v>
      </c>
      <c r="AK256" s="12">
        <v>2.12</v>
      </c>
      <c r="AL256" s="12">
        <v>380</v>
      </c>
      <c r="AM256" s="12">
        <v>380</v>
      </c>
      <c r="AN256" s="12" t="s">
        <v>73</v>
      </c>
      <c r="AO256" s="12">
        <v>0</v>
      </c>
      <c r="AP256" s="12" t="s">
        <v>73</v>
      </c>
      <c r="AQ256" s="12">
        <v>0</v>
      </c>
      <c r="AR256" s="12">
        <v>11984</v>
      </c>
      <c r="AS256" s="12">
        <v>14380.8</v>
      </c>
      <c r="AT256" s="12">
        <v>4</v>
      </c>
      <c r="AU256" s="12">
        <v>2.12</v>
      </c>
      <c r="AV256" s="12">
        <v>62</v>
      </c>
      <c r="AW256" s="12">
        <v>62</v>
      </c>
      <c r="AX256" s="12" t="s">
        <v>73</v>
      </c>
      <c r="AY256" s="12">
        <v>0</v>
      </c>
      <c r="AZ256" s="12" t="s">
        <v>73</v>
      </c>
      <c r="BA256" s="12">
        <v>0</v>
      </c>
    </row>
    <row r="257" spans="1:53" x14ac:dyDescent="0.3">
      <c r="A257" s="12" t="s">
        <v>70</v>
      </c>
      <c r="B257" s="16">
        <v>42016</v>
      </c>
      <c r="C257" s="12" t="s">
        <v>583</v>
      </c>
      <c r="D257" s="12">
        <v>14518</v>
      </c>
      <c r="E257" s="13">
        <v>17421.599999999999</v>
      </c>
      <c r="F257" s="12">
        <v>57</v>
      </c>
      <c r="G257" s="12">
        <v>30.21</v>
      </c>
      <c r="H257" s="12">
        <v>600</v>
      </c>
      <c r="I257" s="12">
        <v>600</v>
      </c>
      <c r="J257" s="12" t="s">
        <v>73</v>
      </c>
      <c r="K257" s="12">
        <v>0</v>
      </c>
      <c r="L257" s="12" t="s">
        <v>73</v>
      </c>
      <c r="M257" s="12">
        <v>0</v>
      </c>
      <c r="N257" s="12">
        <v>13524</v>
      </c>
      <c r="O257" s="12">
        <v>16228.8</v>
      </c>
      <c r="P257" s="12">
        <v>68</v>
      </c>
      <c r="Q257" s="12">
        <v>36.04</v>
      </c>
      <c r="R257" s="12">
        <v>705</v>
      </c>
      <c r="S257" s="12">
        <v>705</v>
      </c>
      <c r="T257" s="12" t="s">
        <v>73</v>
      </c>
      <c r="U257" s="12">
        <v>0</v>
      </c>
      <c r="V257" s="12" t="s">
        <v>73</v>
      </c>
      <c r="W257" s="12">
        <v>0</v>
      </c>
      <c r="X257" s="12">
        <v>15186</v>
      </c>
      <c r="Y257" s="12">
        <v>18223.2</v>
      </c>
      <c r="Z257" s="12">
        <v>70</v>
      </c>
      <c r="AA257" s="12">
        <v>37.1</v>
      </c>
      <c r="AB257" s="12">
        <v>703</v>
      </c>
      <c r="AC257" s="12">
        <v>703</v>
      </c>
      <c r="AD257" s="12" t="s">
        <v>73</v>
      </c>
      <c r="AE257" s="12">
        <v>0</v>
      </c>
      <c r="AF257" s="12" t="s">
        <v>73</v>
      </c>
      <c r="AG257" s="12">
        <v>0</v>
      </c>
      <c r="AH257" s="12">
        <v>15701</v>
      </c>
      <c r="AI257" s="12">
        <v>18841.2</v>
      </c>
      <c r="AJ257" s="12">
        <v>50</v>
      </c>
      <c r="AK257" s="12">
        <v>26.5</v>
      </c>
      <c r="AL257" s="12">
        <v>531</v>
      </c>
      <c r="AM257" s="12">
        <v>531</v>
      </c>
      <c r="AN257" s="12" t="s">
        <v>73</v>
      </c>
      <c r="AO257" s="12">
        <v>0</v>
      </c>
      <c r="AP257" s="12" t="s">
        <v>73</v>
      </c>
      <c r="AQ257" s="12">
        <v>0</v>
      </c>
      <c r="AR257" s="12">
        <v>13399</v>
      </c>
      <c r="AS257" s="12">
        <v>16078.8</v>
      </c>
      <c r="AT257" s="12">
        <v>53</v>
      </c>
      <c r="AU257" s="12">
        <v>28.09</v>
      </c>
      <c r="AV257" s="12">
        <v>514</v>
      </c>
      <c r="AW257" s="12">
        <v>514</v>
      </c>
      <c r="AX257" s="12" t="s">
        <v>73</v>
      </c>
      <c r="AY257" s="12">
        <v>0</v>
      </c>
      <c r="AZ257" s="12" t="s">
        <v>73</v>
      </c>
      <c r="BA257" s="12">
        <v>0</v>
      </c>
    </row>
    <row r="258" spans="1:53" x14ac:dyDescent="0.3">
      <c r="A258" s="12" t="s">
        <v>74</v>
      </c>
      <c r="B258" s="16">
        <v>4201208</v>
      </c>
      <c r="C258" s="12" t="s">
        <v>585</v>
      </c>
      <c r="D258" s="12" t="s">
        <v>73</v>
      </c>
      <c r="E258" s="13">
        <v>0</v>
      </c>
      <c r="F258" s="12">
        <v>2</v>
      </c>
      <c r="G258" s="12">
        <v>1.06</v>
      </c>
      <c r="H258" s="12">
        <v>19</v>
      </c>
      <c r="I258" s="12">
        <v>19</v>
      </c>
      <c r="J258" s="12" t="s">
        <v>73</v>
      </c>
      <c r="K258" s="12">
        <v>0</v>
      </c>
      <c r="L258" s="12" t="s">
        <v>73</v>
      </c>
      <c r="M258" s="12">
        <v>0</v>
      </c>
      <c r="N258" s="12" t="s">
        <v>73</v>
      </c>
      <c r="O258" s="12">
        <v>0</v>
      </c>
      <c r="P258" s="12">
        <v>2</v>
      </c>
      <c r="Q258" s="12">
        <v>1.06</v>
      </c>
      <c r="R258" s="12">
        <v>14</v>
      </c>
      <c r="S258" s="12">
        <v>14</v>
      </c>
      <c r="T258" s="12" t="s">
        <v>73</v>
      </c>
      <c r="U258" s="12">
        <v>0</v>
      </c>
      <c r="V258" s="12" t="s">
        <v>73</v>
      </c>
      <c r="W258" s="12">
        <v>0</v>
      </c>
      <c r="X258" s="12" t="s">
        <v>73</v>
      </c>
      <c r="Y258" s="12">
        <v>0</v>
      </c>
      <c r="Z258" s="12">
        <v>2</v>
      </c>
      <c r="AA258" s="12">
        <v>1.06</v>
      </c>
      <c r="AB258" s="12">
        <v>16</v>
      </c>
      <c r="AC258" s="12">
        <v>16</v>
      </c>
      <c r="AD258" s="12" t="s">
        <v>73</v>
      </c>
      <c r="AE258" s="12">
        <v>0</v>
      </c>
      <c r="AF258" s="12" t="s">
        <v>73</v>
      </c>
      <c r="AG258" s="12">
        <v>0</v>
      </c>
      <c r="AH258" s="12" t="s">
        <v>73</v>
      </c>
      <c r="AI258" s="12">
        <v>0</v>
      </c>
      <c r="AJ258" s="12">
        <v>2</v>
      </c>
      <c r="AK258" s="12">
        <v>1.06</v>
      </c>
      <c r="AL258" s="12">
        <v>17</v>
      </c>
      <c r="AM258" s="12">
        <v>17</v>
      </c>
      <c r="AN258" s="12" t="s">
        <v>73</v>
      </c>
      <c r="AO258" s="12">
        <v>0</v>
      </c>
      <c r="AP258" s="12" t="s">
        <v>73</v>
      </c>
      <c r="AQ258" s="12">
        <v>0</v>
      </c>
      <c r="AR258" s="12" t="s">
        <v>73</v>
      </c>
      <c r="AS258" s="12">
        <v>0</v>
      </c>
      <c r="AT258" s="12">
        <v>2</v>
      </c>
      <c r="AU258" s="12">
        <v>1.06</v>
      </c>
      <c r="AV258" s="12">
        <v>17</v>
      </c>
      <c r="AW258" s="12">
        <v>17</v>
      </c>
      <c r="AX258" s="12" t="s">
        <v>73</v>
      </c>
      <c r="AY258" s="12">
        <v>0</v>
      </c>
      <c r="AZ258" s="12" t="s">
        <v>73</v>
      </c>
      <c r="BA258" s="12">
        <v>0</v>
      </c>
    </row>
    <row r="259" spans="1:53" x14ac:dyDescent="0.3">
      <c r="A259" s="12" t="s">
        <v>74</v>
      </c>
      <c r="B259" s="16">
        <v>4202305</v>
      </c>
      <c r="C259" s="12" t="s">
        <v>587</v>
      </c>
      <c r="D259" s="12">
        <v>1848</v>
      </c>
      <c r="E259" s="13">
        <v>2217.6</v>
      </c>
      <c r="F259" s="12">
        <v>6</v>
      </c>
      <c r="G259" s="12">
        <v>3.18</v>
      </c>
      <c r="H259" s="12" t="s">
        <v>73</v>
      </c>
      <c r="I259" s="12" t="s">
        <v>73</v>
      </c>
      <c r="J259" s="12" t="s">
        <v>73</v>
      </c>
      <c r="K259" s="12">
        <v>0</v>
      </c>
      <c r="L259" s="12" t="s">
        <v>73</v>
      </c>
      <c r="M259" s="12">
        <v>0</v>
      </c>
      <c r="N259" s="12">
        <v>1684</v>
      </c>
      <c r="O259" s="12">
        <v>2020.8</v>
      </c>
      <c r="P259" s="12">
        <v>6</v>
      </c>
      <c r="Q259" s="12">
        <v>3.18</v>
      </c>
      <c r="R259" s="12" t="s">
        <v>73</v>
      </c>
      <c r="S259" s="12" t="s">
        <v>73</v>
      </c>
      <c r="T259" s="12" t="s">
        <v>73</v>
      </c>
      <c r="U259" s="12">
        <v>0</v>
      </c>
      <c r="V259" s="12" t="s">
        <v>73</v>
      </c>
      <c r="W259" s="12">
        <v>0</v>
      </c>
      <c r="X259" s="12">
        <v>1875</v>
      </c>
      <c r="Y259" s="12">
        <v>2250</v>
      </c>
      <c r="Z259" s="12" t="s">
        <v>73</v>
      </c>
      <c r="AA259" s="12">
        <v>0</v>
      </c>
      <c r="AB259" s="12" t="s">
        <v>73</v>
      </c>
      <c r="AC259" s="12" t="s">
        <v>73</v>
      </c>
      <c r="AD259" s="12" t="s">
        <v>73</v>
      </c>
      <c r="AE259" s="12">
        <v>0</v>
      </c>
      <c r="AF259" s="12" t="s">
        <v>73</v>
      </c>
      <c r="AG259" s="12">
        <v>0</v>
      </c>
      <c r="AH259" s="12">
        <v>1858</v>
      </c>
      <c r="AI259" s="12">
        <v>2229.6</v>
      </c>
      <c r="AJ259" s="12" t="s">
        <v>73</v>
      </c>
      <c r="AK259" s="12">
        <v>0</v>
      </c>
      <c r="AL259" s="12" t="s">
        <v>73</v>
      </c>
      <c r="AM259" s="12" t="s">
        <v>73</v>
      </c>
      <c r="AN259" s="12" t="s">
        <v>73</v>
      </c>
      <c r="AO259" s="12">
        <v>0</v>
      </c>
      <c r="AP259" s="12" t="s">
        <v>73</v>
      </c>
      <c r="AQ259" s="12">
        <v>0</v>
      </c>
      <c r="AR259" s="12">
        <v>2000</v>
      </c>
      <c r="AS259" s="12">
        <v>2400</v>
      </c>
      <c r="AT259" s="12" t="s">
        <v>73</v>
      </c>
      <c r="AU259" s="12">
        <v>0</v>
      </c>
      <c r="AV259" s="12" t="s">
        <v>73</v>
      </c>
      <c r="AW259" s="12" t="s">
        <v>73</v>
      </c>
      <c r="AX259" s="12" t="s">
        <v>73</v>
      </c>
      <c r="AY259" s="12">
        <v>0</v>
      </c>
      <c r="AZ259" s="12" t="s">
        <v>73</v>
      </c>
      <c r="BA259" s="12">
        <v>0</v>
      </c>
    </row>
    <row r="260" spans="1:53" x14ac:dyDescent="0.3">
      <c r="A260" s="12" t="s">
        <v>74</v>
      </c>
      <c r="B260" s="16">
        <v>4205407</v>
      </c>
      <c r="C260" s="12" t="s">
        <v>589</v>
      </c>
      <c r="D260" s="12" t="s">
        <v>73</v>
      </c>
      <c r="E260" s="13">
        <v>0</v>
      </c>
      <c r="F260" s="12">
        <v>4</v>
      </c>
      <c r="G260" s="12">
        <v>2.12</v>
      </c>
      <c r="H260" s="12" t="s">
        <v>73</v>
      </c>
      <c r="I260" s="12" t="s">
        <v>73</v>
      </c>
      <c r="J260" s="12" t="s">
        <v>73</v>
      </c>
      <c r="K260" s="12">
        <v>0</v>
      </c>
      <c r="L260" s="12" t="s">
        <v>73</v>
      </c>
      <c r="M260" s="12">
        <v>0</v>
      </c>
      <c r="N260" s="12" t="s">
        <v>73</v>
      </c>
      <c r="O260" s="12">
        <v>0</v>
      </c>
      <c r="P260" s="12">
        <v>5</v>
      </c>
      <c r="Q260" s="12">
        <v>2.6500000000000004</v>
      </c>
      <c r="R260" s="12" t="s">
        <v>73</v>
      </c>
      <c r="S260" s="12" t="s">
        <v>73</v>
      </c>
      <c r="T260" s="12" t="s">
        <v>73</v>
      </c>
      <c r="U260" s="12">
        <v>0</v>
      </c>
      <c r="V260" s="12" t="s">
        <v>73</v>
      </c>
      <c r="W260" s="12">
        <v>0</v>
      </c>
      <c r="X260" s="12" t="s">
        <v>73</v>
      </c>
      <c r="Y260" s="12">
        <v>0</v>
      </c>
      <c r="Z260" s="12">
        <v>7</v>
      </c>
      <c r="AA260" s="12">
        <v>3.71</v>
      </c>
      <c r="AB260" s="12" t="s">
        <v>73</v>
      </c>
      <c r="AC260" s="12" t="s">
        <v>73</v>
      </c>
      <c r="AD260" s="12" t="s">
        <v>73</v>
      </c>
      <c r="AE260" s="12">
        <v>0</v>
      </c>
      <c r="AF260" s="12" t="s">
        <v>73</v>
      </c>
      <c r="AG260" s="12">
        <v>0</v>
      </c>
      <c r="AH260" s="12" t="s">
        <v>73</v>
      </c>
      <c r="AI260" s="12">
        <v>0</v>
      </c>
      <c r="AJ260" s="12" t="s">
        <v>73</v>
      </c>
      <c r="AK260" s="12">
        <v>0</v>
      </c>
      <c r="AL260" s="12" t="s">
        <v>73</v>
      </c>
      <c r="AM260" s="12" t="s">
        <v>73</v>
      </c>
      <c r="AN260" s="12" t="s">
        <v>73</v>
      </c>
      <c r="AO260" s="12">
        <v>0</v>
      </c>
      <c r="AP260" s="12" t="s">
        <v>73</v>
      </c>
      <c r="AQ260" s="12">
        <v>0</v>
      </c>
      <c r="AR260" s="12" t="s">
        <v>73</v>
      </c>
      <c r="AS260" s="12">
        <v>0</v>
      </c>
      <c r="AT260" s="12">
        <v>2</v>
      </c>
      <c r="AU260" s="12">
        <v>1.06</v>
      </c>
      <c r="AV260" s="12" t="s">
        <v>73</v>
      </c>
      <c r="AW260" s="12" t="s">
        <v>73</v>
      </c>
      <c r="AX260" s="12" t="s">
        <v>73</v>
      </c>
      <c r="AY260" s="12">
        <v>0</v>
      </c>
      <c r="AZ260" s="12" t="s">
        <v>73</v>
      </c>
      <c r="BA260" s="12">
        <v>0</v>
      </c>
    </row>
    <row r="261" spans="1:53" x14ac:dyDescent="0.3">
      <c r="A261" s="12" t="s">
        <v>74</v>
      </c>
      <c r="B261" s="16">
        <v>4206009</v>
      </c>
      <c r="C261" s="12" t="s">
        <v>591</v>
      </c>
      <c r="D261" s="12" t="s">
        <v>525</v>
      </c>
      <c r="E261" s="13">
        <v>0</v>
      </c>
      <c r="F261" s="12" t="s">
        <v>525</v>
      </c>
      <c r="G261" s="12">
        <v>0</v>
      </c>
      <c r="H261" s="12" t="s">
        <v>525</v>
      </c>
      <c r="I261" s="12" t="s">
        <v>525</v>
      </c>
      <c r="J261" s="12" t="s">
        <v>525</v>
      </c>
      <c r="K261" s="12">
        <v>0</v>
      </c>
      <c r="L261" s="12" t="s">
        <v>525</v>
      </c>
      <c r="M261" s="12">
        <v>0</v>
      </c>
      <c r="N261" s="12" t="s">
        <v>525</v>
      </c>
      <c r="O261" s="12">
        <v>0</v>
      </c>
      <c r="P261" s="12" t="s">
        <v>525</v>
      </c>
      <c r="Q261" s="12">
        <v>0</v>
      </c>
      <c r="R261" s="12" t="s">
        <v>525</v>
      </c>
      <c r="S261" s="12" t="s">
        <v>525</v>
      </c>
      <c r="T261" s="12" t="s">
        <v>525</v>
      </c>
      <c r="U261" s="12">
        <v>0</v>
      </c>
      <c r="V261" s="12" t="s">
        <v>525</v>
      </c>
      <c r="W261" s="12">
        <v>0</v>
      </c>
      <c r="X261" s="12" t="s">
        <v>525</v>
      </c>
      <c r="Y261" s="12">
        <v>0</v>
      </c>
      <c r="Z261" s="12" t="s">
        <v>525</v>
      </c>
      <c r="AA261" s="12">
        <v>0</v>
      </c>
      <c r="AB261" s="12" t="s">
        <v>525</v>
      </c>
      <c r="AC261" s="12" t="s">
        <v>525</v>
      </c>
      <c r="AD261" s="12" t="s">
        <v>525</v>
      </c>
      <c r="AE261" s="12">
        <v>0</v>
      </c>
      <c r="AF261" s="12" t="s">
        <v>525</v>
      </c>
      <c r="AG261" s="12">
        <v>0</v>
      </c>
      <c r="AH261" s="12" t="s">
        <v>525</v>
      </c>
      <c r="AI261" s="12">
        <v>0</v>
      </c>
      <c r="AJ261" s="12" t="s">
        <v>525</v>
      </c>
      <c r="AK261" s="12">
        <v>0</v>
      </c>
      <c r="AL261" s="12" t="s">
        <v>525</v>
      </c>
      <c r="AM261" s="12" t="s">
        <v>525</v>
      </c>
      <c r="AN261" s="12" t="s">
        <v>525</v>
      </c>
      <c r="AO261" s="12">
        <v>0</v>
      </c>
      <c r="AP261" s="12" t="s">
        <v>525</v>
      </c>
      <c r="AQ261" s="12">
        <v>0</v>
      </c>
      <c r="AR261" s="12" t="s">
        <v>73</v>
      </c>
      <c r="AS261" s="12">
        <v>0</v>
      </c>
      <c r="AT261" s="12" t="s">
        <v>73</v>
      </c>
      <c r="AU261" s="12">
        <v>0</v>
      </c>
      <c r="AV261" s="12" t="s">
        <v>73</v>
      </c>
      <c r="AW261" s="12" t="s">
        <v>73</v>
      </c>
      <c r="AX261" s="12" t="s">
        <v>73</v>
      </c>
      <c r="AY261" s="12">
        <v>0</v>
      </c>
      <c r="AZ261" s="12" t="s">
        <v>73</v>
      </c>
      <c r="BA261" s="12">
        <v>0</v>
      </c>
    </row>
    <row r="262" spans="1:53" x14ac:dyDescent="0.3">
      <c r="A262" s="12" t="s">
        <v>74</v>
      </c>
      <c r="B262" s="16">
        <v>4211900</v>
      </c>
      <c r="C262" s="12" t="s">
        <v>593</v>
      </c>
      <c r="D262" s="12">
        <v>4425</v>
      </c>
      <c r="E262" s="13">
        <v>5310</v>
      </c>
      <c r="F262" s="12">
        <v>2</v>
      </c>
      <c r="G262" s="12">
        <v>1.06</v>
      </c>
      <c r="H262" s="12" t="s">
        <v>73</v>
      </c>
      <c r="I262" s="12" t="s">
        <v>73</v>
      </c>
      <c r="J262" s="12" t="s">
        <v>73</v>
      </c>
      <c r="K262" s="12">
        <v>0</v>
      </c>
      <c r="L262" s="12" t="s">
        <v>73</v>
      </c>
      <c r="M262" s="12">
        <v>0</v>
      </c>
      <c r="N262" s="12">
        <v>3895</v>
      </c>
      <c r="O262" s="12">
        <v>4674</v>
      </c>
      <c r="P262" s="12">
        <v>4</v>
      </c>
      <c r="Q262" s="12">
        <v>2.12</v>
      </c>
      <c r="R262" s="12" t="s">
        <v>73</v>
      </c>
      <c r="S262" s="12" t="s">
        <v>73</v>
      </c>
      <c r="T262" s="12" t="s">
        <v>73</v>
      </c>
      <c r="U262" s="12">
        <v>0</v>
      </c>
      <c r="V262" s="12" t="s">
        <v>73</v>
      </c>
      <c r="W262" s="12">
        <v>0</v>
      </c>
      <c r="X262" s="12">
        <v>3895</v>
      </c>
      <c r="Y262" s="12">
        <v>4674</v>
      </c>
      <c r="Z262" s="12">
        <v>4</v>
      </c>
      <c r="AA262" s="12">
        <v>2.12</v>
      </c>
      <c r="AB262" s="12" t="s">
        <v>73</v>
      </c>
      <c r="AC262" s="12" t="s">
        <v>73</v>
      </c>
      <c r="AD262" s="12" t="s">
        <v>73</v>
      </c>
      <c r="AE262" s="12">
        <v>0</v>
      </c>
      <c r="AF262" s="12" t="s">
        <v>73</v>
      </c>
      <c r="AG262" s="12">
        <v>0</v>
      </c>
      <c r="AH262" s="12">
        <v>4427</v>
      </c>
      <c r="AI262" s="12">
        <v>5312.4</v>
      </c>
      <c r="AJ262" s="12">
        <v>4</v>
      </c>
      <c r="AK262" s="12">
        <v>2.12</v>
      </c>
      <c r="AL262" s="12" t="s">
        <v>73</v>
      </c>
      <c r="AM262" s="12" t="s">
        <v>73</v>
      </c>
      <c r="AN262" s="12" t="s">
        <v>73</v>
      </c>
      <c r="AO262" s="12">
        <v>0</v>
      </c>
      <c r="AP262" s="12" t="s">
        <v>73</v>
      </c>
      <c r="AQ262" s="12">
        <v>0</v>
      </c>
      <c r="AR262" s="12">
        <v>4410</v>
      </c>
      <c r="AS262" s="12">
        <v>5292</v>
      </c>
      <c r="AT262" s="12">
        <v>4</v>
      </c>
      <c r="AU262" s="12">
        <v>2.12</v>
      </c>
      <c r="AV262" s="12" t="s">
        <v>73</v>
      </c>
      <c r="AW262" s="12" t="s">
        <v>73</v>
      </c>
      <c r="AX262" s="12" t="s">
        <v>73</v>
      </c>
      <c r="AY262" s="12">
        <v>0</v>
      </c>
      <c r="AZ262" s="12" t="s">
        <v>73</v>
      </c>
      <c r="BA262" s="12">
        <v>0</v>
      </c>
    </row>
    <row r="263" spans="1:53" x14ac:dyDescent="0.3">
      <c r="A263" s="12" t="s">
        <v>74</v>
      </c>
      <c r="B263" s="16">
        <v>4212304</v>
      </c>
      <c r="C263" s="12" t="s">
        <v>595</v>
      </c>
      <c r="D263" s="12">
        <v>8125</v>
      </c>
      <c r="E263" s="13">
        <v>9750</v>
      </c>
      <c r="F263" s="12">
        <v>20</v>
      </c>
      <c r="G263" s="12">
        <v>10.600000000000001</v>
      </c>
      <c r="H263" s="12">
        <v>193</v>
      </c>
      <c r="I263" s="12">
        <v>193</v>
      </c>
      <c r="J263" s="12" t="s">
        <v>73</v>
      </c>
      <c r="K263" s="12">
        <v>0</v>
      </c>
      <c r="L263" s="12" t="s">
        <v>73</v>
      </c>
      <c r="M263" s="12">
        <v>0</v>
      </c>
      <c r="N263" s="12">
        <v>7886</v>
      </c>
      <c r="O263" s="12">
        <v>9463.1999999999989</v>
      </c>
      <c r="P263" s="12">
        <v>26</v>
      </c>
      <c r="Q263" s="12">
        <v>13.780000000000001</v>
      </c>
      <c r="R263" s="12">
        <v>251</v>
      </c>
      <c r="S263" s="12">
        <v>251</v>
      </c>
      <c r="T263" s="12" t="s">
        <v>73</v>
      </c>
      <c r="U263" s="12">
        <v>0</v>
      </c>
      <c r="V263" s="12" t="s">
        <v>73</v>
      </c>
      <c r="W263" s="12">
        <v>0</v>
      </c>
      <c r="X263" s="12">
        <v>9374</v>
      </c>
      <c r="Y263" s="12">
        <v>11248.8</v>
      </c>
      <c r="Z263" s="12">
        <v>26</v>
      </c>
      <c r="AA263" s="12">
        <v>13.780000000000001</v>
      </c>
      <c r="AB263" s="12">
        <v>251</v>
      </c>
      <c r="AC263" s="12">
        <v>251</v>
      </c>
      <c r="AD263" s="12" t="s">
        <v>73</v>
      </c>
      <c r="AE263" s="12">
        <v>0</v>
      </c>
      <c r="AF263" s="12" t="s">
        <v>73</v>
      </c>
      <c r="AG263" s="12">
        <v>0</v>
      </c>
      <c r="AH263" s="12">
        <v>9374</v>
      </c>
      <c r="AI263" s="12">
        <v>11248.8</v>
      </c>
      <c r="AJ263" s="12">
        <v>26</v>
      </c>
      <c r="AK263" s="12">
        <v>13.780000000000001</v>
      </c>
      <c r="AL263" s="12">
        <v>251</v>
      </c>
      <c r="AM263" s="12">
        <v>251</v>
      </c>
      <c r="AN263" s="12" t="s">
        <v>73</v>
      </c>
      <c r="AO263" s="12">
        <v>0</v>
      </c>
      <c r="AP263" s="12" t="s">
        <v>73</v>
      </c>
      <c r="AQ263" s="12">
        <v>0</v>
      </c>
      <c r="AR263" s="12">
        <v>6926</v>
      </c>
      <c r="AS263" s="12">
        <v>8311.1999999999989</v>
      </c>
      <c r="AT263" s="12">
        <v>26</v>
      </c>
      <c r="AU263" s="12">
        <v>13.780000000000001</v>
      </c>
      <c r="AV263" s="12">
        <v>235</v>
      </c>
      <c r="AW263" s="12">
        <v>235</v>
      </c>
      <c r="AX263" s="12" t="s">
        <v>73</v>
      </c>
      <c r="AY263" s="12">
        <v>0</v>
      </c>
      <c r="AZ263" s="12" t="s">
        <v>73</v>
      </c>
      <c r="BA263" s="12">
        <v>0</v>
      </c>
    </row>
    <row r="264" spans="1:53" x14ac:dyDescent="0.3">
      <c r="A264" s="12" t="s">
        <v>74</v>
      </c>
      <c r="B264" s="16">
        <v>4215703</v>
      </c>
      <c r="C264" s="12" t="s">
        <v>597</v>
      </c>
      <c r="D264" s="12">
        <v>120</v>
      </c>
      <c r="E264" s="13">
        <v>144</v>
      </c>
      <c r="F264" s="12">
        <v>3</v>
      </c>
      <c r="G264" s="12">
        <v>1.59</v>
      </c>
      <c r="H264" s="12">
        <v>18</v>
      </c>
      <c r="I264" s="12">
        <v>18</v>
      </c>
      <c r="J264" s="12" t="s">
        <v>73</v>
      </c>
      <c r="K264" s="12">
        <v>0</v>
      </c>
      <c r="L264" s="12" t="s">
        <v>73</v>
      </c>
      <c r="M264" s="12">
        <v>0</v>
      </c>
      <c r="N264" s="12">
        <v>59</v>
      </c>
      <c r="O264" s="12">
        <v>70.8</v>
      </c>
      <c r="P264" s="12">
        <v>3</v>
      </c>
      <c r="Q264" s="12">
        <v>1.59</v>
      </c>
      <c r="R264" s="12">
        <v>50</v>
      </c>
      <c r="S264" s="12">
        <v>50</v>
      </c>
      <c r="T264" s="12" t="s">
        <v>73</v>
      </c>
      <c r="U264" s="12">
        <v>0</v>
      </c>
      <c r="V264" s="12" t="s">
        <v>73</v>
      </c>
      <c r="W264" s="12">
        <v>0</v>
      </c>
      <c r="X264" s="12">
        <v>42</v>
      </c>
      <c r="Y264" s="12">
        <v>50.4</v>
      </c>
      <c r="Z264" s="12">
        <v>9</v>
      </c>
      <c r="AA264" s="12">
        <v>4.7700000000000005</v>
      </c>
      <c r="AB264" s="12">
        <v>49</v>
      </c>
      <c r="AC264" s="12">
        <v>49</v>
      </c>
      <c r="AD264" s="12" t="s">
        <v>73</v>
      </c>
      <c r="AE264" s="12">
        <v>0</v>
      </c>
      <c r="AF264" s="12" t="s">
        <v>73</v>
      </c>
      <c r="AG264" s="12">
        <v>0</v>
      </c>
      <c r="AH264" s="12">
        <v>42</v>
      </c>
      <c r="AI264" s="12">
        <v>50.4</v>
      </c>
      <c r="AJ264" s="12">
        <v>2</v>
      </c>
      <c r="AK264" s="12">
        <v>1.06</v>
      </c>
      <c r="AL264" s="12">
        <v>50</v>
      </c>
      <c r="AM264" s="12">
        <v>50</v>
      </c>
      <c r="AN264" s="12" t="s">
        <v>73</v>
      </c>
      <c r="AO264" s="12">
        <v>0</v>
      </c>
      <c r="AP264" s="12" t="s">
        <v>73</v>
      </c>
      <c r="AQ264" s="12">
        <v>0</v>
      </c>
      <c r="AR264" s="12">
        <v>63</v>
      </c>
      <c r="AS264" s="12">
        <v>75.599999999999994</v>
      </c>
      <c r="AT264" s="12">
        <v>2</v>
      </c>
      <c r="AU264" s="12">
        <v>1.06</v>
      </c>
      <c r="AV264" s="12">
        <v>50</v>
      </c>
      <c r="AW264" s="12">
        <v>50</v>
      </c>
      <c r="AX264" s="12" t="s">
        <v>73</v>
      </c>
      <c r="AY264" s="12">
        <v>0</v>
      </c>
      <c r="AZ264" s="12" t="s">
        <v>73</v>
      </c>
      <c r="BA264" s="12">
        <v>0</v>
      </c>
    </row>
    <row r="265" spans="1:53" x14ac:dyDescent="0.3">
      <c r="A265" s="12" t="s">
        <v>74</v>
      </c>
      <c r="B265" s="16">
        <v>4216602</v>
      </c>
      <c r="C265" s="12" t="s">
        <v>599</v>
      </c>
      <c r="D265" s="12" t="s">
        <v>73</v>
      </c>
      <c r="E265" s="13">
        <v>0</v>
      </c>
      <c r="F265" s="12">
        <v>17</v>
      </c>
      <c r="G265" s="12">
        <v>9.01</v>
      </c>
      <c r="H265" s="12">
        <v>155</v>
      </c>
      <c r="I265" s="12">
        <v>155</v>
      </c>
      <c r="J265" s="12" t="s">
        <v>73</v>
      </c>
      <c r="K265" s="12">
        <v>0</v>
      </c>
      <c r="L265" s="12" t="s">
        <v>73</v>
      </c>
      <c r="M265" s="12">
        <v>0</v>
      </c>
      <c r="N265" s="12" t="s">
        <v>73</v>
      </c>
      <c r="O265" s="12">
        <v>0</v>
      </c>
      <c r="P265" s="12">
        <v>17</v>
      </c>
      <c r="Q265" s="12">
        <v>9.01</v>
      </c>
      <c r="R265" s="12">
        <v>175</v>
      </c>
      <c r="S265" s="12">
        <v>175</v>
      </c>
      <c r="T265" s="12" t="s">
        <v>73</v>
      </c>
      <c r="U265" s="12">
        <v>0</v>
      </c>
      <c r="V265" s="12" t="s">
        <v>73</v>
      </c>
      <c r="W265" s="12">
        <v>0</v>
      </c>
      <c r="X265" s="12" t="s">
        <v>73</v>
      </c>
      <c r="Y265" s="12">
        <v>0</v>
      </c>
      <c r="Z265" s="12">
        <v>17</v>
      </c>
      <c r="AA265" s="12">
        <v>9.01</v>
      </c>
      <c r="AB265" s="12">
        <v>172</v>
      </c>
      <c r="AC265" s="12">
        <v>172</v>
      </c>
      <c r="AD265" s="12" t="s">
        <v>73</v>
      </c>
      <c r="AE265" s="12">
        <v>0</v>
      </c>
      <c r="AF265" s="12" t="s">
        <v>73</v>
      </c>
      <c r="AG265" s="12">
        <v>0</v>
      </c>
      <c r="AH265" s="12" t="s">
        <v>73</v>
      </c>
      <c r="AI265" s="12">
        <v>0</v>
      </c>
      <c r="AJ265" s="12">
        <v>12</v>
      </c>
      <c r="AK265" s="12">
        <v>6.36</v>
      </c>
      <c r="AL265" s="12">
        <v>111</v>
      </c>
      <c r="AM265" s="12">
        <v>111</v>
      </c>
      <c r="AN265" s="12" t="s">
        <v>73</v>
      </c>
      <c r="AO265" s="12">
        <v>0</v>
      </c>
      <c r="AP265" s="12" t="s">
        <v>73</v>
      </c>
      <c r="AQ265" s="12">
        <v>0</v>
      </c>
      <c r="AR265" s="12" t="s">
        <v>73</v>
      </c>
      <c r="AS265" s="12">
        <v>0</v>
      </c>
      <c r="AT265" s="12">
        <v>13</v>
      </c>
      <c r="AU265" s="12">
        <v>6.8900000000000006</v>
      </c>
      <c r="AV265" s="12">
        <v>110</v>
      </c>
      <c r="AW265" s="12">
        <v>110</v>
      </c>
      <c r="AX265" s="12" t="s">
        <v>73</v>
      </c>
      <c r="AY265" s="12">
        <v>0</v>
      </c>
      <c r="AZ265" s="12" t="s">
        <v>73</v>
      </c>
      <c r="BA265" s="12">
        <v>0</v>
      </c>
    </row>
    <row r="266" spans="1:53" x14ac:dyDescent="0.3">
      <c r="A266" s="12" t="s">
        <v>74</v>
      </c>
      <c r="B266" s="16">
        <v>4217253</v>
      </c>
      <c r="C266" s="12" t="s">
        <v>601</v>
      </c>
      <c r="D266" s="12" t="s">
        <v>73</v>
      </c>
      <c r="E266" s="13">
        <v>0</v>
      </c>
      <c r="F266" s="12">
        <v>3</v>
      </c>
      <c r="G266" s="12">
        <v>1.59</v>
      </c>
      <c r="H266" s="12">
        <v>215</v>
      </c>
      <c r="I266" s="12">
        <v>215</v>
      </c>
      <c r="J266" s="12" t="s">
        <v>73</v>
      </c>
      <c r="K266" s="12">
        <v>0</v>
      </c>
      <c r="L266" s="12" t="s">
        <v>73</v>
      </c>
      <c r="M266" s="12">
        <v>0</v>
      </c>
      <c r="N266" s="12" t="s">
        <v>73</v>
      </c>
      <c r="O266" s="12">
        <v>0</v>
      </c>
      <c r="P266" s="12">
        <v>5</v>
      </c>
      <c r="Q266" s="12">
        <v>2.6500000000000004</v>
      </c>
      <c r="R266" s="12">
        <v>215</v>
      </c>
      <c r="S266" s="12">
        <v>215</v>
      </c>
      <c r="T266" s="12" t="s">
        <v>73</v>
      </c>
      <c r="U266" s="12">
        <v>0</v>
      </c>
      <c r="V266" s="12" t="s">
        <v>73</v>
      </c>
      <c r="W266" s="12">
        <v>0</v>
      </c>
      <c r="X266" s="12" t="s">
        <v>73</v>
      </c>
      <c r="Y266" s="12">
        <v>0</v>
      </c>
      <c r="Z266" s="12">
        <v>5</v>
      </c>
      <c r="AA266" s="12">
        <v>2.6500000000000004</v>
      </c>
      <c r="AB266" s="12">
        <v>215</v>
      </c>
      <c r="AC266" s="12">
        <v>215</v>
      </c>
      <c r="AD266" s="12" t="s">
        <v>73</v>
      </c>
      <c r="AE266" s="12">
        <v>0</v>
      </c>
      <c r="AF266" s="12" t="s">
        <v>73</v>
      </c>
      <c r="AG266" s="12">
        <v>0</v>
      </c>
      <c r="AH266" s="12" t="s">
        <v>73</v>
      </c>
      <c r="AI266" s="12">
        <v>0</v>
      </c>
      <c r="AJ266" s="12">
        <v>4</v>
      </c>
      <c r="AK266" s="12">
        <v>2.12</v>
      </c>
      <c r="AL266" s="12">
        <v>102</v>
      </c>
      <c r="AM266" s="12">
        <v>102</v>
      </c>
      <c r="AN266" s="12" t="s">
        <v>73</v>
      </c>
      <c r="AO266" s="12">
        <v>0</v>
      </c>
      <c r="AP266" s="12" t="s">
        <v>73</v>
      </c>
      <c r="AQ266" s="12">
        <v>0</v>
      </c>
      <c r="AR266" s="12" t="s">
        <v>73</v>
      </c>
      <c r="AS266" s="12">
        <v>0</v>
      </c>
      <c r="AT266" s="12">
        <v>4</v>
      </c>
      <c r="AU266" s="12">
        <v>2.12</v>
      </c>
      <c r="AV266" s="12">
        <v>102</v>
      </c>
      <c r="AW266" s="12">
        <v>102</v>
      </c>
      <c r="AX266" s="12" t="s">
        <v>73</v>
      </c>
      <c r="AY266" s="12">
        <v>0</v>
      </c>
      <c r="AZ266" s="12" t="s">
        <v>73</v>
      </c>
      <c r="BA266" s="12">
        <v>0</v>
      </c>
    </row>
    <row r="267" spans="1:53" x14ac:dyDescent="0.3">
      <c r="A267" s="12" t="s">
        <v>70</v>
      </c>
      <c r="B267" s="16">
        <v>42017</v>
      </c>
      <c r="C267" s="12" t="s">
        <v>603</v>
      </c>
      <c r="D267" s="12">
        <v>1082</v>
      </c>
      <c r="E267" s="13">
        <v>1298.3999999999999</v>
      </c>
      <c r="F267" s="12">
        <v>644</v>
      </c>
      <c r="G267" s="12">
        <v>341.32</v>
      </c>
      <c r="H267" s="12">
        <v>25653</v>
      </c>
      <c r="I267" s="12">
        <v>25653</v>
      </c>
      <c r="J267" s="12" t="s">
        <v>73</v>
      </c>
      <c r="K267" s="12">
        <v>0</v>
      </c>
      <c r="L267" s="12" t="s">
        <v>73</v>
      </c>
      <c r="M267" s="12">
        <v>0</v>
      </c>
      <c r="N267" s="12">
        <v>1087</v>
      </c>
      <c r="O267" s="12">
        <v>1304.3999999999999</v>
      </c>
      <c r="P267" s="12">
        <v>605</v>
      </c>
      <c r="Q267" s="12">
        <v>320.65000000000003</v>
      </c>
      <c r="R267" s="12">
        <v>26431</v>
      </c>
      <c r="S267" s="12">
        <v>26431</v>
      </c>
      <c r="T267" s="12" t="s">
        <v>73</v>
      </c>
      <c r="U267" s="12">
        <v>0</v>
      </c>
      <c r="V267" s="12" t="s">
        <v>73</v>
      </c>
      <c r="W267" s="12">
        <v>0</v>
      </c>
      <c r="X267" s="12">
        <v>1087</v>
      </c>
      <c r="Y267" s="12">
        <v>1304.3999999999999</v>
      </c>
      <c r="Z267" s="12">
        <v>538</v>
      </c>
      <c r="AA267" s="12">
        <v>285.14</v>
      </c>
      <c r="AB267" s="12">
        <v>22474</v>
      </c>
      <c r="AC267" s="12">
        <v>22474</v>
      </c>
      <c r="AD267" s="12" t="s">
        <v>73</v>
      </c>
      <c r="AE267" s="12">
        <v>0</v>
      </c>
      <c r="AF267" s="12" t="s">
        <v>73</v>
      </c>
      <c r="AG267" s="12">
        <v>0</v>
      </c>
      <c r="AH267" s="12">
        <v>1086</v>
      </c>
      <c r="AI267" s="12">
        <v>1303.2</v>
      </c>
      <c r="AJ267" s="12">
        <v>637</v>
      </c>
      <c r="AK267" s="12">
        <v>337.61</v>
      </c>
      <c r="AL267" s="12">
        <v>24165</v>
      </c>
      <c r="AM267" s="12">
        <v>24165</v>
      </c>
      <c r="AN267" s="12">
        <v>2000</v>
      </c>
      <c r="AO267" s="12">
        <v>3000</v>
      </c>
      <c r="AP267" s="12" t="s">
        <v>73</v>
      </c>
      <c r="AQ267" s="12">
        <v>0</v>
      </c>
      <c r="AR267" s="12">
        <v>1087</v>
      </c>
      <c r="AS267" s="12">
        <v>1304.3999999999999</v>
      </c>
      <c r="AT267" s="12">
        <v>351</v>
      </c>
      <c r="AU267" s="12">
        <v>186.03</v>
      </c>
      <c r="AV267" s="12">
        <v>17016</v>
      </c>
      <c r="AW267" s="12">
        <v>17016</v>
      </c>
      <c r="AX267" s="12">
        <v>2000</v>
      </c>
      <c r="AY267" s="12">
        <v>3000</v>
      </c>
      <c r="AZ267" s="12" t="s">
        <v>73</v>
      </c>
      <c r="BA267" s="12">
        <v>0</v>
      </c>
    </row>
    <row r="268" spans="1:53" x14ac:dyDescent="0.3">
      <c r="A268" s="12" t="s">
        <v>74</v>
      </c>
      <c r="B268" s="16">
        <v>4200606</v>
      </c>
      <c r="C268" s="12" t="s">
        <v>605</v>
      </c>
      <c r="D268" s="12" t="s">
        <v>73</v>
      </c>
      <c r="E268" s="13">
        <v>0</v>
      </c>
      <c r="F268" s="12">
        <v>7</v>
      </c>
      <c r="G268" s="12">
        <v>3.71</v>
      </c>
      <c r="H268" s="12">
        <v>550</v>
      </c>
      <c r="I268" s="12">
        <v>550</v>
      </c>
      <c r="J268" s="12" t="s">
        <v>73</v>
      </c>
      <c r="K268" s="12">
        <v>0</v>
      </c>
      <c r="L268" s="12" t="s">
        <v>73</v>
      </c>
      <c r="M268" s="12">
        <v>0</v>
      </c>
      <c r="N268" s="12" t="s">
        <v>73</v>
      </c>
      <c r="O268" s="12">
        <v>0</v>
      </c>
      <c r="P268" s="12">
        <v>7</v>
      </c>
      <c r="Q268" s="12">
        <v>3.71</v>
      </c>
      <c r="R268" s="12">
        <v>500</v>
      </c>
      <c r="S268" s="12">
        <v>500</v>
      </c>
      <c r="T268" s="12" t="s">
        <v>73</v>
      </c>
      <c r="U268" s="12">
        <v>0</v>
      </c>
      <c r="V268" s="12" t="s">
        <v>73</v>
      </c>
      <c r="W268" s="12">
        <v>0</v>
      </c>
      <c r="X268" s="12" t="s">
        <v>73</v>
      </c>
      <c r="Y268" s="12">
        <v>0</v>
      </c>
      <c r="Z268" s="12">
        <v>7</v>
      </c>
      <c r="AA268" s="12">
        <v>3.71</v>
      </c>
      <c r="AB268" s="12">
        <v>500</v>
      </c>
      <c r="AC268" s="12">
        <v>500</v>
      </c>
      <c r="AD268" s="12" t="s">
        <v>73</v>
      </c>
      <c r="AE268" s="12">
        <v>0</v>
      </c>
      <c r="AF268" s="12" t="s">
        <v>73</v>
      </c>
      <c r="AG268" s="12">
        <v>0</v>
      </c>
      <c r="AH268" s="12" t="s">
        <v>73</v>
      </c>
      <c r="AI268" s="12">
        <v>0</v>
      </c>
      <c r="AJ268" s="12">
        <v>7</v>
      </c>
      <c r="AK268" s="12">
        <v>3.71</v>
      </c>
      <c r="AL268" s="12">
        <v>635</v>
      </c>
      <c r="AM268" s="12">
        <v>635</v>
      </c>
      <c r="AN268" s="12" t="s">
        <v>73</v>
      </c>
      <c r="AO268" s="12">
        <v>0</v>
      </c>
      <c r="AP268" s="12" t="s">
        <v>73</v>
      </c>
      <c r="AQ268" s="12">
        <v>0</v>
      </c>
      <c r="AR268" s="12" t="s">
        <v>73</v>
      </c>
      <c r="AS268" s="12">
        <v>0</v>
      </c>
      <c r="AT268" s="12">
        <v>7</v>
      </c>
      <c r="AU268" s="12">
        <v>3.71</v>
      </c>
      <c r="AV268" s="12">
        <v>635</v>
      </c>
      <c r="AW268" s="12">
        <v>635</v>
      </c>
      <c r="AX268" s="12" t="s">
        <v>73</v>
      </c>
      <c r="AY268" s="12">
        <v>0</v>
      </c>
      <c r="AZ268" s="12" t="s">
        <v>73</v>
      </c>
      <c r="BA268" s="12">
        <v>0</v>
      </c>
    </row>
    <row r="269" spans="1:53" x14ac:dyDescent="0.3">
      <c r="A269" s="12" t="s">
        <v>74</v>
      </c>
      <c r="B269" s="16">
        <v>4200705</v>
      </c>
      <c r="C269" s="12" t="s">
        <v>607</v>
      </c>
      <c r="D269" s="12">
        <v>1075</v>
      </c>
      <c r="E269" s="13">
        <v>1290</v>
      </c>
      <c r="F269" s="12">
        <v>472</v>
      </c>
      <c r="G269" s="12">
        <v>250.16000000000003</v>
      </c>
      <c r="H269" s="12">
        <v>22246</v>
      </c>
      <c r="I269" s="12">
        <v>22246</v>
      </c>
      <c r="J269" s="12" t="s">
        <v>73</v>
      </c>
      <c r="K269" s="12">
        <v>0</v>
      </c>
      <c r="L269" s="12" t="s">
        <v>73</v>
      </c>
      <c r="M269" s="12">
        <v>0</v>
      </c>
      <c r="N269" s="12">
        <v>1075</v>
      </c>
      <c r="O269" s="12">
        <v>1290</v>
      </c>
      <c r="P269" s="12">
        <v>480</v>
      </c>
      <c r="Q269" s="12">
        <v>254.4</v>
      </c>
      <c r="R269" s="12">
        <v>23614</v>
      </c>
      <c r="S269" s="12">
        <v>23614</v>
      </c>
      <c r="T269" s="12" t="s">
        <v>73</v>
      </c>
      <c r="U269" s="12">
        <v>0</v>
      </c>
      <c r="V269" s="12" t="s">
        <v>73</v>
      </c>
      <c r="W269" s="12">
        <v>0</v>
      </c>
      <c r="X269" s="12">
        <v>1075</v>
      </c>
      <c r="Y269" s="12">
        <v>1290</v>
      </c>
      <c r="Z269" s="12">
        <v>402</v>
      </c>
      <c r="AA269" s="12">
        <v>213.06</v>
      </c>
      <c r="AB269" s="12">
        <v>18852</v>
      </c>
      <c r="AC269" s="12">
        <v>18852</v>
      </c>
      <c r="AD269" s="12" t="s">
        <v>73</v>
      </c>
      <c r="AE269" s="12">
        <v>0</v>
      </c>
      <c r="AF269" s="12" t="s">
        <v>73</v>
      </c>
      <c r="AG269" s="12">
        <v>0</v>
      </c>
      <c r="AH269" s="12">
        <v>1075</v>
      </c>
      <c r="AI269" s="12">
        <v>1290</v>
      </c>
      <c r="AJ269" s="12">
        <v>498</v>
      </c>
      <c r="AK269" s="12">
        <v>263.94</v>
      </c>
      <c r="AL269" s="12">
        <v>20652</v>
      </c>
      <c r="AM269" s="12">
        <v>20652</v>
      </c>
      <c r="AN269" s="12">
        <v>2000</v>
      </c>
      <c r="AO269" s="12">
        <v>3000</v>
      </c>
      <c r="AP269" s="12" t="s">
        <v>73</v>
      </c>
      <c r="AQ269" s="12">
        <v>0</v>
      </c>
      <c r="AR269" s="12">
        <v>1075</v>
      </c>
      <c r="AS269" s="12">
        <v>1290</v>
      </c>
      <c r="AT269" s="12">
        <v>241</v>
      </c>
      <c r="AU269" s="12">
        <v>127.73</v>
      </c>
      <c r="AV269" s="12">
        <v>14457</v>
      </c>
      <c r="AW269" s="12">
        <v>14457</v>
      </c>
      <c r="AX269" s="12">
        <v>2000</v>
      </c>
      <c r="AY269" s="12">
        <v>3000</v>
      </c>
      <c r="AZ269" s="12" t="s">
        <v>73</v>
      </c>
      <c r="BA269" s="12">
        <v>0</v>
      </c>
    </row>
    <row r="270" spans="1:53" x14ac:dyDescent="0.3">
      <c r="A270" s="12" t="s">
        <v>74</v>
      </c>
      <c r="B270" s="16">
        <v>4201109</v>
      </c>
      <c r="C270" s="12" t="s">
        <v>609</v>
      </c>
      <c r="D270" s="12">
        <v>2</v>
      </c>
      <c r="E270" s="13">
        <v>2.4</v>
      </c>
      <c r="F270" s="12">
        <v>107</v>
      </c>
      <c r="G270" s="12">
        <v>56.71</v>
      </c>
      <c r="H270" s="12">
        <v>1219</v>
      </c>
      <c r="I270" s="12">
        <v>1219</v>
      </c>
      <c r="J270" s="12" t="s">
        <v>73</v>
      </c>
      <c r="K270" s="12">
        <v>0</v>
      </c>
      <c r="L270" s="12" t="s">
        <v>73</v>
      </c>
      <c r="M270" s="12">
        <v>0</v>
      </c>
      <c r="N270" s="12">
        <v>3</v>
      </c>
      <c r="O270" s="12">
        <v>3.5999999999999996</v>
      </c>
      <c r="P270" s="12">
        <v>75</v>
      </c>
      <c r="Q270" s="12">
        <v>39.75</v>
      </c>
      <c r="R270" s="12">
        <v>1219</v>
      </c>
      <c r="S270" s="12">
        <v>1219</v>
      </c>
      <c r="T270" s="12" t="s">
        <v>73</v>
      </c>
      <c r="U270" s="12">
        <v>0</v>
      </c>
      <c r="V270" s="12" t="s">
        <v>73</v>
      </c>
      <c r="W270" s="12">
        <v>0</v>
      </c>
      <c r="X270" s="12">
        <v>3</v>
      </c>
      <c r="Y270" s="12">
        <v>3.5999999999999996</v>
      </c>
      <c r="Z270" s="12">
        <v>77</v>
      </c>
      <c r="AA270" s="12">
        <v>40.81</v>
      </c>
      <c r="AB270" s="12">
        <v>1372</v>
      </c>
      <c r="AC270" s="12">
        <v>1372</v>
      </c>
      <c r="AD270" s="12" t="s">
        <v>73</v>
      </c>
      <c r="AE270" s="12">
        <v>0</v>
      </c>
      <c r="AF270" s="12" t="s">
        <v>73</v>
      </c>
      <c r="AG270" s="12">
        <v>0</v>
      </c>
      <c r="AH270" s="12">
        <v>3</v>
      </c>
      <c r="AI270" s="12">
        <v>3.5999999999999996</v>
      </c>
      <c r="AJ270" s="12">
        <v>80</v>
      </c>
      <c r="AK270" s="12">
        <v>42.400000000000006</v>
      </c>
      <c r="AL270" s="12">
        <v>1343</v>
      </c>
      <c r="AM270" s="12">
        <v>1343</v>
      </c>
      <c r="AN270" s="12" t="s">
        <v>73</v>
      </c>
      <c r="AO270" s="12">
        <v>0</v>
      </c>
      <c r="AP270" s="12" t="s">
        <v>73</v>
      </c>
      <c r="AQ270" s="12">
        <v>0</v>
      </c>
      <c r="AR270" s="12">
        <v>3</v>
      </c>
      <c r="AS270" s="12">
        <v>3.5999999999999996</v>
      </c>
      <c r="AT270" s="12">
        <v>64</v>
      </c>
      <c r="AU270" s="12">
        <v>33.92</v>
      </c>
      <c r="AV270" s="12">
        <v>748</v>
      </c>
      <c r="AW270" s="12">
        <v>748</v>
      </c>
      <c r="AX270" s="12" t="s">
        <v>73</v>
      </c>
      <c r="AY270" s="12">
        <v>0</v>
      </c>
      <c r="AZ270" s="12" t="s">
        <v>73</v>
      </c>
      <c r="BA270" s="12">
        <v>0</v>
      </c>
    </row>
    <row r="271" spans="1:53" x14ac:dyDescent="0.3">
      <c r="A271" s="12" t="s">
        <v>74</v>
      </c>
      <c r="B271" s="16">
        <v>4214300</v>
      </c>
      <c r="C271" s="12" t="s">
        <v>611</v>
      </c>
      <c r="D271" s="12" t="s">
        <v>73</v>
      </c>
      <c r="E271" s="13">
        <v>0</v>
      </c>
      <c r="F271" s="12">
        <v>10</v>
      </c>
      <c r="G271" s="12">
        <v>5.3000000000000007</v>
      </c>
      <c r="H271" s="12">
        <v>1140</v>
      </c>
      <c r="I271" s="12">
        <v>1140</v>
      </c>
      <c r="J271" s="12" t="s">
        <v>73</v>
      </c>
      <c r="K271" s="12">
        <v>0</v>
      </c>
      <c r="L271" s="12" t="s">
        <v>73</v>
      </c>
      <c r="M271" s="12">
        <v>0</v>
      </c>
      <c r="N271" s="12" t="s">
        <v>73</v>
      </c>
      <c r="O271" s="12">
        <v>0</v>
      </c>
      <c r="P271" s="12">
        <v>10</v>
      </c>
      <c r="Q271" s="12">
        <v>5.3000000000000007</v>
      </c>
      <c r="R271" s="12">
        <v>348</v>
      </c>
      <c r="S271" s="12">
        <v>348</v>
      </c>
      <c r="T271" s="12" t="s">
        <v>73</v>
      </c>
      <c r="U271" s="12">
        <v>0</v>
      </c>
      <c r="V271" s="12" t="s">
        <v>73</v>
      </c>
      <c r="W271" s="12">
        <v>0</v>
      </c>
      <c r="X271" s="12" t="s">
        <v>73</v>
      </c>
      <c r="Y271" s="12">
        <v>0</v>
      </c>
      <c r="Z271" s="12">
        <v>3</v>
      </c>
      <c r="AA271" s="12">
        <v>1.59</v>
      </c>
      <c r="AB271" s="12">
        <v>1000</v>
      </c>
      <c r="AC271" s="12">
        <v>1000</v>
      </c>
      <c r="AD271" s="12" t="s">
        <v>73</v>
      </c>
      <c r="AE271" s="12">
        <v>0</v>
      </c>
      <c r="AF271" s="12" t="s">
        <v>73</v>
      </c>
      <c r="AG271" s="12">
        <v>0</v>
      </c>
      <c r="AH271" s="12" t="s">
        <v>73</v>
      </c>
      <c r="AI271" s="12">
        <v>0</v>
      </c>
      <c r="AJ271" s="12">
        <v>3</v>
      </c>
      <c r="AK271" s="12">
        <v>1.59</v>
      </c>
      <c r="AL271" s="12">
        <v>1000</v>
      </c>
      <c r="AM271" s="12">
        <v>1000</v>
      </c>
      <c r="AN271" s="12" t="s">
        <v>73</v>
      </c>
      <c r="AO271" s="12">
        <v>0</v>
      </c>
      <c r="AP271" s="12" t="s">
        <v>73</v>
      </c>
      <c r="AQ271" s="12">
        <v>0</v>
      </c>
      <c r="AR271" s="12" t="s">
        <v>73</v>
      </c>
      <c r="AS271" s="12">
        <v>0</v>
      </c>
      <c r="AT271" s="12">
        <v>3</v>
      </c>
      <c r="AU271" s="12">
        <v>1.59</v>
      </c>
      <c r="AV271" s="12">
        <v>701</v>
      </c>
      <c r="AW271" s="12">
        <v>701</v>
      </c>
      <c r="AX271" s="12" t="s">
        <v>73</v>
      </c>
      <c r="AY271" s="12">
        <v>0</v>
      </c>
      <c r="AZ271" s="12" t="s">
        <v>73</v>
      </c>
      <c r="BA271" s="12">
        <v>0</v>
      </c>
    </row>
    <row r="272" spans="1:53" x14ac:dyDescent="0.3">
      <c r="A272" s="12" t="s">
        <v>74</v>
      </c>
      <c r="B272" s="16">
        <v>4215901</v>
      </c>
      <c r="C272" s="12" t="s">
        <v>613</v>
      </c>
      <c r="D272" s="12">
        <v>5</v>
      </c>
      <c r="E272" s="13">
        <v>6</v>
      </c>
      <c r="F272" s="12">
        <v>48</v>
      </c>
      <c r="G272" s="12">
        <v>25.44</v>
      </c>
      <c r="H272" s="12">
        <v>498</v>
      </c>
      <c r="I272" s="12">
        <v>498</v>
      </c>
      <c r="J272" s="12" t="s">
        <v>73</v>
      </c>
      <c r="K272" s="12">
        <v>0</v>
      </c>
      <c r="L272" s="12" t="s">
        <v>73</v>
      </c>
      <c r="M272" s="12">
        <v>0</v>
      </c>
      <c r="N272" s="12">
        <v>9</v>
      </c>
      <c r="O272" s="12">
        <v>10.799999999999999</v>
      </c>
      <c r="P272" s="12">
        <v>33</v>
      </c>
      <c r="Q272" s="12">
        <v>17.490000000000002</v>
      </c>
      <c r="R272" s="12">
        <v>750</v>
      </c>
      <c r="S272" s="12">
        <v>750</v>
      </c>
      <c r="T272" s="12" t="s">
        <v>73</v>
      </c>
      <c r="U272" s="12">
        <v>0</v>
      </c>
      <c r="V272" s="12" t="s">
        <v>73</v>
      </c>
      <c r="W272" s="12">
        <v>0</v>
      </c>
      <c r="X272" s="12">
        <v>9</v>
      </c>
      <c r="Y272" s="12">
        <v>10.799999999999999</v>
      </c>
      <c r="Z272" s="12">
        <v>49</v>
      </c>
      <c r="AA272" s="12">
        <v>25.970000000000002</v>
      </c>
      <c r="AB272" s="12">
        <v>750</v>
      </c>
      <c r="AC272" s="12">
        <v>750</v>
      </c>
      <c r="AD272" s="12" t="s">
        <v>73</v>
      </c>
      <c r="AE272" s="12">
        <v>0</v>
      </c>
      <c r="AF272" s="12" t="s">
        <v>73</v>
      </c>
      <c r="AG272" s="12">
        <v>0</v>
      </c>
      <c r="AH272" s="12">
        <v>8</v>
      </c>
      <c r="AI272" s="12">
        <v>9.6</v>
      </c>
      <c r="AJ272" s="12">
        <v>49</v>
      </c>
      <c r="AK272" s="12">
        <v>25.970000000000002</v>
      </c>
      <c r="AL272" s="12">
        <v>535</v>
      </c>
      <c r="AM272" s="12">
        <v>535</v>
      </c>
      <c r="AN272" s="12" t="s">
        <v>73</v>
      </c>
      <c r="AO272" s="12">
        <v>0</v>
      </c>
      <c r="AP272" s="12" t="s">
        <v>73</v>
      </c>
      <c r="AQ272" s="12">
        <v>0</v>
      </c>
      <c r="AR272" s="12">
        <v>9</v>
      </c>
      <c r="AS272" s="12">
        <v>10.799999999999999</v>
      </c>
      <c r="AT272" s="12">
        <v>36</v>
      </c>
      <c r="AU272" s="12">
        <v>19.080000000000002</v>
      </c>
      <c r="AV272" s="12">
        <v>475</v>
      </c>
      <c r="AW272" s="12">
        <v>475</v>
      </c>
      <c r="AX272" s="12" t="s">
        <v>73</v>
      </c>
      <c r="AY272" s="12">
        <v>0</v>
      </c>
      <c r="AZ272" s="12" t="s">
        <v>73</v>
      </c>
      <c r="BA272" s="12">
        <v>0</v>
      </c>
    </row>
    <row r="273" spans="1:53" x14ac:dyDescent="0.3">
      <c r="A273" s="12" t="s">
        <v>67</v>
      </c>
      <c r="B273" s="16">
        <v>4206</v>
      </c>
      <c r="C273" s="12" t="s">
        <v>615</v>
      </c>
      <c r="D273" s="12">
        <v>834116</v>
      </c>
      <c r="E273" s="13">
        <v>1000939.2</v>
      </c>
      <c r="F273" s="12">
        <v>2759</v>
      </c>
      <c r="G273" s="12">
        <v>1462.27</v>
      </c>
      <c r="H273" s="12">
        <v>127192</v>
      </c>
      <c r="I273" s="12">
        <v>127192</v>
      </c>
      <c r="J273" s="12">
        <v>15184</v>
      </c>
      <c r="K273" s="12">
        <v>22776</v>
      </c>
      <c r="L273" s="12" t="s">
        <v>73</v>
      </c>
      <c r="M273" s="12">
        <v>0</v>
      </c>
      <c r="N273" s="12">
        <v>819779</v>
      </c>
      <c r="O273" s="12">
        <v>983734.79999999993</v>
      </c>
      <c r="P273" s="12">
        <v>3105</v>
      </c>
      <c r="Q273" s="12">
        <v>1645.65</v>
      </c>
      <c r="R273" s="12">
        <v>126840</v>
      </c>
      <c r="S273" s="12">
        <v>126840</v>
      </c>
      <c r="T273" s="12">
        <v>21033</v>
      </c>
      <c r="U273" s="12">
        <v>31549.5</v>
      </c>
      <c r="V273" s="12" t="s">
        <v>73</v>
      </c>
      <c r="W273" s="12">
        <v>0</v>
      </c>
      <c r="X273" s="12">
        <v>802718</v>
      </c>
      <c r="Y273" s="12">
        <v>963261.6</v>
      </c>
      <c r="Z273" s="12">
        <v>2726</v>
      </c>
      <c r="AA273" s="12">
        <v>1444.78</v>
      </c>
      <c r="AB273" s="12">
        <v>162117</v>
      </c>
      <c r="AC273" s="12">
        <v>162117</v>
      </c>
      <c r="AD273" s="12">
        <v>30115</v>
      </c>
      <c r="AE273" s="12">
        <v>45172.5</v>
      </c>
      <c r="AF273" s="12">
        <v>1187</v>
      </c>
      <c r="AG273" s="12">
        <v>1543.1000000000001</v>
      </c>
      <c r="AH273" s="12">
        <v>789632</v>
      </c>
      <c r="AI273" s="12">
        <v>947558.39999999991</v>
      </c>
      <c r="AJ273" s="12">
        <v>1757</v>
      </c>
      <c r="AK273" s="12">
        <v>931.21</v>
      </c>
      <c r="AL273" s="12">
        <v>133201</v>
      </c>
      <c r="AM273" s="12">
        <v>133201</v>
      </c>
      <c r="AN273" s="12">
        <v>45733</v>
      </c>
      <c r="AO273" s="12">
        <v>68599.5</v>
      </c>
      <c r="AP273" s="12">
        <v>1863</v>
      </c>
      <c r="AQ273" s="12">
        <v>2421.9</v>
      </c>
      <c r="AR273" s="12">
        <v>747122</v>
      </c>
      <c r="AS273" s="12">
        <v>896546.4</v>
      </c>
      <c r="AT273" s="12">
        <v>901</v>
      </c>
      <c r="AU273" s="12">
        <v>477.53000000000003</v>
      </c>
      <c r="AV273" s="12">
        <v>109654</v>
      </c>
      <c r="AW273" s="12">
        <v>109654</v>
      </c>
      <c r="AX273" s="12">
        <v>37134</v>
      </c>
      <c r="AY273" s="12">
        <v>55701</v>
      </c>
      <c r="AZ273" s="12">
        <v>1264</v>
      </c>
      <c r="BA273" s="12">
        <v>1643.2</v>
      </c>
    </row>
    <row r="274" spans="1:53" x14ac:dyDescent="0.3">
      <c r="A274" s="12" t="s">
        <v>70</v>
      </c>
      <c r="B274" s="16">
        <v>42018</v>
      </c>
      <c r="C274" s="12" t="s">
        <v>617</v>
      </c>
      <c r="D274" s="12">
        <v>150548</v>
      </c>
      <c r="E274" s="13">
        <v>180657.6</v>
      </c>
      <c r="F274" s="12">
        <v>1098</v>
      </c>
      <c r="G274" s="12">
        <v>581.94000000000005</v>
      </c>
      <c r="H274" s="12">
        <v>23870</v>
      </c>
      <c r="I274" s="12">
        <v>23870</v>
      </c>
      <c r="J274" s="12">
        <v>2903</v>
      </c>
      <c r="K274" s="12">
        <v>4354.5</v>
      </c>
      <c r="L274" s="12" t="s">
        <v>73</v>
      </c>
      <c r="M274" s="12">
        <v>0</v>
      </c>
      <c r="N274" s="12">
        <v>131283</v>
      </c>
      <c r="O274" s="12">
        <v>157539.6</v>
      </c>
      <c r="P274" s="12">
        <v>1139</v>
      </c>
      <c r="Q274" s="12">
        <v>603.67000000000007</v>
      </c>
      <c r="R274" s="12">
        <v>24791</v>
      </c>
      <c r="S274" s="12">
        <v>24791</v>
      </c>
      <c r="T274" s="12">
        <v>4758</v>
      </c>
      <c r="U274" s="12">
        <v>7137</v>
      </c>
      <c r="V274" s="12" t="s">
        <v>73</v>
      </c>
      <c r="W274" s="12">
        <v>0</v>
      </c>
      <c r="X274" s="12">
        <v>126698</v>
      </c>
      <c r="Y274" s="12">
        <v>152037.6</v>
      </c>
      <c r="Z274" s="12">
        <v>1116</v>
      </c>
      <c r="AA274" s="12">
        <v>591.48</v>
      </c>
      <c r="AB274" s="12">
        <v>31421</v>
      </c>
      <c r="AC274" s="12">
        <v>31421</v>
      </c>
      <c r="AD274" s="12">
        <v>4367</v>
      </c>
      <c r="AE274" s="12">
        <v>6550.5</v>
      </c>
      <c r="AF274" s="12">
        <v>632</v>
      </c>
      <c r="AG274" s="12">
        <v>821.6</v>
      </c>
      <c r="AH274" s="12">
        <v>98249</v>
      </c>
      <c r="AI274" s="12">
        <v>117898.79999999999</v>
      </c>
      <c r="AJ274" s="12">
        <v>1068</v>
      </c>
      <c r="AK274" s="12">
        <v>566.04000000000008</v>
      </c>
      <c r="AL274" s="12">
        <v>37436</v>
      </c>
      <c r="AM274" s="12">
        <v>37436</v>
      </c>
      <c r="AN274" s="12">
        <v>12448</v>
      </c>
      <c r="AO274" s="12">
        <v>18672</v>
      </c>
      <c r="AP274" s="12">
        <v>893</v>
      </c>
      <c r="AQ274" s="12">
        <v>1160.9000000000001</v>
      </c>
      <c r="AR274" s="12">
        <v>107262</v>
      </c>
      <c r="AS274" s="12">
        <v>128714.4</v>
      </c>
      <c r="AT274" s="12">
        <v>608</v>
      </c>
      <c r="AU274" s="12">
        <v>322.24</v>
      </c>
      <c r="AV274" s="12">
        <v>26905</v>
      </c>
      <c r="AW274" s="12">
        <v>26905</v>
      </c>
      <c r="AX274" s="12">
        <v>10646</v>
      </c>
      <c r="AY274" s="12">
        <v>15969</v>
      </c>
      <c r="AZ274" s="12">
        <v>625</v>
      </c>
      <c r="BA274" s="12">
        <v>812.5</v>
      </c>
    </row>
    <row r="275" spans="1:53" x14ac:dyDescent="0.3">
      <c r="A275" s="12" t="s">
        <v>74</v>
      </c>
      <c r="B275" s="16">
        <v>4201505</v>
      </c>
      <c r="C275" s="12" t="s">
        <v>619</v>
      </c>
      <c r="D275" s="12" t="s">
        <v>73</v>
      </c>
      <c r="E275" s="13">
        <v>0</v>
      </c>
      <c r="F275" s="12">
        <v>252</v>
      </c>
      <c r="G275" s="12">
        <v>133.56</v>
      </c>
      <c r="H275" s="12">
        <v>1200</v>
      </c>
      <c r="I275" s="12">
        <v>1200</v>
      </c>
      <c r="J275" s="12" t="s">
        <v>73</v>
      </c>
      <c r="K275" s="12">
        <v>0</v>
      </c>
      <c r="L275" s="12" t="s">
        <v>73</v>
      </c>
      <c r="M275" s="12">
        <v>0</v>
      </c>
      <c r="N275" s="12" t="s">
        <v>73</v>
      </c>
      <c r="O275" s="12">
        <v>0</v>
      </c>
      <c r="P275" s="12">
        <v>252</v>
      </c>
      <c r="Q275" s="12">
        <v>133.56</v>
      </c>
      <c r="R275" s="12">
        <v>1200</v>
      </c>
      <c r="S275" s="12">
        <v>1200</v>
      </c>
      <c r="T275" s="12" t="s">
        <v>73</v>
      </c>
      <c r="U275" s="12">
        <v>0</v>
      </c>
      <c r="V275" s="12" t="s">
        <v>73</v>
      </c>
      <c r="W275" s="12">
        <v>0</v>
      </c>
      <c r="X275" s="12" t="s">
        <v>73</v>
      </c>
      <c r="Y275" s="12">
        <v>0</v>
      </c>
      <c r="Z275" s="12">
        <v>171</v>
      </c>
      <c r="AA275" s="12">
        <v>90.63000000000001</v>
      </c>
      <c r="AB275" s="12">
        <v>1200</v>
      </c>
      <c r="AC275" s="12">
        <v>1200</v>
      </c>
      <c r="AD275" s="12" t="s">
        <v>73</v>
      </c>
      <c r="AE275" s="12">
        <v>0</v>
      </c>
      <c r="AF275" s="12" t="s">
        <v>73</v>
      </c>
      <c r="AG275" s="12">
        <v>0</v>
      </c>
      <c r="AH275" s="12" t="s">
        <v>73</v>
      </c>
      <c r="AI275" s="12">
        <v>0</v>
      </c>
      <c r="AJ275" s="12">
        <v>171</v>
      </c>
      <c r="AK275" s="12">
        <v>90.63000000000001</v>
      </c>
      <c r="AL275" s="12">
        <v>1200</v>
      </c>
      <c r="AM275" s="12">
        <v>1200</v>
      </c>
      <c r="AN275" s="12" t="s">
        <v>73</v>
      </c>
      <c r="AO275" s="12">
        <v>0</v>
      </c>
      <c r="AP275" s="12" t="s">
        <v>73</v>
      </c>
      <c r="AQ275" s="12">
        <v>0</v>
      </c>
      <c r="AR275" s="12" t="s">
        <v>73</v>
      </c>
      <c r="AS275" s="12">
        <v>0</v>
      </c>
      <c r="AT275" s="12">
        <v>83</v>
      </c>
      <c r="AU275" s="12">
        <v>43.99</v>
      </c>
      <c r="AV275" s="12">
        <v>2970</v>
      </c>
      <c r="AW275" s="12">
        <v>2970</v>
      </c>
      <c r="AX275" s="12" t="s">
        <v>73</v>
      </c>
      <c r="AY275" s="12">
        <v>0</v>
      </c>
      <c r="AZ275" s="12" t="s">
        <v>73</v>
      </c>
      <c r="BA275" s="12">
        <v>0</v>
      </c>
    </row>
    <row r="276" spans="1:53" x14ac:dyDescent="0.3">
      <c r="A276" s="12" t="s">
        <v>74</v>
      </c>
      <c r="B276" s="16">
        <v>4202800</v>
      </c>
      <c r="C276" s="12" t="s">
        <v>621</v>
      </c>
      <c r="D276" s="12" t="s">
        <v>73</v>
      </c>
      <c r="E276" s="13">
        <v>0</v>
      </c>
      <c r="F276" s="12">
        <v>23</v>
      </c>
      <c r="G276" s="12">
        <v>12.190000000000001</v>
      </c>
      <c r="H276" s="12">
        <v>720</v>
      </c>
      <c r="I276" s="12">
        <v>720</v>
      </c>
      <c r="J276" s="12" t="s">
        <v>73</v>
      </c>
      <c r="K276" s="12">
        <v>0</v>
      </c>
      <c r="L276" s="12" t="s">
        <v>73</v>
      </c>
      <c r="M276" s="12">
        <v>0</v>
      </c>
      <c r="N276" s="12" t="s">
        <v>73</v>
      </c>
      <c r="O276" s="12">
        <v>0</v>
      </c>
      <c r="P276" s="12">
        <v>25</v>
      </c>
      <c r="Q276" s="12">
        <v>13.25</v>
      </c>
      <c r="R276" s="12">
        <v>612</v>
      </c>
      <c r="S276" s="12">
        <v>612</v>
      </c>
      <c r="T276" s="12" t="s">
        <v>73</v>
      </c>
      <c r="U276" s="12">
        <v>0</v>
      </c>
      <c r="V276" s="12" t="s">
        <v>73</v>
      </c>
      <c r="W276" s="12">
        <v>0</v>
      </c>
      <c r="X276" s="12" t="s">
        <v>73</v>
      </c>
      <c r="Y276" s="12">
        <v>0</v>
      </c>
      <c r="Z276" s="12">
        <v>25</v>
      </c>
      <c r="AA276" s="12">
        <v>13.25</v>
      </c>
      <c r="AB276" s="12">
        <v>623</v>
      </c>
      <c r="AC276" s="12">
        <v>623</v>
      </c>
      <c r="AD276" s="12" t="s">
        <v>73</v>
      </c>
      <c r="AE276" s="12">
        <v>0</v>
      </c>
      <c r="AF276" s="12" t="s">
        <v>73</v>
      </c>
      <c r="AG276" s="12">
        <v>0</v>
      </c>
      <c r="AH276" s="12" t="s">
        <v>73</v>
      </c>
      <c r="AI276" s="12">
        <v>0</v>
      </c>
      <c r="AJ276" s="12">
        <v>25</v>
      </c>
      <c r="AK276" s="12">
        <v>13.25</v>
      </c>
      <c r="AL276" s="12">
        <v>780</v>
      </c>
      <c r="AM276" s="12">
        <v>780</v>
      </c>
      <c r="AN276" s="12" t="s">
        <v>73</v>
      </c>
      <c r="AO276" s="12">
        <v>0</v>
      </c>
      <c r="AP276" s="12" t="s">
        <v>73</v>
      </c>
      <c r="AQ276" s="12">
        <v>0</v>
      </c>
      <c r="AR276" s="12" t="s">
        <v>73</v>
      </c>
      <c r="AS276" s="12">
        <v>0</v>
      </c>
      <c r="AT276" s="12">
        <v>24</v>
      </c>
      <c r="AU276" s="12">
        <v>12.72</v>
      </c>
      <c r="AV276" s="12">
        <v>3000</v>
      </c>
      <c r="AW276" s="12">
        <v>3000</v>
      </c>
      <c r="AX276" s="12" t="s">
        <v>73</v>
      </c>
      <c r="AY276" s="12">
        <v>0</v>
      </c>
      <c r="AZ276" s="12" t="s">
        <v>73</v>
      </c>
      <c r="BA276" s="12">
        <v>0</v>
      </c>
    </row>
    <row r="277" spans="1:53" x14ac:dyDescent="0.3">
      <c r="A277" s="12" t="s">
        <v>74</v>
      </c>
      <c r="B277" s="16">
        <v>4203956</v>
      </c>
      <c r="C277" s="12" t="s">
        <v>623</v>
      </c>
      <c r="D277" s="12">
        <v>15416</v>
      </c>
      <c r="E277" s="13">
        <v>18499.2</v>
      </c>
      <c r="F277" s="12" t="s">
        <v>73</v>
      </c>
      <c r="G277" s="12">
        <v>0</v>
      </c>
      <c r="H277" s="12" t="s">
        <v>73</v>
      </c>
      <c r="I277" s="12" t="s">
        <v>73</v>
      </c>
      <c r="J277" s="12">
        <v>577</v>
      </c>
      <c r="K277" s="12">
        <v>865.5</v>
      </c>
      <c r="L277" s="12" t="s">
        <v>73</v>
      </c>
      <c r="M277" s="12">
        <v>0</v>
      </c>
      <c r="N277" s="12">
        <v>14214</v>
      </c>
      <c r="O277" s="12">
        <v>17056.8</v>
      </c>
      <c r="P277" s="12" t="s">
        <v>73</v>
      </c>
      <c r="Q277" s="12">
        <v>0</v>
      </c>
      <c r="R277" s="12" t="s">
        <v>73</v>
      </c>
      <c r="S277" s="12" t="s">
        <v>73</v>
      </c>
      <c r="T277" s="12">
        <v>678</v>
      </c>
      <c r="U277" s="12">
        <v>1017</v>
      </c>
      <c r="V277" s="12" t="s">
        <v>73</v>
      </c>
      <c r="W277" s="12">
        <v>0</v>
      </c>
      <c r="X277" s="12">
        <v>10694</v>
      </c>
      <c r="Y277" s="12">
        <v>12832.8</v>
      </c>
      <c r="Z277" s="12" t="s">
        <v>73</v>
      </c>
      <c r="AA277" s="12">
        <v>0</v>
      </c>
      <c r="AB277" s="12" t="s">
        <v>73</v>
      </c>
      <c r="AC277" s="12" t="s">
        <v>73</v>
      </c>
      <c r="AD277" s="12">
        <v>1144</v>
      </c>
      <c r="AE277" s="12">
        <v>1716</v>
      </c>
      <c r="AF277" s="12">
        <v>257</v>
      </c>
      <c r="AG277" s="12">
        <v>334.1</v>
      </c>
      <c r="AH277" s="12">
        <v>4765</v>
      </c>
      <c r="AI277" s="12">
        <v>5718</v>
      </c>
      <c r="AJ277" s="12" t="s">
        <v>73</v>
      </c>
      <c r="AK277" s="12">
        <v>0</v>
      </c>
      <c r="AL277" s="12">
        <v>2835</v>
      </c>
      <c r="AM277" s="12">
        <v>2835</v>
      </c>
      <c r="AN277" s="12">
        <v>2659</v>
      </c>
      <c r="AO277" s="12">
        <v>3988.5</v>
      </c>
      <c r="AP277" s="12">
        <v>168</v>
      </c>
      <c r="AQ277" s="12">
        <v>218.4</v>
      </c>
      <c r="AR277" s="12">
        <v>7200</v>
      </c>
      <c r="AS277" s="12">
        <v>8640</v>
      </c>
      <c r="AT277" s="12" t="s">
        <v>73</v>
      </c>
      <c r="AU277" s="12">
        <v>0</v>
      </c>
      <c r="AV277" s="12">
        <v>706</v>
      </c>
      <c r="AW277" s="12">
        <v>706</v>
      </c>
      <c r="AX277" s="12">
        <v>1629</v>
      </c>
      <c r="AY277" s="12">
        <v>2443.5</v>
      </c>
      <c r="AZ277" s="12" t="s">
        <v>73</v>
      </c>
      <c r="BA277" s="12">
        <v>0</v>
      </c>
    </row>
    <row r="278" spans="1:53" x14ac:dyDescent="0.3">
      <c r="A278" s="12" t="s">
        <v>74</v>
      </c>
      <c r="B278" s="16">
        <v>4205704</v>
      </c>
      <c r="C278" s="12" t="s">
        <v>625</v>
      </c>
      <c r="D278" s="12">
        <v>1135</v>
      </c>
      <c r="E278" s="13">
        <v>1362</v>
      </c>
      <c r="F278" s="12">
        <v>4</v>
      </c>
      <c r="G278" s="12">
        <v>2.12</v>
      </c>
      <c r="H278" s="12">
        <v>294</v>
      </c>
      <c r="I278" s="12">
        <v>294</v>
      </c>
      <c r="J278" s="12" t="s">
        <v>73</v>
      </c>
      <c r="K278" s="12">
        <v>0</v>
      </c>
      <c r="L278" s="12" t="s">
        <v>73</v>
      </c>
      <c r="M278" s="12">
        <v>0</v>
      </c>
      <c r="N278" s="12">
        <v>1049</v>
      </c>
      <c r="O278" s="12">
        <v>1258.8</v>
      </c>
      <c r="P278" s="12">
        <v>3</v>
      </c>
      <c r="Q278" s="12">
        <v>1.59</v>
      </c>
      <c r="R278" s="12">
        <v>49</v>
      </c>
      <c r="S278" s="12">
        <v>49</v>
      </c>
      <c r="T278" s="12" t="s">
        <v>73</v>
      </c>
      <c r="U278" s="12">
        <v>0</v>
      </c>
      <c r="V278" s="12" t="s">
        <v>73</v>
      </c>
      <c r="W278" s="12">
        <v>0</v>
      </c>
      <c r="X278" s="12">
        <v>1072</v>
      </c>
      <c r="Y278" s="12">
        <v>1286.3999999999999</v>
      </c>
      <c r="Z278" s="12">
        <v>3</v>
      </c>
      <c r="AA278" s="12">
        <v>1.59</v>
      </c>
      <c r="AB278" s="12">
        <v>98</v>
      </c>
      <c r="AC278" s="12">
        <v>98</v>
      </c>
      <c r="AD278" s="12" t="s">
        <v>73</v>
      </c>
      <c r="AE278" s="12">
        <v>0</v>
      </c>
      <c r="AF278" s="12" t="s">
        <v>73</v>
      </c>
      <c r="AG278" s="12">
        <v>0</v>
      </c>
      <c r="AH278" s="12">
        <v>1085</v>
      </c>
      <c r="AI278" s="12">
        <v>1302</v>
      </c>
      <c r="AJ278" s="12">
        <v>3</v>
      </c>
      <c r="AK278" s="12">
        <v>1.59</v>
      </c>
      <c r="AL278" s="12">
        <v>24</v>
      </c>
      <c r="AM278" s="12">
        <v>24</v>
      </c>
      <c r="AN278" s="12" t="s">
        <v>73</v>
      </c>
      <c r="AO278" s="12">
        <v>0</v>
      </c>
      <c r="AP278" s="12" t="s">
        <v>73</v>
      </c>
      <c r="AQ278" s="12">
        <v>0</v>
      </c>
      <c r="AR278" s="12">
        <v>1097</v>
      </c>
      <c r="AS278" s="12">
        <v>1316.3999999999999</v>
      </c>
      <c r="AT278" s="12">
        <v>3</v>
      </c>
      <c r="AU278" s="12">
        <v>1.59</v>
      </c>
      <c r="AV278" s="12">
        <v>25</v>
      </c>
      <c r="AW278" s="12">
        <v>25</v>
      </c>
      <c r="AX278" s="12" t="s">
        <v>73</v>
      </c>
      <c r="AY278" s="12">
        <v>0</v>
      </c>
      <c r="AZ278" s="12" t="s">
        <v>73</v>
      </c>
      <c r="BA278" s="12">
        <v>0</v>
      </c>
    </row>
    <row r="279" spans="1:53" x14ac:dyDescent="0.3">
      <c r="A279" s="12" t="s">
        <v>74</v>
      </c>
      <c r="B279" s="16">
        <v>4206108</v>
      </c>
      <c r="C279" s="12" t="s">
        <v>627</v>
      </c>
      <c r="D279" s="12">
        <v>4</v>
      </c>
      <c r="E279" s="13">
        <v>4.8</v>
      </c>
      <c r="F279" s="12">
        <v>26</v>
      </c>
      <c r="G279" s="12">
        <v>13.780000000000001</v>
      </c>
      <c r="H279" s="12">
        <v>2423</v>
      </c>
      <c r="I279" s="12">
        <v>2423</v>
      </c>
      <c r="J279" s="12" t="s">
        <v>73</v>
      </c>
      <c r="K279" s="12">
        <v>0</v>
      </c>
      <c r="L279" s="12" t="s">
        <v>73</v>
      </c>
      <c r="M279" s="12">
        <v>0</v>
      </c>
      <c r="N279" s="12">
        <v>4</v>
      </c>
      <c r="O279" s="12">
        <v>4.8</v>
      </c>
      <c r="P279" s="12">
        <v>25</v>
      </c>
      <c r="Q279" s="12">
        <v>13.25</v>
      </c>
      <c r="R279" s="12">
        <v>2338</v>
      </c>
      <c r="S279" s="12">
        <v>2338</v>
      </c>
      <c r="T279" s="12" t="s">
        <v>73</v>
      </c>
      <c r="U279" s="12">
        <v>0</v>
      </c>
      <c r="V279" s="12" t="s">
        <v>73</v>
      </c>
      <c r="W279" s="12">
        <v>0</v>
      </c>
      <c r="X279" s="12">
        <v>4</v>
      </c>
      <c r="Y279" s="12">
        <v>4.8</v>
      </c>
      <c r="Z279" s="12">
        <v>54</v>
      </c>
      <c r="AA279" s="12">
        <v>28.62</v>
      </c>
      <c r="AB279" s="12">
        <v>2267</v>
      </c>
      <c r="AC279" s="12">
        <v>2267</v>
      </c>
      <c r="AD279" s="12" t="s">
        <v>73</v>
      </c>
      <c r="AE279" s="12">
        <v>0</v>
      </c>
      <c r="AF279" s="12" t="s">
        <v>73</v>
      </c>
      <c r="AG279" s="12">
        <v>0</v>
      </c>
      <c r="AH279" s="12">
        <v>4</v>
      </c>
      <c r="AI279" s="12">
        <v>4.8</v>
      </c>
      <c r="AJ279" s="12">
        <v>50</v>
      </c>
      <c r="AK279" s="12">
        <v>26.5</v>
      </c>
      <c r="AL279" s="12">
        <v>2210</v>
      </c>
      <c r="AM279" s="12">
        <v>2210</v>
      </c>
      <c r="AN279" s="12" t="s">
        <v>73</v>
      </c>
      <c r="AO279" s="12">
        <v>0</v>
      </c>
      <c r="AP279" s="12" t="s">
        <v>73</v>
      </c>
      <c r="AQ279" s="12">
        <v>0</v>
      </c>
      <c r="AR279" s="12">
        <v>4</v>
      </c>
      <c r="AS279" s="12">
        <v>4.8</v>
      </c>
      <c r="AT279" s="12">
        <v>50</v>
      </c>
      <c r="AU279" s="12">
        <v>26.5</v>
      </c>
      <c r="AV279" s="12">
        <v>2210</v>
      </c>
      <c r="AW279" s="12">
        <v>2210</v>
      </c>
      <c r="AX279" s="12" t="s">
        <v>73</v>
      </c>
      <c r="AY279" s="12">
        <v>0</v>
      </c>
      <c r="AZ279" s="12" t="s">
        <v>73</v>
      </c>
      <c r="BA279" s="12">
        <v>0</v>
      </c>
    </row>
    <row r="280" spans="1:53" x14ac:dyDescent="0.3">
      <c r="A280" s="12" t="s">
        <v>74</v>
      </c>
      <c r="B280" s="16">
        <v>4206207</v>
      </c>
      <c r="C280" s="12" t="s">
        <v>629</v>
      </c>
      <c r="D280" s="12">
        <v>3360</v>
      </c>
      <c r="E280" s="13">
        <v>4032</v>
      </c>
      <c r="F280" s="12">
        <v>10</v>
      </c>
      <c r="G280" s="12">
        <v>5.3000000000000007</v>
      </c>
      <c r="H280" s="12">
        <v>42</v>
      </c>
      <c r="I280" s="12">
        <v>42</v>
      </c>
      <c r="J280" s="12">
        <v>203</v>
      </c>
      <c r="K280" s="12">
        <v>304.5</v>
      </c>
      <c r="L280" s="12" t="s">
        <v>73</v>
      </c>
      <c r="M280" s="12">
        <v>0</v>
      </c>
      <c r="N280" s="12">
        <v>3354</v>
      </c>
      <c r="O280" s="12">
        <v>4024.7999999999997</v>
      </c>
      <c r="P280" s="12">
        <v>11</v>
      </c>
      <c r="Q280" s="12">
        <v>5.83</v>
      </c>
      <c r="R280" s="12">
        <v>38</v>
      </c>
      <c r="S280" s="12">
        <v>38</v>
      </c>
      <c r="T280" s="12">
        <v>203</v>
      </c>
      <c r="U280" s="12">
        <v>304.5</v>
      </c>
      <c r="V280" s="12" t="s">
        <v>73</v>
      </c>
      <c r="W280" s="12">
        <v>0</v>
      </c>
      <c r="X280" s="12">
        <v>2774</v>
      </c>
      <c r="Y280" s="12">
        <v>3328.7999999999997</v>
      </c>
      <c r="Z280" s="12">
        <v>10</v>
      </c>
      <c r="AA280" s="12">
        <v>5.3000000000000007</v>
      </c>
      <c r="AB280" s="12">
        <v>24</v>
      </c>
      <c r="AC280" s="12">
        <v>24</v>
      </c>
      <c r="AD280" s="12">
        <v>294</v>
      </c>
      <c r="AE280" s="12">
        <v>441</v>
      </c>
      <c r="AF280" s="12" t="s">
        <v>73</v>
      </c>
      <c r="AG280" s="12">
        <v>0</v>
      </c>
      <c r="AH280" s="12">
        <v>1150</v>
      </c>
      <c r="AI280" s="12">
        <v>1380</v>
      </c>
      <c r="AJ280" s="12">
        <v>7</v>
      </c>
      <c r="AK280" s="12">
        <v>3.71</v>
      </c>
      <c r="AL280" s="12">
        <v>23</v>
      </c>
      <c r="AM280" s="12">
        <v>23</v>
      </c>
      <c r="AN280" s="12">
        <v>1200</v>
      </c>
      <c r="AO280" s="12">
        <v>1800</v>
      </c>
      <c r="AP280" s="12" t="s">
        <v>73</v>
      </c>
      <c r="AQ280" s="12">
        <v>0</v>
      </c>
      <c r="AR280" s="12">
        <v>1400</v>
      </c>
      <c r="AS280" s="12">
        <v>1680</v>
      </c>
      <c r="AT280" s="12">
        <v>5</v>
      </c>
      <c r="AU280" s="12">
        <v>2.6500000000000004</v>
      </c>
      <c r="AV280" s="12">
        <v>18</v>
      </c>
      <c r="AW280" s="12">
        <v>18</v>
      </c>
      <c r="AX280" s="12">
        <v>1336</v>
      </c>
      <c r="AY280" s="12">
        <v>2004</v>
      </c>
      <c r="AZ280" s="12" t="s">
        <v>73</v>
      </c>
      <c r="BA280" s="12">
        <v>0</v>
      </c>
    </row>
    <row r="281" spans="1:53" x14ac:dyDescent="0.3">
      <c r="A281" s="12" t="s">
        <v>74</v>
      </c>
      <c r="B281" s="16">
        <v>4207205</v>
      </c>
      <c r="C281" s="12" t="s">
        <v>631</v>
      </c>
      <c r="D281" s="12">
        <v>21113</v>
      </c>
      <c r="E281" s="13">
        <v>25335.599999999999</v>
      </c>
      <c r="F281" s="12">
        <v>79</v>
      </c>
      <c r="G281" s="12">
        <v>41.870000000000005</v>
      </c>
      <c r="H281" s="12">
        <v>336</v>
      </c>
      <c r="I281" s="12">
        <v>336</v>
      </c>
      <c r="J281" s="12">
        <v>198</v>
      </c>
      <c r="K281" s="12">
        <v>297</v>
      </c>
      <c r="L281" s="12" t="s">
        <v>73</v>
      </c>
      <c r="M281" s="12">
        <v>0</v>
      </c>
      <c r="N281" s="12">
        <v>18984</v>
      </c>
      <c r="O281" s="12">
        <v>22780.799999999999</v>
      </c>
      <c r="P281" s="12">
        <v>79</v>
      </c>
      <c r="Q281" s="12">
        <v>41.870000000000005</v>
      </c>
      <c r="R281" s="12">
        <v>280</v>
      </c>
      <c r="S281" s="12">
        <v>280</v>
      </c>
      <c r="T281" s="12">
        <v>198</v>
      </c>
      <c r="U281" s="12">
        <v>297</v>
      </c>
      <c r="V281" s="12" t="s">
        <v>73</v>
      </c>
      <c r="W281" s="12">
        <v>0</v>
      </c>
      <c r="X281" s="12">
        <v>18984</v>
      </c>
      <c r="Y281" s="12">
        <v>22780.799999999999</v>
      </c>
      <c r="Z281" s="12">
        <v>79</v>
      </c>
      <c r="AA281" s="12">
        <v>41.870000000000005</v>
      </c>
      <c r="AB281" s="12">
        <v>210</v>
      </c>
      <c r="AC281" s="12">
        <v>210</v>
      </c>
      <c r="AD281" s="12">
        <v>198</v>
      </c>
      <c r="AE281" s="12">
        <v>297</v>
      </c>
      <c r="AF281" s="12" t="s">
        <v>73</v>
      </c>
      <c r="AG281" s="12">
        <v>0</v>
      </c>
      <c r="AH281" s="12">
        <v>20088</v>
      </c>
      <c r="AI281" s="12">
        <v>24105.599999999999</v>
      </c>
      <c r="AJ281" s="12">
        <v>41</v>
      </c>
      <c r="AK281" s="12">
        <v>21.73</v>
      </c>
      <c r="AL281" s="12">
        <v>180</v>
      </c>
      <c r="AM281" s="12">
        <v>180</v>
      </c>
      <c r="AN281" s="12">
        <v>336</v>
      </c>
      <c r="AO281" s="12">
        <v>504</v>
      </c>
      <c r="AP281" s="12" t="s">
        <v>73</v>
      </c>
      <c r="AQ281" s="12">
        <v>0</v>
      </c>
      <c r="AR281" s="12">
        <v>19440</v>
      </c>
      <c r="AS281" s="12">
        <v>23328</v>
      </c>
      <c r="AT281" s="12">
        <v>41</v>
      </c>
      <c r="AU281" s="12">
        <v>21.73</v>
      </c>
      <c r="AV281" s="12">
        <v>245</v>
      </c>
      <c r="AW281" s="12">
        <v>245</v>
      </c>
      <c r="AX281" s="12">
        <v>280</v>
      </c>
      <c r="AY281" s="12">
        <v>420</v>
      </c>
      <c r="AZ281" s="12" t="s">
        <v>73</v>
      </c>
      <c r="BA281" s="12">
        <v>0</v>
      </c>
    </row>
    <row r="282" spans="1:53" x14ac:dyDescent="0.3">
      <c r="A282" s="12" t="s">
        <v>74</v>
      </c>
      <c r="B282" s="16">
        <v>4207304</v>
      </c>
      <c r="C282" s="12" t="s">
        <v>633</v>
      </c>
      <c r="D282" s="12">
        <v>16248</v>
      </c>
      <c r="E282" s="13">
        <v>19497.599999999999</v>
      </c>
      <c r="F282" s="12">
        <v>12</v>
      </c>
      <c r="G282" s="12">
        <v>6.36</v>
      </c>
      <c r="H282" s="12">
        <v>120</v>
      </c>
      <c r="I282" s="12">
        <v>120</v>
      </c>
      <c r="J282" s="12">
        <v>30</v>
      </c>
      <c r="K282" s="12">
        <v>45</v>
      </c>
      <c r="L282" s="12" t="s">
        <v>73</v>
      </c>
      <c r="M282" s="12">
        <v>0</v>
      </c>
      <c r="N282" s="12">
        <v>15429</v>
      </c>
      <c r="O282" s="12">
        <v>18514.8</v>
      </c>
      <c r="P282" s="12">
        <v>12</v>
      </c>
      <c r="Q282" s="12">
        <v>6.36</v>
      </c>
      <c r="R282" s="12">
        <v>120</v>
      </c>
      <c r="S282" s="12">
        <v>120</v>
      </c>
      <c r="T282" s="12">
        <v>35</v>
      </c>
      <c r="U282" s="12">
        <v>52.5</v>
      </c>
      <c r="V282" s="12" t="s">
        <v>73</v>
      </c>
      <c r="W282" s="12">
        <v>0</v>
      </c>
      <c r="X282" s="12">
        <v>15429</v>
      </c>
      <c r="Y282" s="12">
        <v>18514.8</v>
      </c>
      <c r="Z282" s="12">
        <v>12</v>
      </c>
      <c r="AA282" s="12">
        <v>6.36</v>
      </c>
      <c r="AB282" s="12">
        <v>120</v>
      </c>
      <c r="AC282" s="12">
        <v>120</v>
      </c>
      <c r="AD282" s="12">
        <v>35</v>
      </c>
      <c r="AE282" s="12">
        <v>52.5</v>
      </c>
      <c r="AF282" s="12" t="s">
        <v>73</v>
      </c>
      <c r="AG282" s="12">
        <v>0</v>
      </c>
      <c r="AH282" s="12">
        <v>14757</v>
      </c>
      <c r="AI282" s="12">
        <v>17708.399999999998</v>
      </c>
      <c r="AJ282" s="12">
        <v>9</v>
      </c>
      <c r="AK282" s="12">
        <v>4.7700000000000005</v>
      </c>
      <c r="AL282" s="12">
        <v>120</v>
      </c>
      <c r="AM282" s="12">
        <v>120</v>
      </c>
      <c r="AN282" s="12">
        <v>369</v>
      </c>
      <c r="AO282" s="12">
        <v>553.5</v>
      </c>
      <c r="AP282" s="12" t="s">
        <v>73</v>
      </c>
      <c r="AQ282" s="12">
        <v>0</v>
      </c>
      <c r="AR282" s="12">
        <v>14175</v>
      </c>
      <c r="AS282" s="12">
        <v>17010</v>
      </c>
      <c r="AT282" s="12">
        <v>9</v>
      </c>
      <c r="AU282" s="12">
        <v>4.7700000000000005</v>
      </c>
      <c r="AV282" s="12">
        <v>120</v>
      </c>
      <c r="AW282" s="12">
        <v>120</v>
      </c>
      <c r="AX282" s="12">
        <v>285</v>
      </c>
      <c r="AY282" s="12">
        <v>427.5</v>
      </c>
      <c r="AZ282" s="12" t="s">
        <v>73</v>
      </c>
      <c r="BA282" s="12">
        <v>0</v>
      </c>
    </row>
    <row r="283" spans="1:53" x14ac:dyDescent="0.3">
      <c r="A283" s="12" t="s">
        <v>74</v>
      </c>
      <c r="B283" s="16">
        <v>4208807</v>
      </c>
      <c r="C283" s="12" t="s">
        <v>635</v>
      </c>
      <c r="D283" s="12">
        <v>33908</v>
      </c>
      <c r="E283" s="13">
        <v>40689.599999999999</v>
      </c>
      <c r="F283" s="12" t="s">
        <v>73</v>
      </c>
      <c r="G283" s="12">
        <v>0</v>
      </c>
      <c r="H283" s="12">
        <v>750</v>
      </c>
      <c r="I283" s="12">
        <v>750</v>
      </c>
      <c r="J283" s="12">
        <v>420</v>
      </c>
      <c r="K283" s="12">
        <v>630</v>
      </c>
      <c r="L283" s="12" t="s">
        <v>73</v>
      </c>
      <c r="M283" s="12">
        <v>0</v>
      </c>
      <c r="N283" s="12">
        <v>31446</v>
      </c>
      <c r="O283" s="12">
        <v>37735.199999999997</v>
      </c>
      <c r="P283" s="12" t="s">
        <v>73</v>
      </c>
      <c r="Q283" s="12">
        <v>0</v>
      </c>
      <c r="R283" s="12">
        <v>750</v>
      </c>
      <c r="S283" s="12">
        <v>750</v>
      </c>
      <c r="T283" s="12">
        <v>420</v>
      </c>
      <c r="U283" s="12">
        <v>630</v>
      </c>
      <c r="V283" s="12" t="s">
        <v>73</v>
      </c>
      <c r="W283" s="12">
        <v>0</v>
      </c>
      <c r="X283" s="12">
        <v>31446</v>
      </c>
      <c r="Y283" s="12">
        <v>37735.199999999997</v>
      </c>
      <c r="Z283" s="12" t="s">
        <v>73</v>
      </c>
      <c r="AA283" s="12">
        <v>0</v>
      </c>
      <c r="AB283" s="12">
        <v>750</v>
      </c>
      <c r="AC283" s="12">
        <v>750</v>
      </c>
      <c r="AD283" s="12">
        <v>420</v>
      </c>
      <c r="AE283" s="12">
        <v>630</v>
      </c>
      <c r="AF283" s="12" t="s">
        <v>73</v>
      </c>
      <c r="AG283" s="12">
        <v>0</v>
      </c>
      <c r="AH283" s="12">
        <v>26980</v>
      </c>
      <c r="AI283" s="12">
        <v>32376</v>
      </c>
      <c r="AJ283" s="12" t="s">
        <v>73</v>
      </c>
      <c r="AK283" s="12">
        <v>0</v>
      </c>
      <c r="AL283" s="12">
        <v>1080</v>
      </c>
      <c r="AM283" s="12">
        <v>1080</v>
      </c>
      <c r="AN283" s="12">
        <v>2142</v>
      </c>
      <c r="AO283" s="12">
        <v>3213</v>
      </c>
      <c r="AP283" s="12" t="s">
        <v>73</v>
      </c>
      <c r="AQ283" s="12">
        <v>0</v>
      </c>
      <c r="AR283" s="12">
        <v>25650</v>
      </c>
      <c r="AS283" s="12">
        <v>30780</v>
      </c>
      <c r="AT283" s="12" t="s">
        <v>73</v>
      </c>
      <c r="AU283" s="12">
        <v>0</v>
      </c>
      <c r="AV283" s="12">
        <v>900</v>
      </c>
      <c r="AW283" s="12">
        <v>900</v>
      </c>
      <c r="AX283" s="12">
        <v>1692</v>
      </c>
      <c r="AY283" s="12">
        <v>2538</v>
      </c>
      <c r="AZ283" s="12" t="s">
        <v>73</v>
      </c>
      <c r="BA283" s="12">
        <v>0</v>
      </c>
    </row>
    <row r="284" spans="1:53" x14ac:dyDescent="0.3">
      <c r="A284" s="12" t="s">
        <v>74</v>
      </c>
      <c r="B284" s="16">
        <v>4209409</v>
      </c>
      <c r="C284" s="12" t="s">
        <v>637</v>
      </c>
      <c r="D284" s="12">
        <v>7748</v>
      </c>
      <c r="E284" s="13">
        <v>9297.6</v>
      </c>
      <c r="F284" s="12">
        <v>9</v>
      </c>
      <c r="G284" s="12">
        <v>4.7700000000000005</v>
      </c>
      <c r="H284" s="12">
        <v>48</v>
      </c>
      <c r="I284" s="12">
        <v>48</v>
      </c>
      <c r="J284" s="12" t="s">
        <v>73</v>
      </c>
      <c r="K284" s="12">
        <v>0</v>
      </c>
      <c r="L284" s="12" t="s">
        <v>73</v>
      </c>
      <c r="M284" s="12">
        <v>0</v>
      </c>
      <c r="N284" s="12">
        <v>6433</v>
      </c>
      <c r="O284" s="12">
        <v>7719.5999999999995</v>
      </c>
      <c r="P284" s="12">
        <v>9</v>
      </c>
      <c r="Q284" s="12">
        <v>4.7700000000000005</v>
      </c>
      <c r="R284" s="12">
        <v>52</v>
      </c>
      <c r="S284" s="12">
        <v>52</v>
      </c>
      <c r="T284" s="12" t="s">
        <v>73</v>
      </c>
      <c r="U284" s="12">
        <v>0</v>
      </c>
      <c r="V284" s="12" t="s">
        <v>73</v>
      </c>
      <c r="W284" s="12">
        <v>0</v>
      </c>
      <c r="X284" s="12">
        <v>1072</v>
      </c>
      <c r="Y284" s="12">
        <v>1286.3999999999999</v>
      </c>
      <c r="Z284" s="12">
        <v>9</v>
      </c>
      <c r="AA284" s="12">
        <v>4.7700000000000005</v>
      </c>
      <c r="AB284" s="12">
        <v>57</v>
      </c>
      <c r="AC284" s="12">
        <v>57</v>
      </c>
      <c r="AD284" s="12" t="s">
        <v>73</v>
      </c>
      <c r="AE284" s="12">
        <v>0</v>
      </c>
      <c r="AF284" s="12" t="s">
        <v>73</v>
      </c>
      <c r="AG284" s="12">
        <v>0</v>
      </c>
      <c r="AH284" s="12">
        <v>1060</v>
      </c>
      <c r="AI284" s="12">
        <v>1272</v>
      </c>
      <c r="AJ284" s="12">
        <v>5</v>
      </c>
      <c r="AK284" s="12">
        <v>2.6500000000000004</v>
      </c>
      <c r="AL284" s="12">
        <v>342</v>
      </c>
      <c r="AM284" s="12">
        <v>342</v>
      </c>
      <c r="AN284" s="12" t="s">
        <v>73</v>
      </c>
      <c r="AO284" s="12">
        <v>0</v>
      </c>
      <c r="AP284" s="12" t="s">
        <v>73</v>
      </c>
      <c r="AQ284" s="12">
        <v>0</v>
      </c>
      <c r="AR284" s="12">
        <v>1100</v>
      </c>
      <c r="AS284" s="12">
        <v>1320</v>
      </c>
      <c r="AT284" s="12">
        <v>5</v>
      </c>
      <c r="AU284" s="12">
        <v>2.6500000000000004</v>
      </c>
      <c r="AV284" s="12">
        <v>330</v>
      </c>
      <c r="AW284" s="12">
        <v>330</v>
      </c>
      <c r="AX284" s="12" t="s">
        <v>73</v>
      </c>
      <c r="AY284" s="12">
        <v>0</v>
      </c>
      <c r="AZ284" s="12" t="s">
        <v>73</v>
      </c>
      <c r="BA284" s="12">
        <v>0</v>
      </c>
    </row>
    <row r="285" spans="1:53" x14ac:dyDescent="0.3">
      <c r="A285" s="12" t="s">
        <v>74</v>
      </c>
      <c r="B285" s="16">
        <v>4211702</v>
      </c>
      <c r="C285" s="12" t="s">
        <v>639</v>
      </c>
      <c r="D285" s="12">
        <v>5</v>
      </c>
      <c r="E285" s="13">
        <v>6</v>
      </c>
      <c r="F285" s="12">
        <v>70</v>
      </c>
      <c r="G285" s="12">
        <v>37.1</v>
      </c>
      <c r="H285" s="12">
        <v>5040</v>
      </c>
      <c r="I285" s="12">
        <v>5040</v>
      </c>
      <c r="J285" s="12" t="s">
        <v>73</v>
      </c>
      <c r="K285" s="12">
        <v>0</v>
      </c>
      <c r="L285" s="12" t="s">
        <v>73</v>
      </c>
      <c r="M285" s="12">
        <v>0</v>
      </c>
      <c r="N285" s="12">
        <v>5</v>
      </c>
      <c r="O285" s="12">
        <v>6</v>
      </c>
      <c r="P285" s="12">
        <v>114</v>
      </c>
      <c r="Q285" s="12">
        <v>60.42</v>
      </c>
      <c r="R285" s="12">
        <v>3780</v>
      </c>
      <c r="S285" s="12">
        <v>3780</v>
      </c>
      <c r="T285" s="12" t="s">
        <v>73</v>
      </c>
      <c r="U285" s="12">
        <v>0</v>
      </c>
      <c r="V285" s="12" t="s">
        <v>73</v>
      </c>
      <c r="W285" s="12">
        <v>0</v>
      </c>
      <c r="X285" s="12">
        <v>5</v>
      </c>
      <c r="Y285" s="12">
        <v>6</v>
      </c>
      <c r="Z285" s="12">
        <v>138</v>
      </c>
      <c r="AA285" s="12">
        <v>73.14</v>
      </c>
      <c r="AB285" s="12">
        <v>4800</v>
      </c>
      <c r="AC285" s="12">
        <v>4800</v>
      </c>
      <c r="AD285" s="12">
        <v>36</v>
      </c>
      <c r="AE285" s="12">
        <v>54</v>
      </c>
      <c r="AF285" s="12" t="s">
        <v>73</v>
      </c>
      <c r="AG285" s="12">
        <v>0</v>
      </c>
      <c r="AH285" s="12">
        <v>6</v>
      </c>
      <c r="AI285" s="12">
        <v>7.1999999999999993</v>
      </c>
      <c r="AJ285" s="12">
        <v>73</v>
      </c>
      <c r="AK285" s="12">
        <v>38.690000000000005</v>
      </c>
      <c r="AL285" s="12">
        <v>4500</v>
      </c>
      <c r="AM285" s="12">
        <v>4500</v>
      </c>
      <c r="AN285" s="12">
        <v>300</v>
      </c>
      <c r="AO285" s="12">
        <v>450</v>
      </c>
      <c r="AP285" s="12">
        <v>100</v>
      </c>
      <c r="AQ285" s="12">
        <v>130</v>
      </c>
      <c r="AR285" s="12">
        <v>6</v>
      </c>
      <c r="AS285" s="12">
        <v>7.1999999999999993</v>
      </c>
      <c r="AT285" s="12">
        <v>50</v>
      </c>
      <c r="AU285" s="12">
        <v>26.5</v>
      </c>
      <c r="AV285" s="12">
        <v>5400</v>
      </c>
      <c r="AW285" s="12">
        <v>5400</v>
      </c>
      <c r="AX285" s="12">
        <v>300</v>
      </c>
      <c r="AY285" s="12">
        <v>450</v>
      </c>
      <c r="AZ285" s="12" t="s">
        <v>73</v>
      </c>
      <c r="BA285" s="12">
        <v>0</v>
      </c>
    </row>
    <row r="286" spans="1:53" x14ac:dyDescent="0.3">
      <c r="A286" s="12" t="s">
        <v>74</v>
      </c>
      <c r="B286" s="16">
        <v>4212403</v>
      </c>
      <c r="C286" s="12" t="s">
        <v>641</v>
      </c>
      <c r="D286" s="12">
        <v>351</v>
      </c>
      <c r="E286" s="13">
        <v>421.2</v>
      </c>
      <c r="F286" s="12">
        <v>224</v>
      </c>
      <c r="G286" s="12">
        <v>118.72</v>
      </c>
      <c r="H286" s="12">
        <v>3334</v>
      </c>
      <c r="I286" s="12">
        <v>3334</v>
      </c>
      <c r="J286" s="12" t="s">
        <v>73</v>
      </c>
      <c r="K286" s="12">
        <v>0</v>
      </c>
      <c r="L286" s="12" t="s">
        <v>73</v>
      </c>
      <c r="M286" s="12">
        <v>0</v>
      </c>
      <c r="N286" s="12">
        <v>351</v>
      </c>
      <c r="O286" s="12">
        <v>421.2</v>
      </c>
      <c r="P286" s="12">
        <v>224</v>
      </c>
      <c r="Q286" s="12">
        <v>118.72</v>
      </c>
      <c r="R286" s="12">
        <v>3445</v>
      </c>
      <c r="S286" s="12">
        <v>3445</v>
      </c>
      <c r="T286" s="12" t="s">
        <v>73</v>
      </c>
      <c r="U286" s="12">
        <v>0</v>
      </c>
      <c r="V286" s="12" t="s">
        <v>73</v>
      </c>
      <c r="W286" s="12">
        <v>0</v>
      </c>
      <c r="X286" s="12">
        <v>351</v>
      </c>
      <c r="Y286" s="12">
        <v>421.2</v>
      </c>
      <c r="Z286" s="12">
        <v>224</v>
      </c>
      <c r="AA286" s="12">
        <v>118.72</v>
      </c>
      <c r="AB286" s="12">
        <v>3445</v>
      </c>
      <c r="AC286" s="12">
        <v>3445</v>
      </c>
      <c r="AD286" s="12" t="s">
        <v>73</v>
      </c>
      <c r="AE286" s="12">
        <v>0</v>
      </c>
      <c r="AF286" s="12" t="s">
        <v>73</v>
      </c>
      <c r="AG286" s="12">
        <v>0</v>
      </c>
      <c r="AH286" s="12">
        <v>351</v>
      </c>
      <c r="AI286" s="12">
        <v>421.2</v>
      </c>
      <c r="AJ286" s="12">
        <v>224</v>
      </c>
      <c r="AK286" s="12">
        <v>118.72</v>
      </c>
      <c r="AL286" s="12">
        <v>2963</v>
      </c>
      <c r="AM286" s="12">
        <v>2963</v>
      </c>
      <c r="AN286" s="12">
        <v>4</v>
      </c>
      <c r="AO286" s="12">
        <v>6</v>
      </c>
      <c r="AP286" s="12" t="s">
        <v>73</v>
      </c>
      <c r="AQ286" s="12">
        <v>0</v>
      </c>
      <c r="AR286" s="12">
        <v>280</v>
      </c>
      <c r="AS286" s="12">
        <v>336</v>
      </c>
      <c r="AT286" s="12">
        <v>20</v>
      </c>
      <c r="AU286" s="12">
        <v>10.600000000000001</v>
      </c>
      <c r="AV286" s="12">
        <v>1200</v>
      </c>
      <c r="AW286" s="12">
        <v>1200</v>
      </c>
      <c r="AX286" s="12">
        <v>105</v>
      </c>
      <c r="AY286" s="12">
        <v>157.5</v>
      </c>
      <c r="AZ286" s="12" t="s">
        <v>73</v>
      </c>
      <c r="BA286" s="12">
        <v>0</v>
      </c>
    </row>
    <row r="287" spans="1:53" x14ac:dyDescent="0.3">
      <c r="A287" s="12" t="s">
        <v>74</v>
      </c>
      <c r="B287" s="16">
        <v>4212650</v>
      </c>
      <c r="C287" s="12" t="s">
        <v>643</v>
      </c>
      <c r="D287" s="12">
        <v>86</v>
      </c>
      <c r="E287" s="13">
        <v>103.2</v>
      </c>
      <c r="F287" s="12">
        <v>5</v>
      </c>
      <c r="G287" s="12">
        <v>2.6500000000000004</v>
      </c>
      <c r="H287" s="12">
        <v>24</v>
      </c>
      <c r="I287" s="12">
        <v>24</v>
      </c>
      <c r="J287" s="12" t="s">
        <v>73</v>
      </c>
      <c r="K287" s="12">
        <v>0</v>
      </c>
      <c r="L287" s="12" t="s">
        <v>73</v>
      </c>
      <c r="M287" s="12">
        <v>0</v>
      </c>
      <c r="N287" s="12">
        <v>86</v>
      </c>
      <c r="O287" s="12">
        <v>103.2</v>
      </c>
      <c r="P287" s="12">
        <v>5</v>
      </c>
      <c r="Q287" s="12">
        <v>2.6500000000000004</v>
      </c>
      <c r="R287" s="12">
        <v>18</v>
      </c>
      <c r="S287" s="12">
        <v>18</v>
      </c>
      <c r="T287" s="12" t="s">
        <v>73</v>
      </c>
      <c r="U287" s="12">
        <v>0</v>
      </c>
      <c r="V287" s="12" t="s">
        <v>73</v>
      </c>
      <c r="W287" s="12">
        <v>0</v>
      </c>
      <c r="X287" s="12">
        <v>86</v>
      </c>
      <c r="Y287" s="12">
        <v>103.2</v>
      </c>
      <c r="Z287" s="12">
        <v>5</v>
      </c>
      <c r="AA287" s="12">
        <v>2.6500000000000004</v>
      </c>
      <c r="AB287" s="12">
        <v>18</v>
      </c>
      <c r="AC287" s="12">
        <v>18</v>
      </c>
      <c r="AD287" s="12" t="s">
        <v>73</v>
      </c>
      <c r="AE287" s="12">
        <v>0</v>
      </c>
      <c r="AF287" s="12" t="s">
        <v>73</v>
      </c>
      <c r="AG287" s="12">
        <v>0</v>
      </c>
      <c r="AH287" s="12" t="s">
        <v>73</v>
      </c>
      <c r="AI287" s="12">
        <v>0</v>
      </c>
      <c r="AJ287" s="12">
        <v>5</v>
      </c>
      <c r="AK287" s="12">
        <v>2.6500000000000004</v>
      </c>
      <c r="AL287" s="12">
        <v>18</v>
      </c>
      <c r="AM287" s="12">
        <v>18</v>
      </c>
      <c r="AN287" s="12">
        <v>18</v>
      </c>
      <c r="AO287" s="12">
        <v>27</v>
      </c>
      <c r="AP287" s="12" t="s">
        <v>73</v>
      </c>
      <c r="AQ287" s="12">
        <v>0</v>
      </c>
      <c r="AR287" s="12" t="s">
        <v>73</v>
      </c>
      <c r="AS287" s="12">
        <v>0</v>
      </c>
      <c r="AT287" s="12">
        <v>3</v>
      </c>
      <c r="AU287" s="12">
        <v>1.59</v>
      </c>
      <c r="AV287" s="12">
        <v>8</v>
      </c>
      <c r="AW287" s="12">
        <v>8</v>
      </c>
      <c r="AX287" s="12" t="s">
        <v>73</v>
      </c>
      <c r="AY287" s="12">
        <v>0</v>
      </c>
      <c r="AZ287" s="12" t="s">
        <v>73</v>
      </c>
      <c r="BA287" s="12">
        <v>0</v>
      </c>
    </row>
    <row r="288" spans="1:53" x14ac:dyDescent="0.3">
      <c r="A288" s="12" t="s">
        <v>74</v>
      </c>
      <c r="B288" s="16">
        <v>4214904</v>
      </c>
      <c r="C288" s="12" t="s">
        <v>645</v>
      </c>
      <c r="D288" s="12" t="s">
        <v>73</v>
      </c>
      <c r="E288" s="13">
        <v>0</v>
      </c>
      <c r="F288" s="12">
        <v>10</v>
      </c>
      <c r="G288" s="12">
        <v>5.3000000000000007</v>
      </c>
      <c r="H288" s="12">
        <v>153</v>
      </c>
      <c r="I288" s="12">
        <v>153</v>
      </c>
      <c r="J288" s="12" t="s">
        <v>73</v>
      </c>
      <c r="K288" s="12">
        <v>0</v>
      </c>
      <c r="L288" s="12" t="s">
        <v>73</v>
      </c>
      <c r="M288" s="12">
        <v>0</v>
      </c>
      <c r="N288" s="12" t="s">
        <v>73</v>
      </c>
      <c r="O288" s="12">
        <v>0</v>
      </c>
      <c r="P288" s="12">
        <v>5</v>
      </c>
      <c r="Q288" s="12">
        <v>2.6500000000000004</v>
      </c>
      <c r="R288" s="12">
        <v>157</v>
      </c>
      <c r="S288" s="12">
        <v>157</v>
      </c>
      <c r="T288" s="12" t="s">
        <v>73</v>
      </c>
      <c r="U288" s="12">
        <v>0</v>
      </c>
      <c r="V288" s="12" t="s">
        <v>73</v>
      </c>
      <c r="W288" s="12">
        <v>0</v>
      </c>
      <c r="X288" s="12" t="s">
        <v>73</v>
      </c>
      <c r="Y288" s="12">
        <v>0</v>
      </c>
      <c r="Z288" s="12">
        <v>5</v>
      </c>
      <c r="AA288" s="12">
        <v>2.6500000000000004</v>
      </c>
      <c r="AB288" s="12">
        <v>158</v>
      </c>
      <c r="AC288" s="12">
        <v>158</v>
      </c>
      <c r="AD288" s="12">
        <v>85</v>
      </c>
      <c r="AE288" s="12">
        <v>127.5</v>
      </c>
      <c r="AF288" s="12" t="s">
        <v>73</v>
      </c>
      <c r="AG288" s="12">
        <v>0</v>
      </c>
      <c r="AH288" s="12" t="s">
        <v>73</v>
      </c>
      <c r="AI288" s="12">
        <v>0</v>
      </c>
      <c r="AJ288" s="12">
        <v>31</v>
      </c>
      <c r="AK288" s="12">
        <v>16.43</v>
      </c>
      <c r="AL288" s="12">
        <v>300</v>
      </c>
      <c r="AM288" s="12">
        <v>300</v>
      </c>
      <c r="AN288" s="12" t="s">
        <v>73</v>
      </c>
      <c r="AO288" s="12">
        <v>0</v>
      </c>
      <c r="AP288" s="12" t="s">
        <v>73</v>
      </c>
      <c r="AQ288" s="12">
        <v>0</v>
      </c>
      <c r="AR288" s="12" t="s">
        <v>73</v>
      </c>
      <c r="AS288" s="12">
        <v>0</v>
      </c>
      <c r="AT288" s="12">
        <v>41</v>
      </c>
      <c r="AU288" s="12">
        <v>21.73</v>
      </c>
      <c r="AV288" s="12">
        <v>150</v>
      </c>
      <c r="AW288" s="12">
        <v>150</v>
      </c>
      <c r="AX288" s="12" t="s">
        <v>73</v>
      </c>
      <c r="AY288" s="12">
        <v>0</v>
      </c>
      <c r="AZ288" s="12" t="s">
        <v>73</v>
      </c>
      <c r="BA288" s="12">
        <v>0</v>
      </c>
    </row>
    <row r="289" spans="1:53" x14ac:dyDescent="0.3">
      <c r="A289" s="12" t="s">
        <v>74</v>
      </c>
      <c r="B289" s="16">
        <v>4215455</v>
      </c>
      <c r="C289" s="12" t="s">
        <v>647</v>
      </c>
      <c r="D289" s="12">
        <v>5000</v>
      </c>
      <c r="E289" s="13">
        <v>6000</v>
      </c>
      <c r="F289" s="12" t="s">
        <v>73</v>
      </c>
      <c r="G289" s="12">
        <v>0</v>
      </c>
      <c r="H289" s="12">
        <v>192</v>
      </c>
      <c r="I289" s="12">
        <v>192</v>
      </c>
      <c r="J289" s="12" t="s">
        <v>73</v>
      </c>
      <c r="K289" s="12">
        <v>0</v>
      </c>
      <c r="L289" s="12" t="s">
        <v>73</v>
      </c>
      <c r="M289" s="12">
        <v>0</v>
      </c>
      <c r="N289" s="12">
        <v>4358</v>
      </c>
      <c r="O289" s="12">
        <v>5229.5999999999995</v>
      </c>
      <c r="P289" s="12" t="s">
        <v>73</v>
      </c>
      <c r="Q289" s="12">
        <v>0</v>
      </c>
      <c r="R289" s="12">
        <v>288</v>
      </c>
      <c r="S289" s="12">
        <v>288</v>
      </c>
      <c r="T289" s="12" t="s">
        <v>73</v>
      </c>
      <c r="U289" s="12">
        <v>0</v>
      </c>
      <c r="V289" s="12" t="s">
        <v>73</v>
      </c>
      <c r="W289" s="12">
        <v>0</v>
      </c>
      <c r="X289" s="12">
        <v>4411</v>
      </c>
      <c r="Y289" s="12">
        <v>5293.2</v>
      </c>
      <c r="Z289" s="12" t="s">
        <v>73</v>
      </c>
      <c r="AA289" s="12">
        <v>0</v>
      </c>
      <c r="AB289" s="12">
        <v>308</v>
      </c>
      <c r="AC289" s="12">
        <v>308</v>
      </c>
      <c r="AD289" s="12" t="s">
        <v>73</v>
      </c>
      <c r="AE289" s="12">
        <v>0</v>
      </c>
      <c r="AF289" s="12" t="s">
        <v>73</v>
      </c>
      <c r="AG289" s="12">
        <v>0</v>
      </c>
      <c r="AH289" s="12">
        <v>4269</v>
      </c>
      <c r="AI289" s="12">
        <v>5122.8</v>
      </c>
      <c r="AJ289" s="12" t="s">
        <v>73</v>
      </c>
      <c r="AK289" s="12">
        <v>0</v>
      </c>
      <c r="AL289" s="12">
        <v>192</v>
      </c>
      <c r="AM289" s="12">
        <v>192</v>
      </c>
      <c r="AN289" s="12" t="s">
        <v>73</v>
      </c>
      <c r="AO289" s="12">
        <v>0</v>
      </c>
      <c r="AP289" s="12" t="s">
        <v>73</v>
      </c>
      <c r="AQ289" s="12">
        <v>0</v>
      </c>
      <c r="AR289" s="12">
        <v>4269</v>
      </c>
      <c r="AS289" s="12">
        <v>5122.8</v>
      </c>
      <c r="AT289" s="12" t="s">
        <v>73</v>
      </c>
      <c r="AU289" s="12">
        <v>0</v>
      </c>
      <c r="AV289" s="12">
        <v>192</v>
      </c>
      <c r="AW289" s="12">
        <v>192</v>
      </c>
      <c r="AX289" s="12" t="s">
        <v>73</v>
      </c>
      <c r="AY289" s="12">
        <v>0</v>
      </c>
      <c r="AZ289" s="12" t="s">
        <v>73</v>
      </c>
      <c r="BA289" s="12">
        <v>0</v>
      </c>
    </row>
    <row r="290" spans="1:53" x14ac:dyDescent="0.3">
      <c r="A290" s="12" t="s">
        <v>74</v>
      </c>
      <c r="B290" s="16">
        <v>4215604</v>
      </c>
      <c r="C290" s="12" t="s">
        <v>649</v>
      </c>
      <c r="D290" s="12">
        <v>4</v>
      </c>
      <c r="E290" s="13">
        <v>4.8</v>
      </c>
      <c r="F290" s="12">
        <v>7</v>
      </c>
      <c r="G290" s="12">
        <v>3.71</v>
      </c>
      <c r="H290" s="12">
        <v>408</v>
      </c>
      <c r="I290" s="12">
        <v>408</v>
      </c>
      <c r="J290" s="12" t="s">
        <v>73</v>
      </c>
      <c r="K290" s="12">
        <v>0</v>
      </c>
      <c r="L290" s="12" t="s">
        <v>73</v>
      </c>
      <c r="M290" s="12">
        <v>0</v>
      </c>
      <c r="N290" s="12">
        <v>3</v>
      </c>
      <c r="O290" s="12">
        <v>3.5999999999999996</v>
      </c>
      <c r="P290" s="12">
        <v>7</v>
      </c>
      <c r="Q290" s="12">
        <v>3.71</v>
      </c>
      <c r="R290" s="12">
        <v>392</v>
      </c>
      <c r="S290" s="12">
        <v>392</v>
      </c>
      <c r="T290" s="12" t="s">
        <v>73</v>
      </c>
      <c r="U290" s="12">
        <v>0</v>
      </c>
      <c r="V290" s="12" t="s">
        <v>73</v>
      </c>
      <c r="W290" s="12">
        <v>0</v>
      </c>
      <c r="X290" s="12">
        <v>3</v>
      </c>
      <c r="Y290" s="12">
        <v>3.5999999999999996</v>
      </c>
      <c r="Z290" s="12">
        <v>7</v>
      </c>
      <c r="AA290" s="12">
        <v>3.71</v>
      </c>
      <c r="AB290" s="12">
        <v>403</v>
      </c>
      <c r="AC290" s="12">
        <v>403</v>
      </c>
      <c r="AD290" s="12" t="s">
        <v>73</v>
      </c>
      <c r="AE290" s="12">
        <v>0</v>
      </c>
      <c r="AF290" s="12" t="s">
        <v>73</v>
      </c>
      <c r="AG290" s="12">
        <v>0</v>
      </c>
      <c r="AH290" s="12">
        <v>2</v>
      </c>
      <c r="AI290" s="12">
        <v>2.4</v>
      </c>
      <c r="AJ290" s="12">
        <v>10</v>
      </c>
      <c r="AK290" s="12">
        <v>5.3000000000000007</v>
      </c>
      <c r="AL290" s="12">
        <v>300</v>
      </c>
      <c r="AM290" s="12">
        <v>300</v>
      </c>
      <c r="AN290" s="12" t="s">
        <v>73</v>
      </c>
      <c r="AO290" s="12">
        <v>0</v>
      </c>
      <c r="AP290" s="12" t="s">
        <v>73</v>
      </c>
      <c r="AQ290" s="12">
        <v>0</v>
      </c>
      <c r="AR290" s="12">
        <v>1</v>
      </c>
      <c r="AS290" s="12">
        <v>1.2</v>
      </c>
      <c r="AT290" s="12">
        <v>10</v>
      </c>
      <c r="AU290" s="12">
        <v>5.3000000000000007</v>
      </c>
      <c r="AV290" s="12">
        <v>250</v>
      </c>
      <c r="AW290" s="12">
        <v>250</v>
      </c>
      <c r="AX290" s="12" t="s">
        <v>73</v>
      </c>
      <c r="AY290" s="12">
        <v>0</v>
      </c>
      <c r="AZ290" s="12" t="s">
        <v>73</v>
      </c>
      <c r="BA290" s="12">
        <v>0</v>
      </c>
    </row>
    <row r="291" spans="1:53" x14ac:dyDescent="0.3">
      <c r="A291" s="12" t="s">
        <v>74</v>
      </c>
      <c r="B291" s="16">
        <v>4217006</v>
      </c>
      <c r="C291" s="12" t="s">
        <v>651</v>
      </c>
      <c r="D291" s="12" t="s">
        <v>73</v>
      </c>
      <c r="E291" s="13">
        <v>0</v>
      </c>
      <c r="F291" s="12">
        <v>21</v>
      </c>
      <c r="G291" s="12">
        <v>11.13</v>
      </c>
      <c r="H291" s="12">
        <v>427</v>
      </c>
      <c r="I291" s="12">
        <v>427</v>
      </c>
      <c r="J291" s="12" t="s">
        <v>73</v>
      </c>
      <c r="K291" s="12">
        <v>0</v>
      </c>
      <c r="L291" s="12" t="s">
        <v>73</v>
      </c>
      <c r="M291" s="12">
        <v>0</v>
      </c>
      <c r="N291" s="12" t="s">
        <v>73</v>
      </c>
      <c r="O291" s="12">
        <v>0</v>
      </c>
      <c r="P291" s="12">
        <v>21</v>
      </c>
      <c r="Q291" s="12">
        <v>11.13</v>
      </c>
      <c r="R291" s="12">
        <v>420</v>
      </c>
      <c r="S291" s="12">
        <v>420</v>
      </c>
      <c r="T291" s="12" t="s">
        <v>73</v>
      </c>
      <c r="U291" s="12">
        <v>0</v>
      </c>
      <c r="V291" s="12" t="s">
        <v>73</v>
      </c>
      <c r="W291" s="12">
        <v>0</v>
      </c>
      <c r="X291" s="12" t="s">
        <v>73</v>
      </c>
      <c r="Y291" s="12">
        <v>0</v>
      </c>
      <c r="Z291" s="12">
        <v>21</v>
      </c>
      <c r="AA291" s="12">
        <v>11.13</v>
      </c>
      <c r="AB291" s="12">
        <v>426</v>
      </c>
      <c r="AC291" s="12">
        <v>426</v>
      </c>
      <c r="AD291" s="12" t="s">
        <v>73</v>
      </c>
      <c r="AE291" s="12">
        <v>0</v>
      </c>
      <c r="AF291" s="12" t="s">
        <v>73</v>
      </c>
      <c r="AG291" s="12">
        <v>0</v>
      </c>
      <c r="AH291" s="12" t="s">
        <v>73</v>
      </c>
      <c r="AI291" s="12">
        <v>0</v>
      </c>
      <c r="AJ291" s="12">
        <v>100</v>
      </c>
      <c r="AK291" s="12">
        <v>53</v>
      </c>
      <c r="AL291" s="12">
        <v>426</v>
      </c>
      <c r="AM291" s="12">
        <v>426</v>
      </c>
      <c r="AN291" s="12" t="s">
        <v>73</v>
      </c>
      <c r="AO291" s="12">
        <v>0</v>
      </c>
      <c r="AP291" s="12" t="s">
        <v>73</v>
      </c>
      <c r="AQ291" s="12">
        <v>0</v>
      </c>
      <c r="AR291" s="12" t="s">
        <v>73</v>
      </c>
      <c r="AS291" s="12">
        <v>0</v>
      </c>
      <c r="AT291" s="12">
        <v>26</v>
      </c>
      <c r="AU291" s="12">
        <v>13.780000000000001</v>
      </c>
      <c r="AV291" s="12">
        <v>304</v>
      </c>
      <c r="AW291" s="12">
        <v>304</v>
      </c>
      <c r="AX291" s="12" t="s">
        <v>73</v>
      </c>
      <c r="AY291" s="12">
        <v>0</v>
      </c>
      <c r="AZ291" s="12" t="s">
        <v>73</v>
      </c>
      <c r="BA291" s="12">
        <v>0</v>
      </c>
    </row>
    <row r="292" spans="1:53" x14ac:dyDescent="0.3">
      <c r="A292" s="12" t="s">
        <v>74</v>
      </c>
      <c r="B292" s="16">
        <v>4217105</v>
      </c>
      <c r="C292" s="12" t="s">
        <v>653</v>
      </c>
      <c r="D292" s="12" t="s">
        <v>73</v>
      </c>
      <c r="E292" s="13">
        <v>0</v>
      </c>
      <c r="F292" s="12">
        <v>118</v>
      </c>
      <c r="G292" s="12">
        <v>62.540000000000006</v>
      </c>
      <c r="H292" s="12">
        <v>600</v>
      </c>
      <c r="I292" s="12">
        <v>600</v>
      </c>
      <c r="J292" s="12" t="s">
        <v>73</v>
      </c>
      <c r="K292" s="12">
        <v>0</v>
      </c>
      <c r="L292" s="12" t="s">
        <v>73</v>
      </c>
      <c r="M292" s="12">
        <v>0</v>
      </c>
      <c r="N292" s="12" t="s">
        <v>73</v>
      </c>
      <c r="O292" s="12">
        <v>0</v>
      </c>
      <c r="P292" s="12">
        <v>119</v>
      </c>
      <c r="Q292" s="12">
        <v>63.07</v>
      </c>
      <c r="R292" s="12">
        <v>600</v>
      </c>
      <c r="S292" s="12">
        <v>600</v>
      </c>
      <c r="T292" s="12" t="s">
        <v>73</v>
      </c>
      <c r="U292" s="12">
        <v>0</v>
      </c>
      <c r="V292" s="12" t="s">
        <v>73</v>
      </c>
      <c r="W292" s="12">
        <v>0</v>
      </c>
      <c r="X292" s="12" t="s">
        <v>73</v>
      </c>
      <c r="Y292" s="12">
        <v>0</v>
      </c>
      <c r="Z292" s="12">
        <v>119</v>
      </c>
      <c r="AA292" s="12">
        <v>63.07</v>
      </c>
      <c r="AB292" s="12">
        <v>600</v>
      </c>
      <c r="AC292" s="12">
        <v>600</v>
      </c>
      <c r="AD292" s="12" t="s">
        <v>73</v>
      </c>
      <c r="AE292" s="12">
        <v>0</v>
      </c>
      <c r="AF292" s="12" t="s">
        <v>73</v>
      </c>
      <c r="AG292" s="12">
        <v>0</v>
      </c>
      <c r="AH292" s="12" t="s">
        <v>73</v>
      </c>
      <c r="AI292" s="12">
        <v>0</v>
      </c>
      <c r="AJ292" s="12">
        <v>120</v>
      </c>
      <c r="AK292" s="12">
        <v>63.6</v>
      </c>
      <c r="AL292" s="12">
        <v>780</v>
      </c>
      <c r="AM292" s="12">
        <v>780</v>
      </c>
      <c r="AN292" s="12" t="s">
        <v>73</v>
      </c>
      <c r="AO292" s="12">
        <v>0</v>
      </c>
      <c r="AP292" s="12" t="s">
        <v>73</v>
      </c>
      <c r="AQ292" s="12">
        <v>0</v>
      </c>
      <c r="AR292" s="12" t="s">
        <v>73</v>
      </c>
      <c r="AS292" s="12">
        <v>0</v>
      </c>
      <c r="AT292" s="12">
        <v>120</v>
      </c>
      <c r="AU292" s="12">
        <v>63.6</v>
      </c>
      <c r="AV292" s="12">
        <v>300</v>
      </c>
      <c r="AW292" s="12">
        <v>300</v>
      </c>
      <c r="AX292" s="12" t="s">
        <v>73</v>
      </c>
      <c r="AY292" s="12">
        <v>0</v>
      </c>
      <c r="AZ292" s="12" t="s">
        <v>73</v>
      </c>
      <c r="BA292" s="12">
        <v>0</v>
      </c>
    </row>
    <row r="293" spans="1:53" x14ac:dyDescent="0.3">
      <c r="A293" s="12" t="s">
        <v>74</v>
      </c>
      <c r="B293" s="16">
        <v>4218400</v>
      </c>
      <c r="C293" s="12" t="s">
        <v>655</v>
      </c>
      <c r="D293" s="12">
        <v>8343</v>
      </c>
      <c r="E293" s="13">
        <v>10011.6</v>
      </c>
      <c r="F293" s="12">
        <v>144</v>
      </c>
      <c r="G293" s="12">
        <v>76.320000000000007</v>
      </c>
      <c r="H293" s="12">
        <v>6289</v>
      </c>
      <c r="I293" s="12">
        <v>6289</v>
      </c>
      <c r="J293" s="12">
        <v>254</v>
      </c>
      <c r="K293" s="12">
        <v>381</v>
      </c>
      <c r="L293" s="12" t="s">
        <v>73</v>
      </c>
      <c r="M293" s="12">
        <v>0</v>
      </c>
      <c r="N293" s="12">
        <v>6767</v>
      </c>
      <c r="O293" s="12">
        <v>8120.4</v>
      </c>
      <c r="P293" s="12">
        <v>144</v>
      </c>
      <c r="Q293" s="12">
        <v>76.320000000000007</v>
      </c>
      <c r="R293" s="12">
        <v>6052</v>
      </c>
      <c r="S293" s="12">
        <v>6052</v>
      </c>
      <c r="T293" s="12">
        <v>254</v>
      </c>
      <c r="U293" s="12">
        <v>381</v>
      </c>
      <c r="V293" s="12" t="s">
        <v>73</v>
      </c>
      <c r="W293" s="12">
        <v>0</v>
      </c>
      <c r="X293" s="12">
        <v>6767</v>
      </c>
      <c r="Y293" s="12">
        <v>8120.4</v>
      </c>
      <c r="Z293" s="12">
        <v>144</v>
      </c>
      <c r="AA293" s="12">
        <v>76.320000000000007</v>
      </c>
      <c r="AB293" s="12">
        <v>5914</v>
      </c>
      <c r="AC293" s="12">
        <v>5914</v>
      </c>
      <c r="AD293" s="12">
        <v>235</v>
      </c>
      <c r="AE293" s="12">
        <v>352.5</v>
      </c>
      <c r="AF293" s="12">
        <v>375</v>
      </c>
      <c r="AG293" s="12">
        <v>487.5</v>
      </c>
      <c r="AH293" s="12">
        <v>6767</v>
      </c>
      <c r="AI293" s="12">
        <v>8120.4</v>
      </c>
      <c r="AJ293" s="12">
        <v>84</v>
      </c>
      <c r="AK293" s="12">
        <v>44.52</v>
      </c>
      <c r="AL293" s="12">
        <v>8400</v>
      </c>
      <c r="AM293" s="12">
        <v>8400</v>
      </c>
      <c r="AN293" s="12">
        <v>968</v>
      </c>
      <c r="AO293" s="12">
        <v>1452</v>
      </c>
      <c r="AP293" s="12">
        <v>625</v>
      </c>
      <c r="AQ293" s="12">
        <v>812.5</v>
      </c>
      <c r="AR293" s="12">
        <v>7650</v>
      </c>
      <c r="AS293" s="12">
        <v>9180</v>
      </c>
      <c r="AT293" s="12">
        <v>60</v>
      </c>
      <c r="AU293" s="12">
        <v>31.8</v>
      </c>
      <c r="AV293" s="12">
        <v>3810</v>
      </c>
      <c r="AW293" s="12">
        <v>3810</v>
      </c>
      <c r="AX293" s="12">
        <v>1440</v>
      </c>
      <c r="AY293" s="12">
        <v>2160</v>
      </c>
      <c r="AZ293" s="12">
        <v>625</v>
      </c>
      <c r="BA293" s="12">
        <v>812.5</v>
      </c>
    </row>
    <row r="294" spans="1:53" x14ac:dyDescent="0.3">
      <c r="A294" s="12" t="s">
        <v>74</v>
      </c>
      <c r="B294" s="16">
        <v>4218707</v>
      </c>
      <c r="C294" s="12" t="s">
        <v>657</v>
      </c>
      <c r="D294" s="12">
        <v>37827</v>
      </c>
      <c r="E294" s="13">
        <v>45392.4</v>
      </c>
      <c r="F294" s="12">
        <v>84</v>
      </c>
      <c r="G294" s="12">
        <v>44.52</v>
      </c>
      <c r="H294" s="12">
        <v>1470</v>
      </c>
      <c r="I294" s="12">
        <v>1470</v>
      </c>
      <c r="J294" s="12">
        <v>1221</v>
      </c>
      <c r="K294" s="12">
        <v>1831.5</v>
      </c>
      <c r="L294" s="12" t="s">
        <v>73</v>
      </c>
      <c r="M294" s="12">
        <v>0</v>
      </c>
      <c r="N294" s="12">
        <v>28800</v>
      </c>
      <c r="O294" s="12">
        <v>34560</v>
      </c>
      <c r="P294" s="12">
        <v>84</v>
      </c>
      <c r="Q294" s="12">
        <v>44.52</v>
      </c>
      <c r="R294" s="12">
        <v>4200</v>
      </c>
      <c r="S294" s="12">
        <v>4200</v>
      </c>
      <c r="T294" s="12">
        <v>2970</v>
      </c>
      <c r="U294" s="12">
        <v>4455</v>
      </c>
      <c r="V294" s="12" t="s">
        <v>73</v>
      </c>
      <c r="W294" s="12">
        <v>0</v>
      </c>
      <c r="X294" s="12">
        <v>33600</v>
      </c>
      <c r="Y294" s="12">
        <v>40320</v>
      </c>
      <c r="Z294" s="12">
        <v>90</v>
      </c>
      <c r="AA294" s="12">
        <v>47.7</v>
      </c>
      <c r="AB294" s="12">
        <v>10000</v>
      </c>
      <c r="AC294" s="12">
        <v>10000</v>
      </c>
      <c r="AD294" s="12">
        <v>1920</v>
      </c>
      <c r="AE294" s="12">
        <v>2880</v>
      </c>
      <c r="AF294" s="12" t="s">
        <v>73</v>
      </c>
      <c r="AG294" s="12">
        <v>0</v>
      </c>
      <c r="AH294" s="12">
        <v>16965</v>
      </c>
      <c r="AI294" s="12">
        <v>20358</v>
      </c>
      <c r="AJ294" s="12">
        <v>110</v>
      </c>
      <c r="AK294" s="12">
        <v>58.300000000000004</v>
      </c>
      <c r="AL294" s="12">
        <v>10763</v>
      </c>
      <c r="AM294" s="12">
        <v>10763</v>
      </c>
      <c r="AN294" s="12">
        <v>4452</v>
      </c>
      <c r="AO294" s="12">
        <v>6678</v>
      </c>
      <c r="AP294" s="12" t="s">
        <v>73</v>
      </c>
      <c r="AQ294" s="12">
        <v>0</v>
      </c>
      <c r="AR294" s="12">
        <v>24990</v>
      </c>
      <c r="AS294" s="12">
        <v>29988</v>
      </c>
      <c r="AT294" s="12">
        <v>58</v>
      </c>
      <c r="AU294" s="12">
        <v>30.740000000000002</v>
      </c>
      <c r="AV294" s="12">
        <v>4767</v>
      </c>
      <c r="AW294" s="12">
        <v>4767</v>
      </c>
      <c r="AX294" s="12">
        <v>3579</v>
      </c>
      <c r="AY294" s="12">
        <v>5368.5</v>
      </c>
      <c r="AZ294" s="12" t="s">
        <v>73</v>
      </c>
      <c r="BA294" s="12">
        <v>0</v>
      </c>
    </row>
    <row r="295" spans="1:53" x14ac:dyDescent="0.3">
      <c r="A295" s="12" t="s">
        <v>70</v>
      </c>
      <c r="B295" s="16">
        <v>42019</v>
      </c>
      <c r="C295" s="12" t="s">
        <v>659</v>
      </c>
      <c r="D295" s="12">
        <v>188866</v>
      </c>
      <c r="E295" s="13">
        <v>226639.19999999998</v>
      </c>
      <c r="F295" s="12">
        <v>1207</v>
      </c>
      <c r="G295" s="12">
        <v>639.71</v>
      </c>
      <c r="H295" s="12">
        <v>51272</v>
      </c>
      <c r="I295" s="12">
        <v>51272</v>
      </c>
      <c r="J295" s="12">
        <v>10772</v>
      </c>
      <c r="K295" s="12">
        <v>16158</v>
      </c>
      <c r="L295" s="12" t="s">
        <v>73</v>
      </c>
      <c r="M295" s="12">
        <v>0</v>
      </c>
      <c r="N295" s="12">
        <v>189090</v>
      </c>
      <c r="O295" s="12">
        <v>226908</v>
      </c>
      <c r="P295" s="12">
        <v>1461</v>
      </c>
      <c r="Q295" s="12">
        <v>774.33</v>
      </c>
      <c r="R295" s="12">
        <v>59414</v>
      </c>
      <c r="S295" s="12">
        <v>59414</v>
      </c>
      <c r="T295" s="12">
        <v>14728</v>
      </c>
      <c r="U295" s="12">
        <v>22092</v>
      </c>
      <c r="V295" s="12" t="s">
        <v>73</v>
      </c>
      <c r="W295" s="12">
        <v>0</v>
      </c>
      <c r="X295" s="12">
        <v>181779</v>
      </c>
      <c r="Y295" s="12">
        <v>218134.8</v>
      </c>
      <c r="Z295" s="12">
        <v>1082</v>
      </c>
      <c r="AA295" s="12">
        <v>573.46</v>
      </c>
      <c r="AB295" s="12">
        <v>65522</v>
      </c>
      <c r="AC295" s="12">
        <v>65522</v>
      </c>
      <c r="AD295" s="12">
        <v>17871</v>
      </c>
      <c r="AE295" s="12">
        <v>26806.5</v>
      </c>
      <c r="AF295" s="12">
        <v>210</v>
      </c>
      <c r="AG295" s="12">
        <v>273</v>
      </c>
      <c r="AH295" s="12">
        <v>166656</v>
      </c>
      <c r="AI295" s="12">
        <v>199987.19999999998</v>
      </c>
      <c r="AJ295" s="12">
        <v>275</v>
      </c>
      <c r="AK295" s="12">
        <v>145.75</v>
      </c>
      <c r="AL295" s="12">
        <v>30179</v>
      </c>
      <c r="AM295" s="12">
        <v>30179</v>
      </c>
      <c r="AN295" s="12">
        <v>22389</v>
      </c>
      <c r="AO295" s="12">
        <v>33583.5</v>
      </c>
      <c r="AP295" s="12">
        <v>490</v>
      </c>
      <c r="AQ295" s="12">
        <v>637</v>
      </c>
      <c r="AR295" s="12">
        <v>182415</v>
      </c>
      <c r="AS295" s="12">
        <v>218898</v>
      </c>
      <c r="AT295" s="12">
        <v>241</v>
      </c>
      <c r="AU295" s="12">
        <v>127.73</v>
      </c>
      <c r="AV295" s="12">
        <v>50933</v>
      </c>
      <c r="AW295" s="12">
        <v>50933</v>
      </c>
      <c r="AX295" s="12">
        <v>20659</v>
      </c>
      <c r="AY295" s="12">
        <v>30988.5</v>
      </c>
      <c r="AZ295" s="12">
        <v>351</v>
      </c>
      <c r="BA295" s="12">
        <v>456.3</v>
      </c>
    </row>
    <row r="296" spans="1:53" x14ac:dyDescent="0.3">
      <c r="A296" s="12" t="s">
        <v>74</v>
      </c>
      <c r="B296" s="16">
        <v>4220000</v>
      </c>
      <c r="C296" s="12" t="s">
        <v>661</v>
      </c>
      <c r="D296" s="12" t="s">
        <v>73</v>
      </c>
      <c r="E296" s="13">
        <v>0</v>
      </c>
      <c r="F296" s="12" t="s">
        <v>73</v>
      </c>
      <c r="G296" s="12">
        <v>0</v>
      </c>
      <c r="H296" s="12" t="s">
        <v>73</v>
      </c>
      <c r="I296" s="12" t="s">
        <v>73</v>
      </c>
      <c r="J296" s="12" t="s">
        <v>73</v>
      </c>
      <c r="K296" s="12">
        <v>0</v>
      </c>
      <c r="L296" s="12" t="s">
        <v>73</v>
      </c>
      <c r="M296" s="12">
        <v>0</v>
      </c>
      <c r="N296" s="12" t="s">
        <v>73</v>
      </c>
      <c r="O296" s="12">
        <v>0</v>
      </c>
      <c r="P296" s="12" t="s">
        <v>73</v>
      </c>
      <c r="Q296" s="12">
        <v>0</v>
      </c>
      <c r="R296" s="12" t="s">
        <v>73</v>
      </c>
      <c r="S296" s="12" t="s">
        <v>73</v>
      </c>
      <c r="T296" s="12" t="s">
        <v>73</v>
      </c>
      <c r="U296" s="12">
        <v>0</v>
      </c>
      <c r="V296" s="12" t="s">
        <v>73</v>
      </c>
      <c r="W296" s="12">
        <v>0</v>
      </c>
      <c r="X296" s="12" t="s">
        <v>73</v>
      </c>
      <c r="Y296" s="12">
        <v>0</v>
      </c>
      <c r="Z296" s="12" t="s">
        <v>73</v>
      </c>
      <c r="AA296" s="12">
        <v>0</v>
      </c>
      <c r="AB296" s="12">
        <v>42</v>
      </c>
      <c r="AC296" s="12">
        <v>42</v>
      </c>
      <c r="AD296" s="12">
        <v>6</v>
      </c>
      <c r="AE296" s="12">
        <v>9</v>
      </c>
      <c r="AF296" s="12" t="s">
        <v>73</v>
      </c>
      <c r="AG296" s="12">
        <v>0</v>
      </c>
      <c r="AH296" s="12" t="s">
        <v>73</v>
      </c>
      <c r="AI296" s="12">
        <v>0</v>
      </c>
      <c r="AJ296" s="12" t="s">
        <v>73</v>
      </c>
      <c r="AK296" s="12">
        <v>0</v>
      </c>
      <c r="AL296" s="12">
        <v>16</v>
      </c>
      <c r="AM296" s="12">
        <v>16</v>
      </c>
      <c r="AN296" s="12" t="s">
        <v>73</v>
      </c>
      <c r="AO296" s="12">
        <v>0</v>
      </c>
      <c r="AP296" s="12" t="s">
        <v>73</v>
      </c>
      <c r="AQ296" s="12">
        <v>0</v>
      </c>
      <c r="AR296" s="12" t="s">
        <v>73</v>
      </c>
      <c r="AS296" s="12">
        <v>0</v>
      </c>
      <c r="AT296" s="12" t="s">
        <v>73</v>
      </c>
      <c r="AU296" s="12">
        <v>0</v>
      </c>
      <c r="AV296" s="12">
        <v>18</v>
      </c>
      <c r="AW296" s="12">
        <v>18</v>
      </c>
      <c r="AX296" s="12" t="s">
        <v>73</v>
      </c>
      <c r="AY296" s="12">
        <v>0</v>
      </c>
      <c r="AZ296" s="12" t="s">
        <v>73</v>
      </c>
      <c r="BA296" s="12">
        <v>0</v>
      </c>
    </row>
    <row r="297" spans="1:53" x14ac:dyDescent="0.3">
      <c r="A297" s="12" t="s">
        <v>74</v>
      </c>
      <c r="B297" s="16">
        <v>4204251</v>
      </c>
      <c r="C297" s="12" t="s">
        <v>663</v>
      </c>
      <c r="D297" s="12">
        <v>750</v>
      </c>
      <c r="E297" s="13">
        <v>900</v>
      </c>
      <c r="F297" s="12">
        <v>140</v>
      </c>
      <c r="G297" s="12">
        <v>74.2</v>
      </c>
      <c r="H297" s="12">
        <v>1890</v>
      </c>
      <c r="I297" s="12">
        <v>1890</v>
      </c>
      <c r="J297" s="12">
        <v>54</v>
      </c>
      <c r="K297" s="12">
        <v>81</v>
      </c>
      <c r="L297" s="12" t="s">
        <v>73</v>
      </c>
      <c r="M297" s="12">
        <v>0</v>
      </c>
      <c r="N297" s="12">
        <v>617</v>
      </c>
      <c r="O297" s="12">
        <v>740.4</v>
      </c>
      <c r="P297" s="12">
        <v>152</v>
      </c>
      <c r="Q297" s="12">
        <v>80.56</v>
      </c>
      <c r="R297" s="12">
        <v>2574</v>
      </c>
      <c r="S297" s="12">
        <v>2574</v>
      </c>
      <c r="T297" s="12">
        <v>90</v>
      </c>
      <c r="U297" s="12">
        <v>135</v>
      </c>
      <c r="V297" s="12" t="s">
        <v>73</v>
      </c>
      <c r="W297" s="12">
        <v>0</v>
      </c>
      <c r="X297" s="12">
        <v>760</v>
      </c>
      <c r="Y297" s="12">
        <v>912</v>
      </c>
      <c r="Z297" s="12">
        <v>210</v>
      </c>
      <c r="AA297" s="12">
        <v>111.30000000000001</v>
      </c>
      <c r="AB297" s="12">
        <v>4950</v>
      </c>
      <c r="AC297" s="12">
        <v>4950</v>
      </c>
      <c r="AD297" s="12">
        <v>240</v>
      </c>
      <c r="AE297" s="12">
        <v>360</v>
      </c>
      <c r="AF297" s="12" t="s">
        <v>73</v>
      </c>
      <c r="AG297" s="12">
        <v>0</v>
      </c>
      <c r="AH297" s="12">
        <v>600</v>
      </c>
      <c r="AI297" s="12">
        <v>720</v>
      </c>
      <c r="AJ297" s="12">
        <v>12</v>
      </c>
      <c r="AK297" s="12">
        <v>6.36</v>
      </c>
      <c r="AL297" s="12">
        <v>2226</v>
      </c>
      <c r="AM297" s="12">
        <v>2226</v>
      </c>
      <c r="AN297" s="12">
        <v>750</v>
      </c>
      <c r="AO297" s="12">
        <v>1125</v>
      </c>
      <c r="AP297" s="12">
        <v>49</v>
      </c>
      <c r="AQ297" s="12">
        <v>63.7</v>
      </c>
      <c r="AR297" s="12">
        <v>600</v>
      </c>
      <c r="AS297" s="12">
        <v>720</v>
      </c>
      <c r="AT297" s="12">
        <v>32</v>
      </c>
      <c r="AU297" s="12">
        <v>16.96</v>
      </c>
      <c r="AV297" s="12">
        <v>2975</v>
      </c>
      <c r="AW297" s="12">
        <v>2975</v>
      </c>
      <c r="AX297" s="12">
        <v>1080</v>
      </c>
      <c r="AY297" s="12">
        <v>1620</v>
      </c>
      <c r="AZ297" s="12">
        <v>140</v>
      </c>
      <c r="BA297" s="12">
        <v>182</v>
      </c>
    </row>
    <row r="298" spans="1:53" x14ac:dyDescent="0.3">
      <c r="A298" s="12" t="s">
        <v>74</v>
      </c>
      <c r="B298" s="16">
        <v>4204608</v>
      </c>
      <c r="C298" s="12" t="s">
        <v>665</v>
      </c>
      <c r="D298" s="12">
        <v>1950</v>
      </c>
      <c r="E298" s="13">
        <v>2340</v>
      </c>
      <c r="F298" s="12">
        <v>290</v>
      </c>
      <c r="G298" s="12">
        <v>153.70000000000002</v>
      </c>
      <c r="H298" s="12">
        <v>7200</v>
      </c>
      <c r="I298" s="12">
        <v>7200</v>
      </c>
      <c r="J298" s="12">
        <v>3240</v>
      </c>
      <c r="K298" s="12">
        <v>4860</v>
      </c>
      <c r="L298" s="12" t="s">
        <v>73</v>
      </c>
      <c r="M298" s="12">
        <v>0</v>
      </c>
      <c r="N298" s="12">
        <v>1993</v>
      </c>
      <c r="O298" s="12">
        <v>2391.6</v>
      </c>
      <c r="P298" s="12">
        <v>277</v>
      </c>
      <c r="Q298" s="12">
        <v>146.81</v>
      </c>
      <c r="R298" s="12">
        <v>9600</v>
      </c>
      <c r="S298" s="12">
        <v>9600</v>
      </c>
      <c r="T298" s="12">
        <v>4680</v>
      </c>
      <c r="U298" s="12">
        <v>7020</v>
      </c>
      <c r="V298" s="12" t="s">
        <v>73</v>
      </c>
      <c r="W298" s="12">
        <v>0</v>
      </c>
      <c r="X298" s="12">
        <v>1979</v>
      </c>
      <c r="Y298" s="12">
        <v>2374.7999999999997</v>
      </c>
      <c r="Z298" s="12">
        <v>189</v>
      </c>
      <c r="AA298" s="12">
        <v>100.17</v>
      </c>
      <c r="AB298" s="12">
        <v>9600</v>
      </c>
      <c r="AC298" s="12">
        <v>9600</v>
      </c>
      <c r="AD298" s="12">
        <v>5400</v>
      </c>
      <c r="AE298" s="12">
        <v>8100</v>
      </c>
      <c r="AF298" s="12">
        <v>210</v>
      </c>
      <c r="AG298" s="12">
        <v>273</v>
      </c>
      <c r="AH298" s="12">
        <v>1800</v>
      </c>
      <c r="AI298" s="12">
        <v>2160</v>
      </c>
      <c r="AJ298" s="12">
        <v>68</v>
      </c>
      <c r="AK298" s="12">
        <v>36.04</v>
      </c>
      <c r="AL298" s="12">
        <v>5880</v>
      </c>
      <c r="AM298" s="12">
        <v>5880</v>
      </c>
      <c r="AN298" s="12">
        <v>5400</v>
      </c>
      <c r="AO298" s="12">
        <v>8100</v>
      </c>
      <c r="AP298" s="12">
        <v>112</v>
      </c>
      <c r="AQ298" s="12">
        <v>145.6</v>
      </c>
      <c r="AR298" s="12">
        <v>3626</v>
      </c>
      <c r="AS298" s="12">
        <v>4351.2</v>
      </c>
      <c r="AT298" s="12">
        <v>7</v>
      </c>
      <c r="AU298" s="12">
        <v>3.71</v>
      </c>
      <c r="AV298" s="12">
        <v>7800</v>
      </c>
      <c r="AW298" s="12">
        <v>7800</v>
      </c>
      <c r="AX298" s="12">
        <v>5400</v>
      </c>
      <c r="AY298" s="12">
        <v>8100</v>
      </c>
      <c r="AZ298" s="12">
        <v>10</v>
      </c>
      <c r="BA298" s="12">
        <v>13</v>
      </c>
    </row>
    <row r="299" spans="1:53" x14ac:dyDescent="0.3">
      <c r="A299" s="12" t="s">
        <v>74</v>
      </c>
      <c r="B299" s="16">
        <v>4205456</v>
      </c>
      <c r="C299" s="12" t="s">
        <v>667</v>
      </c>
      <c r="D299" s="12">
        <v>94000</v>
      </c>
      <c r="E299" s="13">
        <v>112800</v>
      </c>
      <c r="F299" s="12">
        <v>162</v>
      </c>
      <c r="G299" s="12">
        <v>85.86</v>
      </c>
      <c r="H299" s="12">
        <v>9100</v>
      </c>
      <c r="I299" s="12">
        <v>9100</v>
      </c>
      <c r="J299" s="12">
        <v>2990</v>
      </c>
      <c r="K299" s="12">
        <v>4485</v>
      </c>
      <c r="L299" s="12" t="s">
        <v>73</v>
      </c>
      <c r="M299" s="12">
        <v>0</v>
      </c>
      <c r="N299" s="12">
        <v>93930</v>
      </c>
      <c r="O299" s="12">
        <v>112716</v>
      </c>
      <c r="P299" s="12">
        <v>112</v>
      </c>
      <c r="Q299" s="12">
        <v>59.36</v>
      </c>
      <c r="R299" s="12">
        <v>10500</v>
      </c>
      <c r="S299" s="12">
        <v>10500</v>
      </c>
      <c r="T299" s="12">
        <v>3960</v>
      </c>
      <c r="U299" s="12">
        <v>5940</v>
      </c>
      <c r="V299" s="12" t="s">
        <v>73</v>
      </c>
      <c r="W299" s="12">
        <v>0</v>
      </c>
      <c r="X299" s="12">
        <v>87750</v>
      </c>
      <c r="Y299" s="12">
        <v>105300</v>
      </c>
      <c r="Z299" s="12">
        <v>24</v>
      </c>
      <c r="AA299" s="12">
        <v>12.72</v>
      </c>
      <c r="AB299" s="12">
        <v>10625</v>
      </c>
      <c r="AC299" s="12">
        <v>10625</v>
      </c>
      <c r="AD299" s="12">
        <v>2625</v>
      </c>
      <c r="AE299" s="12">
        <v>3937.5</v>
      </c>
      <c r="AF299" s="12" t="s">
        <v>73</v>
      </c>
      <c r="AG299" s="12">
        <v>0</v>
      </c>
      <c r="AH299" s="12">
        <v>78000</v>
      </c>
      <c r="AI299" s="12">
        <v>93600</v>
      </c>
      <c r="AJ299" s="12">
        <v>8</v>
      </c>
      <c r="AK299" s="12">
        <v>4.24</v>
      </c>
      <c r="AL299" s="12">
        <v>5320</v>
      </c>
      <c r="AM299" s="12">
        <v>5320</v>
      </c>
      <c r="AN299" s="12">
        <v>3750</v>
      </c>
      <c r="AO299" s="12">
        <v>5625</v>
      </c>
      <c r="AP299" s="12" t="s">
        <v>73</v>
      </c>
      <c r="AQ299" s="12">
        <v>0</v>
      </c>
      <c r="AR299" s="12">
        <v>81413</v>
      </c>
      <c r="AS299" s="12">
        <v>97695.599999999991</v>
      </c>
      <c r="AT299" s="12" t="s">
        <v>73</v>
      </c>
      <c r="AU299" s="12">
        <v>0</v>
      </c>
      <c r="AV299" s="12">
        <v>11200</v>
      </c>
      <c r="AW299" s="12">
        <v>11200</v>
      </c>
      <c r="AX299" s="12">
        <v>3600</v>
      </c>
      <c r="AY299" s="12">
        <v>5400</v>
      </c>
      <c r="AZ299" s="12" t="s">
        <v>73</v>
      </c>
      <c r="BA299" s="12">
        <v>0</v>
      </c>
    </row>
    <row r="300" spans="1:53" x14ac:dyDescent="0.3">
      <c r="A300" s="12" t="s">
        <v>74</v>
      </c>
      <c r="B300" s="16">
        <v>4207007</v>
      </c>
      <c r="C300" s="12" t="s">
        <v>669</v>
      </c>
      <c r="D300" s="12">
        <v>13860</v>
      </c>
      <c r="E300" s="13">
        <v>16632</v>
      </c>
      <c r="F300" s="12">
        <v>360</v>
      </c>
      <c r="G300" s="12">
        <v>190.8</v>
      </c>
      <c r="H300" s="12">
        <v>17100</v>
      </c>
      <c r="I300" s="12">
        <v>17100</v>
      </c>
      <c r="J300" s="12">
        <v>3300</v>
      </c>
      <c r="K300" s="12">
        <v>4950</v>
      </c>
      <c r="L300" s="12" t="s">
        <v>73</v>
      </c>
      <c r="M300" s="12">
        <v>0</v>
      </c>
      <c r="N300" s="12">
        <v>12650</v>
      </c>
      <c r="O300" s="12">
        <v>15180</v>
      </c>
      <c r="P300" s="12">
        <v>480</v>
      </c>
      <c r="Q300" s="12">
        <v>254.4</v>
      </c>
      <c r="R300" s="12">
        <v>20400</v>
      </c>
      <c r="S300" s="12">
        <v>20400</v>
      </c>
      <c r="T300" s="12">
        <v>4680</v>
      </c>
      <c r="U300" s="12">
        <v>7020</v>
      </c>
      <c r="V300" s="12" t="s">
        <v>73</v>
      </c>
      <c r="W300" s="12">
        <v>0</v>
      </c>
      <c r="X300" s="12">
        <v>12100</v>
      </c>
      <c r="Y300" s="12">
        <v>14520</v>
      </c>
      <c r="Z300" s="12">
        <v>370</v>
      </c>
      <c r="AA300" s="12">
        <v>196.10000000000002</v>
      </c>
      <c r="AB300" s="12">
        <v>20160</v>
      </c>
      <c r="AC300" s="12">
        <v>20160</v>
      </c>
      <c r="AD300" s="12">
        <v>7920</v>
      </c>
      <c r="AE300" s="12">
        <v>11880</v>
      </c>
      <c r="AF300" s="12" t="s">
        <v>73</v>
      </c>
      <c r="AG300" s="12">
        <v>0</v>
      </c>
      <c r="AH300" s="12">
        <v>12100</v>
      </c>
      <c r="AI300" s="12">
        <v>14520</v>
      </c>
      <c r="AJ300" s="12">
        <v>90</v>
      </c>
      <c r="AK300" s="12">
        <v>47.7</v>
      </c>
      <c r="AL300" s="12">
        <v>6000</v>
      </c>
      <c r="AM300" s="12">
        <v>6000</v>
      </c>
      <c r="AN300" s="12">
        <v>10800</v>
      </c>
      <c r="AO300" s="12">
        <v>16200</v>
      </c>
      <c r="AP300" s="12">
        <v>83</v>
      </c>
      <c r="AQ300" s="12">
        <v>107.9</v>
      </c>
      <c r="AR300" s="12">
        <v>13200</v>
      </c>
      <c r="AS300" s="12">
        <v>15840</v>
      </c>
      <c r="AT300" s="12">
        <v>120</v>
      </c>
      <c r="AU300" s="12">
        <v>63.6</v>
      </c>
      <c r="AV300" s="12">
        <v>14000</v>
      </c>
      <c r="AW300" s="12">
        <v>14000</v>
      </c>
      <c r="AX300" s="12">
        <v>9000</v>
      </c>
      <c r="AY300" s="12">
        <v>13500</v>
      </c>
      <c r="AZ300" s="12">
        <v>75</v>
      </c>
      <c r="BA300" s="12">
        <v>97.5</v>
      </c>
    </row>
    <row r="301" spans="1:53" x14ac:dyDescent="0.3">
      <c r="A301" s="12" t="s">
        <v>74</v>
      </c>
      <c r="B301" s="16">
        <v>4209607</v>
      </c>
      <c r="C301" s="12" t="s">
        <v>671</v>
      </c>
      <c r="D301" s="12">
        <v>10</v>
      </c>
      <c r="E301" s="13">
        <v>12</v>
      </c>
      <c r="F301" s="12">
        <v>22</v>
      </c>
      <c r="G301" s="12">
        <v>11.66</v>
      </c>
      <c r="H301" s="12">
        <v>1100</v>
      </c>
      <c r="I301" s="12">
        <v>1100</v>
      </c>
      <c r="J301" s="12" t="s">
        <v>73</v>
      </c>
      <c r="K301" s="12">
        <v>0</v>
      </c>
      <c r="L301" s="12" t="s">
        <v>73</v>
      </c>
      <c r="M301" s="12">
        <v>0</v>
      </c>
      <c r="N301" s="12">
        <v>10</v>
      </c>
      <c r="O301" s="12">
        <v>12</v>
      </c>
      <c r="P301" s="12">
        <v>30</v>
      </c>
      <c r="Q301" s="12">
        <v>15.9</v>
      </c>
      <c r="R301" s="12">
        <v>1000</v>
      </c>
      <c r="S301" s="12">
        <v>1000</v>
      </c>
      <c r="T301" s="12" t="s">
        <v>73</v>
      </c>
      <c r="U301" s="12">
        <v>0</v>
      </c>
      <c r="V301" s="12" t="s">
        <v>73</v>
      </c>
      <c r="W301" s="12">
        <v>0</v>
      </c>
      <c r="X301" s="12">
        <v>10</v>
      </c>
      <c r="Y301" s="12">
        <v>12</v>
      </c>
      <c r="Z301" s="12">
        <v>52</v>
      </c>
      <c r="AA301" s="12">
        <v>27.560000000000002</v>
      </c>
      <c r="AB301" s="12">
        <v>1375</v>
      </c>
      <c r="AC301" s="12">
        <v>1375</v>
      </c>
      <c r="AD301" s="12" t="s">
        <v>73</v>
      </c>
      <c r="AE301" s="12">
        <v>0</v>
      </c>
      <c r="AF301" s="12" t="s">
        <v>73</v>
      </c>
      <c r="AG301" s="12">
        <v>0</v>
      </c>
      <c r="AH301" s="12">
        <v>10</v>
      </c>
      <c r="AI301" s="12">
        <v>12</v>
      </c>
      <c r="AJ301" s="12">
        <v>20</v>
      </c>
      <c r="AK301" s="12">
        <v>10.600000000000001</v>
      </c>
      <c r="AL301" s="12">
        <v>1482</v>
      </c>
      <c r="AM301" s="12">
        <v>1482</v>
      </c>
      <c r="AN301" s="12" t="s">
        <v>73</v>
      </c>
      <c r="AO301" s="12">
        <v>0</v>
      </c>
      <c r="AP301" s="12" t="s">
        <v>73</v>
      </c>
      <c r="AQ301" s="12">
        <v>0</v>
      </c>
      <c r="AR301" s="12" t="s">
        <v>73</v>
      </c>
      <c r="AS301" s="12">
        <v>0</v>
      </c>
      <c r="AT301" s="12">
        <v>14</v>
      </c>
      <c r="AU301" s="12">
        <v>7.42</v>
      </c>
      <c r="AV301" s="12">
        <v>1200</v>
      </c>
      <c r="AW301" s="12">
        <v>1200</v>
      </c>
      <c r="AX301" s="12" t="s">
        <v>73</v>
      </c>
      <c r="AY301" s="12">
        <v>0</v>
      </c>
      <c r="AZ301" s="12" t="s">
        <v>73</v>
      </c>
      <c r="BA301" s="12">
        <v>0</v>
      </c>
    </row>
    <row r="302" spans="1:53" x14ac:dyDescent="0.3">
      <c r="A302" s="12" t="s">
        <v>74</v>
      </c>
      <c r="B302" s="16">
        <v>4211207</v>
      </c>
      <c r="C302" s="12" t="s">
        <v>673</v>
      </c>
      <c r="D302" s="12">
        <v>2602</v>
      </c>
      <c r="E302" s="13">
        <v>3122.4</v>
      </c>
      <c r="F302" s="12">
        <v>66</v>
      </c>
      <c r="G302" s="12">
        <v>34.980000000000004</v>
      </c>
      <c r="H302" s="12">
        <v>1716</v>
      </c>
      <c r="I302" s="12">
        <v>1716</v>
      </c>
      <c r="J302" s="12">
        <v>912</v>
      </c>
      <c r="K302" s="12">
        <v>1368</v>
      </c>
      <c r="L302" s="12" t="s">
        <v>73</v>
      </c>
      <c r="M302" s="12">
        <v>0</v>
      </c>
      <c r="N302" s="12">
        <v>3024</v>
      </c>
      <c r="O302" s="12">
        <v>3628.7999999999997</v>
      </c>
      <c r="P302" s="12">
        <v>171</v>
      </c>
      <c r="Q302" s="12">
        <v>90.63000000000001</v>
      </c>
      <c r="R302" s="12">
        <v>2550</v>
      </c>
      <c r="S302" s="12">
        <v>2550</v>
      </c>
      <c r="T302" s="12">
        <v>1102</v>
      </c>
      <c r="U302" s="12">
        <v>1653</v>
      </c>
      <c r="V302" s="12" t="s">
        <v>73</v>
      </c>
      <c r="W302" s="12">
        <v>0</v>
      </c>
      <c r="X302" s="12">
        <v>2324</v>
      </c>
      <c r="Y302" s="12">
        <v>2788.7999999999997</v>
      </c>
      <c r="Z302" s="12">
        <v>45</v>
      </c>
      <c r="AA302" s="12">
        <v>23.85</v>
      </c>
      <c r="AB302" s="12">
        <v>2412</v>
      </c>
      <c r="AC302" s="12">
        <v>2412</v>
      </c>
      <c r="AD302" s="12">
        <v>750</v>
      </c>
      <c r="AE302" s="12">
        <v>1125</v>
      </c>
      <c r="AF302" s="12" t="s">
        <v>73</v>
      </c>
      <c r="AG302" s="12">
        <v>0</v>
      </c>
      <c r="AH302" s="12">
        <v>2964</v>
      </c>
      <c r="AI302" s="12">
        <v>3556.7999999999997</v>
      </c>
      <c r="AJ302" s="12">
        <v>9</v>
      </c>
      <c r="AK302" s="12">
        <v>4.7700000000000005</v>
      </c>
      <c r="AL302" s="12">
        <v>1554</v>
      </c>
      <c r="AM302" s="12">
        <v>1554</v>
      </c>
      <c r="AN302" s="12">
        <v>1050</v>
      </c>
      <c r="AO302" s="12">
        <v>1575</v>
      </c>
      <c r="AP302" s="12">
        <v>216</v>
      </c>
      <c r="AQ302" s="12">
        <v>280.8</v>
      </c>
      <c r="AR302" s="12">
        <v>3268</v>
      </c>
      <c r="AS302" s="12">
        <v>3921.6</v>
      </c>
      <c r="AT302" s="12" t="s">
        <v>73</v>
      </c>
      <c r="AU302" s="12">
        <v>0</v>
      </c>
      <c r="AV302" s="12">
        <v>2376</v>
      </c>
      <c r="AW302" s="12">
        <v>2376</v>
      </c>
      <c r="AX302" s="12">
        <v>1134</v>
      </c>
      <c r="AY302" s="12">
        <v>1701</v>
      </c>
      <c r="AZ302" s="12">
        <v>96</v>
      </c>
      <c r="BA302" s="12">
        <v>124.80000000000001</v>
      </c>
    </row>
    <row r="303" spans="1:53" x14ac:dyDescent="0.3">
      <c r="A303" s="12" t="s">
        <v>74</v>
      </c>
      <c r="B303" s="16">
        <v>4211603</v>
      </c>
      <c r="C303" s="12" t="s">
        <v>675</v>
      </c>
      <c r="D303" s="12">
        <v>74656</v>
      </c>
      <c r="E303" s="13">
        <v>89587.199999999997</v>
      </c>
      <c r="F303" s="12">
        <v>52</v>
      </c>
      <c r="G303" s="12">
        <v>27.560000000000002</v>
      </c>
      <c r="H303" s="12">
        <v>8970</v>
      </c>
      <c r="I303" s="12">
        <v>8970</v>
      </c>
      <c r="J303" s="12">
        <v>60</v>
      </c>
      <c r="K303" s="12">
        <v>90</v>
      </c>
      <c r="L303" s="12" t="s">
        <v>73</v>
      </c>
      <c r="M303" s="12">
        <v>0</v>
      </c>
      <c r="N303" s="12">
        <v>75650</v>
      </c>
      <c r="O303" s="12">
        <v>90780</v>
      </c>
      <c r="P303" s="12">
        <v>60</v>
      </c>
      <c r="Q303" s="12">
        <v>31.8</v>
      </c>
      <c r="R303" s="12">
        <v>7590</v>
      </c>
      <c r="S303" s="12">
        <v>7590</v>
      </c>
      <c r="T303" s="12" t="s">
        <v>73</v>
      </c>
      <c r="U303" s="12">
        <v>0</v>
      </c>
      <c r="V303" s="12" t="s">
        <v>73</v>
      </c>
      <c r="W303" s="12">
        <v>0</v>
      </c>
      <c r="X303" s="12">
        <v>75680</v>
      </c>
      <c r="Y303" s="12">
        <v>90816</v>
      </c>
      <c r="Z303" s="12">
        <v>38</v>
      </c>
      <c r="AA303" s="12">
        <v>20.14</v>
      </c>
      <c r="AB303" s="12">
        <v>10350</v>
      </c>
      <c r="AC303" s="12">
        <v>10350</v>
      </c>
      <c r="AD303" s="12">
        <v>720</v>
      </c>
      <c r="AE303" s="12">
        <v>1080</v>
      </c>
      <c r="AF303" s="12" t="s">
        <v>73</v>
      </c>
      <c r="AG303" s="12">
        <v>0</v>
      </c>
      <c r="AH303" s="12">
        <v>70400</v>
      </c>
      <c r="AI303" s="12">
        <v>84480</v>
      </c>
      <c r="AJ303" s="12">
        <v>36</v>
      </c>
      <c r="AK303" s="12">
        <v>19.080000000000002</v>
      </c>
      <c r="AL303" s="12">
        <v>4830</v>
      </c>
      <c r="AM303" s="12">
        <v>4830</v>
      </c>
      <c r="AN303" s="12">
        <v>540</v>
      </c>
      <c r="AO303" s="12">
        <v>810</v>
      </c>
      <c r="AP303" s="12" t="s">
        <v>73</v>
      </c>
      <c r="AQ303" s="12">
        <v>0</v>
      </c>
      <c r="AR303" s="12">
        <v>79200</v>
      </c>
      <c r="AS303" s="12">
        <v>95040</v>
      </c>
      <c r="AT303" s="12">
        <v>36</v>
      </c>
      <c r="AU303" s="12">
        <v>19.080000000000002</v>
      </c>
      <c r="AV303" s="12">
        <v>6480</v>
      </c>
      <c r="AW303" s="12">
        <v>6480</v>
      </c>
      <c r="AX303" s="12">
        <v>180</v>
      </c>
      <c r="AY303" s="12">
        <v>270</v>
      </c>
      <c r="AZ303" s="12" t="s">
        <v>73</v>
      </c>
      <c r="BA303" s="12">
        <v>0</v>
      </c>
    </row>
    <row r="304" spans="1:53" x14ac:dyDescent="0.3">
      <c r="A304" s="12" t="s">
        <v>74</v>
      </c>
      <c r="B304" s="16">
        <v>4217600</v>
      </c>
      <c r="C304" s="12" t="s">
        <v>677</v>
      </c>
      <c r="D304" s="12">
        <v>690</v>
      </c>
      <c r="E304" s="13">
        <v>828</v>
      </c>
      <c r="F304" s="12">
        <v>38</v>
      </c>
      <c r="G304" s="12">
        <v>20.14</v>
      </c>
      <c r="H304" s="12">
        <v>1700</v>
      </c>
      <c r="I304" s="12">
        <v>1700</v>
      </c>
      <c r="J304" s="12" t="s">
        <v>73</v>
      </c>
      <c r="K304" s="12">
        <v>0</v>
      </c>
      <c r="L304" s="12" t="s">
        <v>73</v>
      </c>
      <c r="M304" s="12">
        <v>0</v>
      </c>
      <c r="N304" s="12">
        <v>825</v>
      </c>
      <c r="O304" s="12">
        <v>990</v>
      </c>
      <c r="P304" s="12">
        <v>67</v>
      </c>
      <c r="Q304" s="12">
        <v>35.510000000000005</v>
      </c>
      <c r="R304" s="12">
        <v>2250</v>
      </c>
      <c r="S304" s="12">
        <v>2250</v>
      </c>
      <c r="T304" s="12" t="s">
        <v>73</v>
      </c>
      <c r="U304" s="12">
        <v>0</v>
      </c>
      <c r="V304" s="12" t="s">
        <v>73</v>
      </c>
      <c r="W304" s="12">
        <v>0</v>
      </c>
      <c r="X304" s="12">
        <v>781</v>
      </c>
      <c r="Y304" s="12">
        <v>937.19999999999993</v>
      </c>
      <c r="Z304" s="12">
        <v>68</v>
      </c>
      <c r="AA304" s="12">
        <v>36.04</v>
      </c>
      <c r="AB304" s="12">
        <v>2560</v>
      </c>
      <c r="AC304" s="12">
        <v>2560</v>
      </c>
      <c r="AD304" s="12" t="s">
        <v>73</v>
      </c>
      <c r="AE304" s="12">
        <v>0</v>
      </c>
      <c r="AF304" s="12" t="s">
        <v>73</v>
      </c>
      <c r="AG304" s="12">
        <v>0</v>
      </c>
      <c r="AH304" s="12">
        <v>523</v>
      </c>
      <c r="AI304" s="12">
        <v>627.6</v>
      </c>
      <c r="AJ304" s="12">
        <v>24</v>
      </c>
      <c r="AK304" s="12">
        <v>12.72</v>
      </c>
      <c r="AL304" s="12">
        <v>891</v>
      </c>
      <c r="AM304" s="12">
        <v>891</v>
      </c>
      <c r="AN304" s="12">
        <v>12</v>
      </c>
      <c r="AO304" s="12">
        <v>18</v>
      </c>
      <c r="AP304" s="12" t="s">
        <v>73</v>
      </c>
      <c r="AQ304" s="12">
        <v>0</v>
      </c>
      <c r="AR304" s="12">
        <v>825</v>
      </c>
      <c r="AS304" s="12">
        <v>990</v>
      </c>
      <c r="AT304" s="12">
        <v>18</v>
      </c>
      <c r="AU304" s="12">
        <v>9.5400000000000009</v>
      </c>
      <c r="AV304" s="12">
        <v>1944</v>
      </c>
      <c r="AW304" s="12">
        <v>1944</v>
      </c>
      <c r="AX304" s="12">
        <v>100</v>
      </c>
      <c r="AY304" s="12">
        <v>150</v>
      </c>
      <c r="AZ304" s="12" t="s">
        <v>73</v>
      </c>
      <c r="BA304" s="12">
        <v>0</v>
      </c>
    </row>
    <row r="305" spans="1:53" x14ac:dyDescent="0.3">
      <c r="A305" s="12" t="s">
        <v>74</v>
      </c>
      <c r="B305" s="16">
        <v>4218350</v>
      </c>
      <c r="C305" s="12" t="s">
        <v>679</v>
      </c>
      <c r="D305" s="12">
        <v>70</v>
      </c>
      <c r="E305" s="13">
        <v>84</v>
      </c>
      <c r="F305" s="12">
        <v>6</v>
      </c>
      <c r="G305" s="12">
        <v>3.18</v>
      </c>
      <c r="H305" s="12">
        <v>144</v>
      </c>
      <c r="I305" s="12">
        <v>144</v>
      </c>
      <c r="J305" s="12" t="s">
        <v>73</v>
      </c>
      <c r="K305" s="12">
        <v>0</v>
      </c>
      <c r="L305" s="12" t="s">
        <v>73</v>
      </c>
      <c r="M305" s="12">
        <v>0</v>
      </c>
      <c r="N305" s="12">
        <v>65</v>
      </c>
      <c r="O305" s="12">
        <v>78</v>
      </c>
      <c r="P305" s="12">
        <v>6</v>
      </c>
      <c r="Q305" s="12">
        <v>3.18</v>
      </c>
      <c r="R305" s="12">
        <v>150</v>
      </c>
      <c r="S305" s="12">
        <v>150</v>
      </c>
      <c r="T305" s="12" t="s">
        <v>73</v>
      </c>
      <c r="U305" s="12">
        <v>0</v>
      </c>
      <c r="V305" s="12" t="s">
        <v>73</v>
      </c>
      <c r="W305" s="12">
        <v>0</v>
      </c>
      <c r="X305" s="12">
        <v>75</v>
      </c>
      <c r="Y305" s="12">
        <v>90</v>
      </c>
      <c r="Z305" s="12">
        <v>4</v>
      </c>
      <c r="AA305" s="12">
        <v>2.12</v>
      </c>
      <c r="AB305" s="12">
        <v>198</v>
      </c>
      <c r="AC305" s="12">
        <v>198</v>
      </c>
      <c r="AD305" s="12" t="s">
        <v>73</v>
      </c>
      <c r="AE305" s="12">
        <v>0</v>
      </c>
      <c r="AF305" s="12" t="s">
        <v>73</v>
      </c>
      <c r="AG305" s="12">
        <v>0</v>
      </c>
      <c r="AH305" s="12">
        <v>75</v>
      </c>
      <c r="AI305" s="12">
        <v>90</v>
      </c>
      <c r="AJ305" s="12">
        <v>3</v>
      </c>
      <c r="AK305" s="12">
        <v>1.59</v>
      </c>
      <c r="AL305" s="12">
        <v>180</v>
      </c>
      <c r="AM305" s="12">
        <v>180</v>
      </c>
      <c r="AN305" s="12" t="s">
        <v>73</v>
      </c>
      <c r="AO305" s="12">
        <v>0</v>
      </c>
      <c r="AP305" s="12" t="s">
        <v>73</v>
      </c>
      <c r="AQ305" s="12">
        <v>0</v>
      </c>
      <c r="AR305" s="12">
        <v>80</v>
      </c>
      <c r="AS305" s="12">
        <v>96</v>
      </c>
      <c r="AT305" s="12">
        <v>2</v>
      </c>
      <c r="AU305" s="12">
        <v>1.06</v>
      </c>
      <c r="AV305" s="12">
        <v>240</v>
      </c>
      <c r="AW305" s="12">
        <v>240</v>
      </c>
      <c r="AX305" s="12" t="s">
        <v>73</v>
      </c>
      <c r="AY305" s="12">
        <v>0</v>
      </c>
      <c r="AZ305" s="12" t="s">
        <v>73</v>
      </c>
      <c r="BA305" s="12">
        <v>0</v>
      </c>
    </row>
    <row r="306" spans="1:53" x14ac:dyDescent="0.3">
      <c r="A306" s="12" t="s">
        <v>74</v>
      </c>
      <c r="B306" s="16">
        <v>4219002</v>
      </c>
      <c r="C306" s="12" t="s">
        <v>681</v>
      </c>
      <c r="D306" s="12">
        <v>278</v>
      </c>
      <c r="E306" s="13">
        <v>333.59999999999997</v>
      </c>
      <c r="F306" s="12">
        <v>71</v>
      </c>
      <c r="G306" s="12">
        <v>37.630000000000003</v>
      </c>
      <c r="H306" s="12">
        <v>2352</v>
      </c>
      <c r="I306" s="12">
        <v>2352</v>
      </c>
      <c r="J306" s="12">
        <v>216</v>
      </c>
      <c r="K306" s="12">
        <v>324</v>
      </c>
      <c r="L306" s="12" t="s">
        <v>73</v>
      </c>
      <c r="M306" s="12">
        <v>0</v>
      </c>
      <c r="N306" s="12">
        <v>326</v>
      </c>
      <c r="O306" s="12">
        <v>391.2</v>
      </c>
      <c r="P306" s="12">
        <v>106</v>
      </c>
      <c r="Q306" s="12">
        <v>56.18</v>
      </c>
      <c r="R306" s="12">
        <v>2800</v>
      </c>
      <c r="S306" s="12">
        <v>2800</v>
      </c>
      <c r="T306" s="12">
        <v>216</v>
      </c>
      <c r="U306" s="12">
        <v>324</v>
      </c>
      <c r="V306" s="12" t="s">
        <v>73</v>
      </c>
      <c r="W306" s="12">
        <v>0</v>
      </c>
      <c r="X306" s="12">
        <v>320</v>
      </c>
      <c r="Y306" s="12">
        <v>384</v>
      </c>
      <c r="Z306" s="12">
        <v>82</v>
      </c>
      <c r="AA306" s="12">
        <v>43.46</v>
      </c>
      <c r="AB306" s="12">
        <v>3250</v>
      </c>
      <c r="AC306" s="12">
        <v>3250</v>
      </c>
      <c r="AD306" s="12">
        <v>210</v>
      </c>
      <c r="AE306" s="12">
        <v>315</v>
      </c>
      <c r="AF306" s="12" t="s">
        <v>73</v>
      </c>
      <c r="AG306" s="12">
        <v>0</v>
      </c>
      <c r="AH306" s="12">
        <v>184</v>
      </c>
      <c r="AI306" s="12">
        <v>220.79999999999998</v>
      </c>
      <c r="AJ306" s="12">
        <v>5</v>
      </c>
      <c r="AK306" s="12">
        <v>2.6500000000000004</v>
      </c>
      <c r="AL306" s="12">
        <v>1800</v>
      </c>
      <c r="AM306" s="12">
        <v>1800</v>
      </c>
      <c r="AN306" s="12">
        <v>87</v>
      </c>
      <c r="AO306" s="12">
        <v>130.5</v>
      </c>
      <c r="AP306" s="12">
        <v>30</v>
      </c>
      <c r="AQ306" s="12">
        <v>39</v>
      </c>
      <c r="AR306" s="12">
        <v>203</v>
      </c>
      <c r="AS306" s="12">
        <v>243.6</v>
      </c>
      <c r="AT306" s="12">
        <v>12</v>
      </c>
      <c r="AU306" s="12">
        <v>6.36</v>
      </c>
      <c r="AV306" s="12">
        <v>2700</v>
      </c>
      <c r="AW306" s="12">
        <v>2700</v>
      </c>
      <c r="AX306" s="12">
        <v>165</v>
      </c>
      <c r="AY306" s="12">
        <v>247.5</v>
      </c>
      <c r="AZ306" s="12">
        <v>30</v>
      </c>
      <c r="BA306" s="12">
        <v>39</v>
      </c>
    </row>
    <row r="307" spans="1:53" x14ac:dyDescent="0.3">
      <c r="A307" s="12" t="s">
        <v>70</v>
      </c>
      <c r="B307" s="16">
        <v>42020</v>
      </c>
      <c r="C307" s="12" t="s">
        <v>683</v>
      </c>
      <c r="D307" s="12">
        <v>494702</v>
      </c>
      <c r="E307" s="13">
        <v>593642.4</v>
      </c>
      <c r="F307" s="12">
        <v>454</v>
      </c>
      <c r="G307" s="12">
        <v>240.62</v>
      </c>
      <c r="H307" s="12">
        <v>52050</v>
      </c>
      <c r="I307" s="12">
        <v>52050</v>
      </c>
      <c r="J307" s="12">
        <v>1509</v>
      </c>
      <c r="K307" s="12">
        <v>2263.5</v>
      </c>
      <c r="L307" s="12" t="s">
        <v>73</v>
      </c>
      <c r="M307" s="12">
        <v>0</v>
      </c>
      <c r="N307" s="12">
        <v>499406</v>
      </c>
      <c r="O307" s="12">
        <v>599287.19999999995</v>
      </c>
      <c r="P307" s="12">
        <v>505</v>
      </c>
      <c r="Q307" s="12">
        <v>267.65000000000003</v>
      </c>
      <c r="R307" s="12">
        <v>42635</v>
      </c>
      <c r="S307" s="12">
        <v>42635</v>
      </c>
      <c r="T307" s="12">
        <v>1547</v>
      </c>
      <c r="U307" s="12">
        <v>2320.5</v>
      </c>
      <c r="V307" s="12" t="s">
        <v>73</v>
      </c>
      <c r="W307" s="12">
        <v>0</v>
      </c>
      <c r="X307" s="12">
        <v>494241</v>
      </c>
      <c r="Y307" s="12">
        <v>593089.19999999995</v>
      </c>
      <c r="Z307" s="12">
        <v>528</v>
      </c>
      <c r="AA307" s="12">
        <v>279.84000000000003</v>
      </c>
      <c r="AB307" s="12">
        <v>65174</v>
      </c>
      <c r="AC307" s="12">
        <v>65174</v>
      </c>
      <c r="AD307" s="12">
        <v>7877</v>
      </c>
      <c r="AE307" s="12">
        <v>11815.5</v>
      </c>
      <c r="AF307" s="12">
        <v>345</v>
      </c>
      <c r="AG307" s="12">
        <v>448.5</v>
      </c>
      <c r="AH307" s="12">
        <v>524727</v>
      </c>
      <c r="AI307" s="12">
        <v>629672.4</v>
      </c>
      <c r="AJ307" s="12">
        <v>414</v>
      </c>
      <c r="AK307" s="12">
        <v>219.42000000000002</v>
      </c>
      <c r="AL307" s="12">
        <v>65586</v>
      </c>
      <c r="AM307" s="12">
        <v>65586</v>
      </c>
      <c r="AN307" s="12">
        <v>10896</v>
      </c>
      <c r="AO307" s="12">
        <v>16344</v>
      </c>
      <c r="AP307" s="12">
        <v>480</v>
      </c>
      <c r="AQ307" s="12">
        <v>624</v>
      </c>
      <c r="AR307" s="12">
        <v>457445</v>
      </c>
      <c r="AS307" s="12">
        <v>548934</v>
      </c>
      <c r="AT307" s="12">
        <v>52</v>
      </c>
      <c r="AU307" s="12">
        <v>27.560000000000002</v>
      </c>
      <c r="AV307" s="12">
        <v>31816</v>
      </c>
      <c r="AW307" s="12">
        <v>31816</v>
      </c>
      <c r="AX307" s="12">
        <v>5829</v>
      </c>
      <c r="AY307" s="12">
        <v>8743.5</v>
      </c>
      <c r="AZ307" s="12">
        <v>288</v>
      </c>
      <c r="BA307" s="12">
        <v>374.40000000000003</v>
      </c>
    </row>
    <row r="308" spans="1:53" x14ac:dyDescent="0.3">
      <c r="A308" s="12" t="s">
        <v>74</v>
      </c>
      <c r="B308" s="16">
        <v>4201406</v>
      </c>
      <c r="C308" s="12" t="s">
        <v>685</v>
      </c>
      <c r="D308" s="12">
        <v>41452</v>
      </c>
      <c r="E308" s="13">
        <v>49742.400000000001</v>
      </c>
      <c r="F308" s="12">
        <v>48</v>
      </c>
      <c r="G308" s="12">
        <v>25.44</v>
      </c>
      <c r="H308" s="12">
        <v>6000</v>
      </c>
      <c r="I308" s="12">
        <v>6000</v>
      </c>
      <c r="J308" s="12">
        <v>972</v>
      </c>
      <c r="K308" s="12">
        <v>1458</v>
      </c>
      <c r="L308" s="12" t="s">
        <v>73</v>
      </c>
      <c r="M308" s="12">
        <v>0</v>
      </c>
      <c r="N308" s="12">
        <v>48637</v>
      </c>
      <c r="O308" s="12">
        <v>58364.4</v>
      </c>
      <c r="P308" s="12">
        <v>48</v>
      </c>
      <c r="Q308" s="12">
        <v>25.44</v>
      </c>
      <c r="R308" s="12">
        <v>6000</v>
      </c>
      <c r="S308" s="12">
        <v>6000</v>
      </c>
      <c r="T308" s="12">
        <v>1031</v>
      </c>
      <c r="U308" s="12">
        <v>1546.5</v>
      </c>
      <c r="V308" s="12" t="s">
        <v>73</v>
      </c>
      <c r="W308" s="12">
        <v>0</v>
      </c>
      <c r="X308" s="12">
        <v>45500</v>
      </c>
      <c r="Y308" s="12">
        <v>54600</v>
      </c>
      <c r="Z308" s="12">
        <v>30</v>
      </c>
      <c r="AA308" s="12">
        <v>15.9</v>
      </c>
      <c r="AB308" s="12">
        <v>6555</v>
      </c>
      <c r="AC308" s="12">
        <v>6555</v>
      </c>
      <c r="AD308" s="12">
        <v>1200</v>
      </c>
      <c r="AE308" s="12">
        <v>1800</v>
      </c>
      <c r="AF308" s="12">
        <v>345</v>
      </c>
      <c r="AG308" s="12">
        <v>448.5</v>
      </c>
      <c r="AH308" s="12">
        <v>44216</v>
      </c>
      <c r="AI308" s="12">
        <v>53059.199999999997</v>
      </c>
      <c r="AJ308" s="12">
        <v>30</v>
      </c>
      <c r="AK308" s="12">
        <v>15.9</v>
      </c>
      <c r="AL308" s="12">
        <v>6840</v>
      </c>
      <c r="AM308" s="12">
        <v>6840</v>
      </c>
      <c r="AN308" s="12">
        <v>1440</v>
      </c>
      <c r="AO308" s="12">
        <v>2160</v>
      </c>
      <c r="AP308" s="12">
        <v>480</v>
      </c>
      <c r="AQ308" s="12">
        <v>624</v>
      </c>
      <c r="AR308" s="12">
        <v>40347</v>
      </c>
      <c r="AS308" s="12">
        <v>48416.4</v>
      </c>
      <c r="AT308" s="12" t="s">
        <v>73</v>
      </c>
      <c r="AU308" s="12">
        <v>0</v>
      </c>
      <c r="AV308" s="12">
        <v>3990</v>
      </c>
      <c r="AW308" s="12">
        <v>3990</v>
      </c>
      <c r="AX308" s="12">
        <v>1404</v>
      </c>
      <c r="AY308" s="12">
        <v>2106</v>
      </c>
      <c r="AZ308" s="12">
        <v>288</v>
      </c>
      <c r="BA308" s="12">
        <v>374.40000000000003</v>
      </c>
    </row>
    <row r="309" spans="1:53" x14ac:dyDescent="0.3">
      <c r="A309" s="12" t="s">
        <v>74</v>
      </c>
      <c r="B309" s="16">
        <v>4201950</v>
      </c>
      <c r="C309" s="12" t="s">
        <v>687</v>
      </c>
      <c r="D309" s="12" t="s">
        <v>525</v>
      </c>
      <c r="E309" s="13">
        <v>0</v>
      </c>
      <c r="F309" s="12" t="s">
        <v>525</v>
      </c>
      <c r="G309" s="12">
        <v>0</v>
      </c>
      <c r="H309" s="12" t="s">
        <v>525</v>
      </c>
      <c r="I309" s="12" t="s">
        <v>525</v>
      </c>
      <c r="J309" s="12" t="s">
        <v>525</v>
      </c>
      <c r="K309" s="12">
        <v>0</v>
      </c>
      <c r="L309" s="12" t="s">
        <v>525</v>
      </c>
      <c r="M309" s="12">
        <v>0</v>
      </c>
      <c r="N309" s="12" t="s">
        <v>525</v>
      </c>
      <c r="O309" s="12">
        <v>0</v>
      </c>
      <c r="P309" s="12" t="s">
        <v>525</v>
      </c>
      <c r="Q309" s="12">
        <v>0</v>
      </c>
      <c r="R309" s="12" t="s">
        <v>525</v>
      </c>
      <c r="S309" s="12" t="s">
        <v>525</v>
      </c>
      <c r="T309" s="12" t="s">
        <v>525</v>
      </c>
      <c r="U309" s="12">
        <v>0</v>
      </c>
      <c r="V309" s="12" t="s">
        <v>525</v>
      </c>
      <c r="W309" s="12">
        <v>0</v>
      </c>
      <c r="X309" s="12" t="s">
        <v>525</v>
      </c>
      <c r="Y309" s="12">
        <v>0</v>
      </c>
      <c r="Z309" s="12" t="s">
        <v>525</v>
      </c>
      <c r="AA309" s="12">
        <v>0</v>
      </c>
      <c r="AB309" s="12" t="s">
        <v>525</v>
      </c>
      <c r="AC309" s="12" t="s">
        <v>525</v>
      </c>
      <c r="AD309" s="12" t="s">
        <v>525</v>
      </c>
      <c r="AE309" s="12">
        <v>0</v>
      </c>
      <c r="AF309" s="12" t="s">
        <v>525</v>
      </c>
      <c r="AG309" s="12">
        <v>0</v>
      </c>
      <c r="AH309" s="12" t="s">
        <v>525</v>
      </c>
      <c r="AI309" s="12">
        <v>0</v>
      </c>
      <c r="AJ309" s="12" t="s">
        <v>525</v>
      </c>
      <c r="AK309" s="12">
        <v>0</v>
      </c>
      <c r="AL309" s="12" t="s">
        <v>525</v>
      </c>
      <c r="AM309" s="12" t="s">
        <v>525</v>
      </c>
      <c r="AN309" s="12" t="s">
        <v>525</v>
      </c>
      <c r="AO309" s="12">
        <v>0</v>
      </c>
      <c r="AP309" s="12" t="s">
        <v>525</v>
      </c>
      <c r="AQ309" s="12">
        <v>0</v>
      </c>
      <c r="AR309" s="12" t="s">
        <v>525</v>
      </c>
      <c r="AS309" s="12">
        <v>0</v>
      </c>
      <c r="AT309" s="12" t="s">
        <v>525</v>
      </c>
      <c r="AU309" s="12">
        <v>0</v>
      </c>
      <c r="AV309" s="12" t="s">
        <v>525</v>
      </c>
      <c r="AW309" s="12" t="s">
        <v>525</v>
      </c>
      <c r="AX309" s="12" t="s">
        <v>525</v>
      </c>
      <c r="AY309" s="12">
        <v>0</v>
      </c>
      <c r="AZ309" s="12" t="s">
        <v>525</v>
      </c>
      <c r="BA309" s="12">
        <v>0</v>
      </c>
    </row>
    <row r="310" spans="1:53" x14ac:dyDescent="0.3">
      <c r="A310" s="12" t="s">
        <v>74</v>
      </c>
      <c r="B310" s="16">
        <v>4202073</v>
      </c>
      <c r="C310" s="12" t="s">
        <v>689</v>
      </c>
      <c r="D310" s="12" t="s">
        <v>73</v>
      </c>
      <c r="E310" s="13">
        <v>0</v>
      </c>
      <c r="F310" s="12">
        <v>10</v>
      </c>
      <c r="G310" s="12">
        <v>5.3000000000000007</v>
      </c>
      <c r="H310" s="12" t="s">
        <v>73</v>
      </c>
      <c r="I310" s="12" t="s">
        <v>73</v>
      </c>
      <c r="J310" s="12" t="s">
        <v>73</v>
      </c>
      <c r="K310" s="12">
        <v>0</v>
      </c>
      <c r="L310" s="12" t="s">
        <v>73</v>
      </c>
      <c r="M310" s="12">
        <v>0</v>
      </c>
      <c r="N310" s="12" t="s">
        <v>73</v>
      </c>
      <c r="O310" s="12">
        <v>0</v>
      </c>
      <c r="P310" s="12">
        <v>13</v>
      </c>
      <c r="Q310" s="12">
        <v>6.8900000000000006</v>
      </c>
      <c r="R310" s="12" t="s">
        <v>73</v>
      </c>
      <c r="S310" s="12" t="s">
        <v>73</v>
      </c>
      <c r="T310" s="12" t="s">
        <v>73</v>
      </c>
      <c r="U310" s="12">
        <v>0</v>
      </c>
      <c r="V310" s="12" t="s">
        <v>73</v>
      </c>
      <c r="W310" s="12">
        <v>0</v>
      </c>
      <c r="X310" s="12" t="s">
        <v>73</v>
      </c>
      <c r="Y310" s="12">
        <v>0</v>
      </c>
      <c r="Z310" s="12">
        <v>10</v>
      </c>
      <c r="AA310" s="12">
        <v>5.3000000000000007</v>
      </c>
      <c r="AB310" s="12">
        <v>900</v>
      </c>
      <c r="AC310" s="12">
        <v>900</v>
      </c>
      <c r="AD310" s="12">
        <v>522</v>
      </c>
      <c r="AE310" s="12">
        <v>783</v>
      </c>
      <c r="AF310" s="12" t="s">
        <v>73</v>
      </c>
      <c r="AG310" s="12">
        <v>0</v>
      </c>
      <c r="AH310" s="12" t="s">
        <v>73</v>
      </c>
      <c r="AI310" s="12">
        <v>0</v>
      </c>
      <c r="AJ310" s="12">
        <v>10</v>
      </c>
      <c r="AK310" s="12">
        <v>5.3000000000000007</v>
      </c>
      <c r="AL310" s="12">
        <v>900</v>
      </c>
      <c r="AM310" s="12">
        <v>900</v>
      </c>
      <c r="AN310" s="12">
        <v>450</v>
      </c>
      <c r="AO310" s="12">
        <v>675</v>
      </c>
      <c r="AP310" s="12" t="s">
        <v>73</v>
      </c>
      <c r="AQ310" s="12">
        <v>0</v>
      </c>
      <c r="AR310" s="12" t="s">
        <v>73</v>
      </c>
      <c r="AS310" s="12">
        <v>0</v>
      </c>
      <c r="AT310" s="12" t="s">
        <v>73</v>
      </c>
      <c r="AU310" s="12">
        <v>0</v>
      </c>
      <c r="AV310" s="12">
        <v>165</v>
      </c>
      <c r="AW310" s="12">
        <v>165</v>
      </c>
      <c r="AX310" s="12">
        <v>306</v>
      </c>
      <c r="AY310" s="12">
        <v>459</v>
      </c>
      <c r="AZ310" s="12" t="s">
        <v>73</v>
      </c>
      <c r="BA310" s="12">
        <v>0</v>
      </c>
    </row>
    <row r="311" spans="1:53" x14ac:dyDescent="0.3">
      <c r="A311" s="12" t="s">
        <v>74</v>
      </c>
      <c r="B311" s="16">
        <v>4205191</v>
      </c>
      <c r="C311" s="12" t="s">
        <v>691</v>
      </c>
      <c r="D311" s="12">
        <v>30816</v>
      </c>
      <c r="E311" s="13">
        <v>36979.199999999997</v>
      </c>
      <c r="F311" s="12">
        <v>25</v>
      </c>
      <c r="G311" s="12">
        <v>13.25</v>
      </c>
      <c r="H311" s="12">
        <v>3240</v>
      </c>
      <c r="I311" s="12">
        <v>3240</v>
      </c>
      <c r="J311" s="12">
        <v>246</v>
      </c>
      <c r="K311" s="12">
        <v>369</v>
      </c>
      <c r="L311" s="12" t="s">
        <v>73</v>
      </c>
      <c r="M311" s="12">
        <v>0</v>
      </c>
      <c r="N311" s="12">
        <v>27392</v>
      </c>
      <c r="O311" s="12">
        <v>32870.400000000001</v>
      </c>
      <c r="P311" s="12">
        <v>27</v>
      </c>
      <c r="Q311" s="12">
        <v>14.31</v>
      </c>
      <c r="R311" s="12">
        <v>2031</v>
      </c>
      <c r="S311" s="12">
        <v>2031</v>
      </c>
      <c r="T311" s="12">
        <v>162</v>
      </c>
      <c r="U311" s="12">
        <v>243</v>
      </c>
      <c r="V311" s="12" t="s">
        <v>73</v>
      </c>
      <c r="W311" s="12">
        <v>0</v>
      </c>
      <c r="X311" s="12">
        <v>30900</v>
      </c>
      <c r="Y311" s="12">
        <v>37080</v>
      </c>
      <c r="Z311" s="12">
        <v>126</v>
      </c>
      <c r="AA311" s="12">
        <v>66.78</v>
      </c>
      <c r="AB311" s="12">
        <v>3630</v>
      </c>
      <c r="AC311" s="12">
        <v>3630</v>
      </c>
      <c r="AD311" s="12">
        <v>792</v>
      </c>
      <c r="AE311" s="12">
        <v>1188</v>
      </c>
      <c r="AF311" s="12" t="s">
        <v>73</v>
      </c>
      <c r="AG311" s="12">
        <v>0</v>
      </c>
      <c r="AH311" s="12">
        <v>30248</v>
      </c>
      <c r="AI311" s="12">
        <v>36297.599999999999</v>
      </c>
      <c r="AJ311" s="12">
        <v>90</v>
      </c>
      <c r="AK311" s="12">
        <v>47.7</v>
      </c>
      <c r="AL311" s="12">
        <v>3240</v>
      </c>
      <c r="AM311" s="12">
        <v>3240</v>
      </c>
      <c r="AN311" s="12">
        <v>972</v>
      </c>
      <c r="AO311" s="12">
        <v>1458</v>
      </c>
      <c r="AP311" s="12" t="s">
        <v>73</v>
      </c>
      <c r="AQ311" s="12">
        <v>0</v>
      </c>
      <c r="AR311" s="12">
        <v>26592</v>
      </c>
      <c r="AS311" s="12">
        <v>31910.399999999998</v>
      </c>
      <c r="AT311" s="12" t="s">
        <v>73</v>
      </c>
      <c r="AU311" s="12">
        <v>0</v>
      </c>
      <c r="AV311" s="12">
        <v>1620</v>
      </c>
      <c r="AW311" s="12">
        <v>1620</v>
      </c>
      <c r="AX311" s="12">
        <v>450</v>
      </c>
      <c r="AY311" s="12">
        <v>675</v>
      </c>
      <c r="AZ311" s="12" t="s">
        <v>73</v>
      </c>
      <c r="BA311" s="12">
        <v>0</v>
      </c>
    </row>
    <row r="312" spans="1:53" x14ac:dyDescent="0.3">
      <c r="A312" s="12" t="s">
        <v>74</v>
      </c>
      <c r="B312" s="16">
        <v>4208708</v>
      </c>
      <c r="C312" s="12" t="s">
        <v>693</v>
      </c>
      <c r="D312" s="12">
        <v>66462</v>
      </c>
      <c r="E312" s="13">
        <v>79754.399999999994</v>
      </c>
      <c r="F312" s="12">
        <v>15</v>
      </c>
      <c r="G312" s="12">
        <v>7.95</v>
      </c>
      <c r="H312" s="12">
        <v>6480</v>
      </c>
      <c r="I312" s="12">
        <v>6480</v>
      </c>
      <c r="J312" s="12" t="s">
        <v>73</v>
      </c>
      <c r="K312" s="12">
        <v>0</v>
      </c>
      <c r="L312" s="12" t="s">
        <v>73</v>
      </c>
      <c r="M312" s="12">
        <v>0</v>
      </c>
      <c r="N312" s="12">
        <v>66865</v>
      </c>
      <c r="O312" s="12">
        <v>80238</v>
      </c>
      <c r="P312" s="12">
        <v>15</v>
      </c>
      <c r="Q312" s="12">
        <v>7.95</v>
      </c>
      <c r="R312" s="12">
        <v>4125</v>
      </c>
      <c r="S312" s="12">
        <v>4125</v>
      </c>
      <c r="T312" s="12" t="s">
        <v>73</v>
      </c>
      <c r="U312" s="12">
        <v>0</v>
      </c>
      <c r="V312" s="12" t="s">
        <v>73</v>
      </c>
      <c r="W312" s="12">
        <v>0</v>
      </c>
      <c r="X312" s="12">
        <v>64448</v>
      </c>
      <c r="Y312" s="12">
        <v>77337.599999999991</v>
      </c>
      <c r="Z312" s="12">
        <v>11</v>
      </c>
      <c r="AA312" s="12">
        <v>5.83</v>
      </c>
      <c r="AB312" s="12">
        <v>7134</v>
      </c>
      <c r="AC312" s="12">
        <v>7134</v>
      </c>
      <c r="AD312" s="12">
        <v>144</v>
      </c>
      <c r="AE312" s="12">
        <v>216</v>
      </c>
      <c r="AF312" s="12" t="s">
        <v>73</v>
      </c>
      <c r="AG312" s="12">
        <v>0</v>
      </c>
      <c r="AH312" s="12">
        <v>67670</v>
      </c>
      <c r="AI312" s="12">
        <v>81204</v>
      </c>
      <c r="AJ312" s="12">
        <v>16</v>
      </c>
      <c r="AK312" s="12">
        <v>8.48</v>
      </c>
      <c r="AL312" s="12">
        <v>7830</v>
      </c>
      <c r="AM312" s="12">
        <v>7830</v>
      </c>
      <c r="AN312" s="12">
        <v>225</v>
      </c>
      <c r="AO312" s="12">
        <v>337.5</v>
      </c>
      <c r="AP312" s="12" t="s">
        <v>73</v>
      </c>
      <c r="AQ312" s="12">
        <v>0</v>
      </c>
      <c r="AR312" s="12">
        <v>66462</v>
      </c>
      <c r="AS312" s="12">
        <v>79754.399999999994</v>
      </c>
      <c r="AT312" s="12" t="s">
        <v>73</v>
      </c>
      <c r="AU312" s="12">
        <v>0</v>
      </c>
      <c r="AV312" s="12">
        <v>4698</v>
      </c>
      <c r="AW312" s="12">
        <v>4698</v>
      </c>
      <c r="AX312" s="12">
        <v>90</v>
      </c>
      <c r="AY312" s="12">
        <v>135</v>
      </c>
      <c r="AZ312" s="12" t="s">
        <v>73</v>
      </c>
      <c r="BA312" s="12">
        <v>0</v>
      </c>
    </row>
    <row r="313" spans="1:53" x14ac:dyDescent="0.3">
      <c r="A313" s="12" t="s">
        <v>74</v>
      </c>
      <c r="B313" s="16">
        <v>4210407</v>
      </c>
      <c r="C313" s="12" t="s">
        <v>695</v>
      </c>
      <c r="D313" s="12">
        <v>14800</v>
      </c>
      <c r="E313" s="13">
        <v>17760</v>
      </c>
      <c r="F313" s="12">
        <v>20</v>
      </c>
      <c r="G313" s="12">
        <v>10.600000000000001</v>
      </c>
      <c r="H313" s="12">
        <v>1080</v>
      </c>
      <c r="I313" s="12">
        <v>1080</v>
      </c>
      <c r="J313" s="12">
        <v>36</v>
      </c>
      <c r="K313" s="12">
        <v>54</v>
      </c>
      <c r="L313" s="12" t="s">
        <v>73</v>
      </c>
      <c r="M313" s="12">
        <v>0</v>
      </c>
      <c r="N313" s="12">
        <v>16280</v>
      </c>
      <c r="O313" s="12">
        <v>19536</v>
      </c>
      <c r="P313" s="12">
        <v>19</v>
      </c>
      <c r="Q313" s="12">
        <v>10.07</v>
      </c>
      <c r="R313" s="12">
        <v>1215</v>
      </c>
      <c r="S313" s="12">
        <v>1215</v>
      </c>
      <c r="T313" s="12" t="s">
        <v>73</v>
      </c>
      <c r="U313" s="12">
        <v>0</v>
      </c>
      <c r="V313" s="12" t="s">
        <v>73</v>
      </c>
      <c r="W313" s="12">
        <v>0</v>
      </c>
      <c r="X313" s="12">
        <v>15355</v>
      </c>
      <c r="Y313" s="12">
        <v>18426</v>
      </c>
      <c r="Z313" s="12">
        <v>15</v>
      </c>
      <c r="AA313" s="12">
        <v>7.95</v>
      </c>
      <c r="AB313" s="12">
        <v>1950</v>
      </c>
      <c r="AC313" s="12">
        <v>1950</v>
      </c>
      <c r="AD313" s="12">
        <v>252</v>
      </c>
      <c r="AE313" s="12">
        <v>378</v>
      </c>
      <c r="AF313" s="12" t="s">
        <v>73</v>
      </c>
      <c r="AG313" s="12">
        <v>0</v>
      </c>
      <c r="AH313" s="12">
        <v>17482</v>
      </c>
      <c r="AI313" s="12">
        <v>20978.399999999998</v>
      </c>
      <c r="AJ313" s="12">
        <v>20</v>
      </c>
      <c r="AK313" s="12">
        <v>10.600000000000001</v>
      </c>
      <c r="AL313" s="12">
        <v>1800</v>
      </c>
      <c r="AM313" s="12">
        <v>1800</v>
      </c>
      <c r="AN313" s="12">
        <v>564</v>
      </c>
      <c r="AO313" s="12">
        <v>846</v>
      </c>
      <c r="AP313" s="12" t="s">
        <v>73</v>
      </c>
      <c r="AQ313" s="12">
        <v>0</v>
      </c>
      <c r="AR313" s="12">
        <v>13875</v>
      </c>
      <c r="AS313" s="12">
        <v>16650</v>
      </c>
      <c r="AT313" s="12" t="s">
        <v>73</v>
      </c>
      <c r="AU313" s="12">
        <v>0</v>
      </c>
      <c r="AV313" s="12">
        <v>1260</v>
      </c>
      <c r="AW313" s="12">
        <v>1260</v>
      </c>
      <c r="AX313" s="12">
        <v>420</v>
      </c>
      <c r="AY313" s="12">
        <v>630</v>
      </c>
      <c r="AZ313" s="12" t="s">
        <v>73</v>
      </c>
      <c r="BA313" s="12">
        <v>0</v>
      </c>
    </row>
    <row r="314" spans="1:53" x14ac:dyDescent="0.3">
      <c r="A314" s="12" t="s">
        <v>74</v>
      </c>
      <c r="B314" s="16">
        <v>4210803</v>
      </c>
      <c r="C314" s="12" t="s">
        <v>697</v>
      </c>
      <c r="D314" s="12">
        <v>90543</v>
      </c>
      <c r="E314" s="13">
        <v>108651.59999999999</v>
      </c>
      <c r="F314" s="12">
        <v>90</v>
      </c>
      <c r="G314" s="12">
        <v>47.7</v>
      </c>
      <c r="H314" s="12">
        <v>5937</v>
      </c>
      <c r="I314" s="12">
        <v>5937</v>
      </c>
      <c r="J314" s="12">
        <v>150</v>
      </c>
      <c r="K314" s="12">
        <v>225</v>
      </c>
      <c r="L314" s="12" t="s">
        <v>73</v>
      </c>
      <c r="M314" s="12">
        <v>0</v>
      </c>
      <c r="N314" s="12">
        <v>90543</v>
      </c>
      <c r="O314" s="12">
        <v>108651.59999999999</v>
      </c>
      <c r="P314" s="12">
        <v>120</v>
      </c>
      <c r="Q314" s="12">
        <v>63.6</v>
      </c>
      <c r="R314" s="12">
        <v>6270</v>
      </c>
      <c r="S314" s="12">
        <v>6270</v>
      </c>
      <c r="T314" s="12">
        <v>150</v>
      </c>
      <c r="U314" s="12">
        <v>225</v>
      </c>
      <c r="V314" s="12" t="s">
        <v>73</v>
      </c>
      <c r="W314" s="12">
        <v>0</v>
      </c>
      <c r="X314" s="12">
        <v>93836</v>
      </c>
      <c r="Y314" s="12">
        <v>112603.2</v>
      </c>
      <c r="Z314" s="12">
        <v>60</v>
      </c>
      <c r="AA314" s="12">
        <v>31.8</v>
      </c>
      <c r="AB314" s="12">
        <v>5760</v>
      </c>
      <c r="AC314" s="12">
        <v>5760</v>
      </c>
      <c r="AD314" s="12">
        <v>1560</v>
      </c>
      <c r="AE314" s="12">
        <v>2340</v>
      </c>
      <c r="AF314" s="12" t="s">
        <v>73</v>
      </c>
      <c r="AG314" s="12">
        <v>0</v>
      </c>
      <c r="AH314" s="12">
        <v>96580</v>
      </c>
      <c r="AI314" s="12">
        <v>115896</v>
      </c>
      <c r="AJ314" s="12">
        <v>60</v>
      </c>
      <c r="AK314" s="12">
        <v>31.8</v>
      </c>
      <c r="AL314" s="12">
        <v>6120</v>
      </c>
      <c r="AM314" s="12">
        <v>6120</v>
      </c>
      <c r="AN314" s="12">
        <v>1920</v>
      </c>
      <c r="AO314" s="12">
        <v>2880</v>
      </c>
      <c r="AP314" s="12" t="s">
        <v>73</v>
      </c>
      <c r="AQ314" s="12">
        <v>0</v>
      </c>
      <c r="AR314" s="12">
        <v>92739</v>
      </c>
      <c r="AS314" s="12">
        <v>111286.8</v>
      </c>
      <c r="AT314" s="12">
        <v>50</v>
      </c>
      <c r="AU314" s="12">
        <v>26.5</v>
      </c>
      <c r="AV314" s="12">
        <v>6720</v>
      </c>
      <c r="AW314" s="12">
        <v>6720</v>
      </c>
      <c r="AX314" s="12">
        <v>840</v>
      </c>
      <c r="AY314" s="12">
        <v>1260</v>
      </c>
      <c r="AZ314" s="12" t="s">
        <v>73</v>
      </c>
      <c r="BA314" s="12">
        <v>0</v>
      </c>
    </row>
    <row r="315" spans="1:53" x14ac:dyDescent="0.3">
      <c r="A315" s="12" t="s">
        <v>74</v>
      </c>
      <c r="B315" s="16">
        <v>4211256</v>
      </c>
      <c r="C315" s="12" t="s">
        <v>699</v>
      </c>
      <c r="D315" s="12">
        <v>25509</v>
      </c>
      <c r="E315" s="13">
        <v>30610.799999999999</v>
      </c>
      <c r="F315" s="12">
        <v>25</v>
      </c>
      <c r="G315" s="12">
        <v>13.25</v>
      </c>
      <c r="H315" s="12">
        <v>3360</v>
      </c>
      <c r="I315" s="12">
        <v>3360</v>
      </c>
      <c r="J315" s="12" t="s">
        <v>73</v>
      </c>
      <c r="K315" s="12">
        <v>0</v>
      </c>
      <c r="L315" s="12" t="s">
        <v>73</v>
      </c>
      <c r="M315" s="12">
        <v>0</v>
      </c>
      <c r="N315" s="12">
        <v>25663</v>
      </c>
      <c r="O315" s="12">
        <v>30795.599999999999</v>
      </c>
      <c r="P315" s="12">
        <v>25</v>
      </c>
      <c r="Q315" s="12">
        <v>13.25</v>
      </c>
      <c r="R315" s="12">
        <v>2208</v>
      </c>
      <c r="S315" s="12">
        <v>2208</v>
      </c>
      <c r="T315" s="12" t="s">
        <v>73</v>
      </c>
      <c r="U315" s="12">
        <v>0</v>
      </c>
      <c r="V315" s="12" t="s">
        <v>73</v>
      </c>
      <c r="W315" s="12">
        <v>0</v>
      </c>
      <c r="X315" s="12">
        <v>26505</v>
      </c>
      <c r="Y315" s="12">
        <v>31806</v>
      </c>
      <c r="Z315" s="12">
        <v>15</v>
      </c>
      <c r="AA315" s="12">
        <v>7.95</v>
      </c>
      <c r="AB315" s="12">
        <v>5265</v>
      </c>
      <c r="AC315" s="12">
        <v>5265</v>
      </c>
      <c r="AD315" s="12">
        <v>108</v>
      </c>
      <c r="AE315" s="12">
        <v>162</v>
      </c>
      <c r="AF315" s="12" t="s">
        <v>73</v>
      </c>
      <c r="AG315" s="12">
        <v>0</v>
      </c>
      <c r="AH315" s="12">
        <v>27125</v>
      </c>
      <c r="AI315" s="12">
        <v>32550</v>
      </c>
      <c r="AJ315" s="12">
        <v>15</v>
      </c>
      <c r="AK315" s="12">
        <v>7.95</v>
      </c>
      <c r="AL315" s="12">
        <v>4680</v>
      </c>
      <c r="AM315" s="12">
        <v>4680</v>
      </c>
      <c r="AN315" s="12">
        <v>108</v>
      </c>
      <c r="AO315" s="12">
        <v>162</v>
      </c>
      <c r="AP315" s="12" t="s">
        <v>73</v>
      </c>
      <c r="AQ315" s="12">
        <v>0</v>
      </c>
      <c r="AR315" s="12">
        <v>25265</v>
      </c>
      <c r="AS315" s="12">
        <v>30318</v>
      </c>
      <c r="AT315" s="12" t="s">
        <v>73</v>
      </c>
      <c r="AU315" s="12">
        <v>0</v>
      </c>
      <c r="AV315" s="12">
        <v>1650</v>
      </c>
      <c r="AW315" s="12">
        <v>1650</v>
      </c>
      <c r="AX315" s="12">
        <v>168</v>
      </c>
      <c r="AY315" s="12">
        <v>252</v>
      </c>
      <c r="AZ315" s="12" t="s">
        <v>73</v>
      </c>
      <c r="BA315" s="12">
        <v>0</v>
      </c>
    </row>
    <row r="316" spans="1:53" x14ac:dyDescent="0.3">
      <c r="A316" s="12" t="s">
        <v>74</v>
      </c>
      <c r="B316" s="16">
        <v>4212254</v>
      </c>
      <c r="C316" s="12" t="s">
        <v>701</v>
      </c>
      <c r="D316" s="12">
        <v>4152</v>
      </c>
      <c r="E316" s="13">
        <v>4982.3999999999996</v>
      </c>
      <c r="F316" s="12" t="s">
        <v>73</v>
      </c>
      <c r="G316" s="12">
        <v>0</v>
      </c>
      <c r="H316" s="12">
        <v>120</v>
      </c>
      <c r="I316" s="12">
        <v>120</v>
      </c>
      <c r="J316" s="12" t="s">
        <v>73</v>
      </c>
      <c r="K316" s="12">
        <v>0</v>
      </c>
      <c r="L316" s="12" t="s">
        <v>73</v>
      </c>
      <c r="M316" s="12">
        <v>0</v>
      </c>
      <c r="N316" s="12">
        <v>4152</v>
      </c>
      <c r="O316" s="12">
        <v>4982.3999999999996</v>
      </c>
      <c r="P316" s="12" t="s">
        <v>73</v>
      </c>
      <c r="Q316" s="12">
        <v>0</v>
      </c>
      <c r="R316" s="12">
        <v>120</v>
      </c>
      <c r="S316" s="12">
        <v>120</v>
      </c>
      <c r="T316" s="12" t="s">
        <v>73</v>
      </c>
      <c r="U316" s="12">
        <v>0</v>
      </c>
      <c r="V316" s="12" t="s">
        <v>73</v>
      </c>
      <c r="W316" s="12">
        <v>0</v>
      </c>
      <c r="X316" s="12">
        <v>4498</v>
      </c>
      <c r="Y316" s="12">
        <v>5397.5999999999995</v>
      </c>
      <c r="Z316" s="12" t="s">
        <v>73</v>
      </c>
      <c r="AA316" s="12">
        <v>0</v>
      </c>
      <c r="AB316" s="12">
        <v>375</v>
      </c>
      <c r="AC316" s="12">
        <v>375</v>
      </c>
      <c r="AD316" s="12">
        <v>495</v>
      </c>
      <c r="AE316" s="12">
        <v>742.5</v>
      </c>
      <c r="AF316" s="12" t="s">
        <v>73</v>
      </c>
      <c r="AG316" s="12">
        <v>0</v>
      </c>
      <c r="AH316" s="12">
        <v>4982</v>
      </c>
      <c r="AI316" s="12">
        <v>5978.4</v>
      </c>
      <c r="AJ316" s="12" t="s">
        <v>73</v>
      </c>
      <c r="AK316" s="12">
        <v>0</v>
      </c>
      <c r="AL316" s="12">
        <v>900</v>
      </c>
      <c r="AM316" s="12">
        <v>900</v>
      </c>
      <c r="AN316" s="12">
        <v>558</v>
      </c>
      <c r="AO316" s="12">
        <v>837</v>
      </c>
      <c r="AP316" s="12" t="s">
        <v>73</v>
      </c>
      <c r="AQ316" s="12">
        <v>0</v>
      </c>
      <c r="AR316" s="12">
        <v>4498</v>
      </c>
      <c r="AS316" s="12">
        <v>5397.5999999999995</v>
      </c>
      <c r="AT316" s="12" t="s">
        <v>73</v>
      </c>
      <c r="AU316" s="12">
        <v>0</v>
      </c>
      <c r="AV316" s="12">
        <v>517</v>
      </c>
      <c r="AW316" s="12">
        <v>517</v>
      </c>
      <c r="AX316" s="12">
        <v>558</v>
      </c>
      <c r="AY316" s="12">
        <v>837</v>
      </c>
      <c r="AZ316" s="12" t="s">
        <v>73</v>
      </c>
      <c r="BA316" s="12">
        <v>0</v>
      </c>
    </row>
    <row r="317" spans="1:53" x14ac:dyDescent="0.3">
      <c r="A317" s="12" t="s">
        <v>74</v>
      </c>
      <c r="B317" s="16">
        <v>4213807</v>
      </c>
      <c r="C317" s="12" t="s">
        <v>703</v>
      </c>
      <c r="D317" s="12">
        <v>34020</v>
      </c>
      <c r="E317" s="13">
        <v>40824</v>
      </c>
      <c r="F317" s="12">
        <v>10</v>
      </c>
      <c r="G317" s="12">
        <v>5.3000000000000007</v>
      </c>
      <c r="H317" s="12">
        <v>1980</v>
      </c>
      <c r="I317" s="12">
        <v>1980</v>
      </c>
      <c r="J317" s="12" t="s">
        <v>73</v>
      </c>
      <c r="K317" s="12">
        <v>0</v>
      </c>
      <c r="L317" s="12" t="s">
        <v>73</v>
      </c>
      <c r="M317" s="12">
        <v>0</v>
      </c>
      <c r="N317" s="12">
        <v>36515</v>
      </c>
      <c r="O317" s="12">
        <v>43818</v>
      </c>
      <c r="P317" s="12">
        <v>10</v>
      </c>
      <c r="Q317" s="12">
        <v>5.3000000000000007</v>
      </c>
      <c r="R317" s="12">
        <v>1800</v>
      </c>
      <c r="S317" s="12">
        <v>1800</v>
      </c>
      <c r="T317" s="12" t="s">
        <v>73</v>
      </c>
      <c r="U317" s="12">
        <v>0</v>
      </c>
      <c r="V317" s="12" t="s">
        <v>73</v>
      </c>
      <c r="W317" s="12">
        <v>0</v>
      </c>
      <c r="X317" s="12">
        <v>31752</v>
      </c>
      <c r="Y317" s="12">
        <v>38102.400000000001</v>
      </c>
      <c r="Z317" s="12">
        <v>6</v>
      </c>
      <c r="AA317" s="12">
        <v>3.18</v>
      </c>
      <c r="AB317" s="12">
        <v>3780</v>
      </c>
      <c r="AC317" s="12">
        <v>3780</v>
      </c>
      <c r="AD317" s="12">
        <v>32</v>
      </c>
      <c r="AE317" s="12">
        <v>48</v>
      </c>
      <c r="AF317" s="12" t="s">
        <v>73</v>
      </c>
      <c r="AG317" s="12">
        <v>0</v>
      </c>
      <c r="AH317" s="12">
        <v>40597</v>
      </c>
      <c r="AI317" s="12">
        <v>48716.4</v>
      </c>
      <c r="AJ317" s="12">
        <v>10</v>
      </c>
      <c r="AK317" s="12">
        <v>5.3000000000000007</v>
      </c>
      <c r="AL317" s="12">
        <v>2772</v>
      </c>
      <c r="AM317" s="12">
        <v>2772</v>
      </c>
      <c r="AN317" s="12">
        <v>126</v>
      </c>
      <c r="AO317" s="12">
        <v>189</v>
      </c>
      <c r="AP317" s="12" t="s">
        <v>73</v>
      </c>
      <c r="AQ317" s="12">
        <v>0</v>
      </c>
      <c r="AR317" s="12">
        <v>31752</v>
      </c>
      <c r="AS317" s="12">
        <v>38102.400000000001</v>
      </c>
      <c r="AT317" s="12" t="s">
        <v>73</v>
      </c>
      <c r="AU317" s="12">
        <v>0</v>
      </c>
      <c r="AV317" s="12">
        <v>450</v>
      </c>
      <c r="AW317" s="12">
        <v>450</v>
      </c>
      <c r="AX317" s="12">
        <v>54</v>
      </c>
      <c r="AY317" s="12">
        <v>81</v>
      </c>
      <c r="AZ317" s="12" t="s">
        <v>73</v>
      </c>
      <c r="BA317" s="12">
        <v>0</v>
      </c>
    </row>
    <row r="318" spans="1:53" x14ac:dyDescent="0.3">
      <c r="A318" s="12" t="s">
        <v>74</v>
      </c>
      <c r="B318" s="16">
        <v>4215653</v>
      </c>
      <c r="C318" s="12" t="s">
        <v>705</v>
      </c>
      <c r="D318" s="12">
        <v>5535</v>
      </c>
      <c r="E318" s="13">
        <v>6642</v>
      </c>
      <c r="F318" s="12">
        <v>25</v>
      </c>
      <c r="G318" s="12">
        <v>13.25</v>
      </c>
      <c r="H318" s="12">
        <v>720</v>
      </c>
      <c r="I318" s="12">
        <v>720</v>
      </c>
      <c r="J318" s="12" t="s">
        <v>73</v>
      </c>
      <c r="K318" s="12">
        <v>0</v>
      </c>
      <c r="L318" s="12" t="s">
        <v>73</v>
      </c>
      <c r="M318" s="12">
        <v>0</v>
      </c>
      <c r="N318" s="12">
        <v>6847</v>
      </c>
      <c r="O318" s="12">
        <v>8216.4</v>
      </c>
      <c r="P318" s="12">
        <v>25</v>
      </c>
      <c r="Q318" s="12">
        <v>13.25</v>
      </c>
      <c r="R318" s="12">
        <v>450</v>
      </c>
      <c r="S318" s="12">
        <v>450</v>
      </c>
      <c r="T318" s="12" t="s">
        <v>73</v>
      </c>
      <c r="U318" s="12">
        <v>0</v>
      </c>
      <c r="V318" s="12" t="s">
        <v>73</v>
      </c>
      <c r="W318" s="12">
        <v>0</v>
      </c>
      <c r="X318" s="12">
        <v>6396</v>
      </c>
      <c r="Y318" s="12">
        <v>7675.2</v>
      </c>
      <c r="Z318" s="12">
        <v>15</v>
      </c>
      <c r="AA318" s="12">
        <v>7.95</v>
      </c>
      <c r="AB318" s="12">
        <v>780</v>
      </c>
      <c r="AC318" s="12">
        <v>780</v>
      </c>
      <c r="AD318" s="12">
        <v>120</v>
      </c>
      <c r="AE318" s="12">
        <v>180</v>
      </c>
      <c r="AF318" s="12" t="s">
        <v>73</v>
      </c>
      <c r="AG318" s="12">
        <v>0</v>
      </c>
      <c r="AH318" s="12">
        <v>7380</v>
      </c>
      <c r="AI318" s="12">
        <v>8856</v>
      </c>
      <c r="AJ318" s="12">
        <v>37</v>
      </c>
      <c r="AK318" s="12">
        <v>19.61</v>
      </c>
      <c r="AL318" s="12">
        <v>780</v>
      </c>
      <c r="AM318" s="12">
        <v>780</v>
      </c>
      <c r="AN318" s="12">
        <v>600</v>
      </c>
      <c r="AO318" s="12">
        <v>900</v>
      </c>
      <c r="AP318" s="12" t="s">
        <v>73</v>
      </c>
      <c r="AQ318" s="12">
        <v>0</v>
      </c>
      <c r="AR318" s="12">
        <v>5800</v>
      </c>
      <c r="AS318" s="12">
        <v>6960</v>
      </c>
      <c r="AT318" s="12" t="s">
        <v>73</v>
      </c>
      <c r="AU318" s="12">
        <v>0</v>
      </c>
      <c r="AV318" s="12">
        <v>390</v>
      </c>
      <c r="AW318" s="12">
        <v>390</v>
      </c>
      <c r="AX318" s="12">
        <v>180</v>
      </c>
      <c r="AY318" s="12">
        <v>270</v>
      </c>
      <c r="AZ318" s="12" t="s">
        <v>73</v>
      </c>
      <c r="BA318" s="12">
        <v>0</v>
      </c>
    </row>
    <row r="319" spans="1:53" x14ac:dyDescent="0.3">
      <c r="A319" s="12" t="s">
        <v>74</v>
      </c>
      <c r="B319" s="16">
        <v>4216404</v>
      </c>
      <c r="C319" s="12" t="s">
        <v>707</v>
      </c>
      <c r="D319" s="12">
        <v>39510</v>
      </c>
      <c r="E319" s="13">
        <v>47412</v>
      </c>
      <c r="F319" s="12">
        <v>20</v>
      </c>
      <c r="G319" s="12">
        <v>10.600000000000001</v>
      </c>
      <c r="H319" s="12">
        <v>3456</v>
      </c>
      <c r="I319" s="12">
        <v>3456</v>
      </c>
      <c r="J319" s="12" t="s">
        <v>73</v>
      </c>
      <c r="K319" s="12">
        <v>0</v>
      </c>
      <c r="L319" s="12" t="s">
        <v>73</v>
      </c>
      <c r="M319" s="12">
        <v>0</v>
      </c>
      <c r="N319" s="12">
        <v>32024</v>
      </c>
      <c r="O319" s="12">
        <v>38428.799999999996</v>
      </c>
      <c r="P319" s="12">
        <v>20</v>
      </c>
      <c r="Q319" s="12">
        <v>10.600000000000001</v>
      </c>
      <c r="R319" s="12">
        <v>3648</v>
      </c>
      <c r="S319" s="12">
        <v>3648</v>
      </c>
      <c r="T319" s="12" t="s">
        <v>73</v>
      </c>
      <c r="U319" s="12">
        <v>0</v>
      </c>
      <c r="V319" s="12" t="s">
        <v>73</v>
      </c>
      <c r="W319" s="12">
        <v>0</v>
      </c>
      <c r="X319" s="12">
        <v>38470</v>
      </c>
      <c r="Y319" s="12">
        <v>46164</v>
      </c>
      <c r="Z319" s="12">
        <v>25</v>
      </c>
      <c r="AA319" s="12">
        <v>13.25</v>
      </c>
      <c r="AB319" s="12">
        <v>4163</v>
      </c>
      <c r="AC319" s="12">
        <v>4163</v>
      </c>
      <c r="AD319" s="12">
        <v>900</v>
      </c>
      <c r="AE319" s="12">
        <v>1350</v>
      </c>
      <c r="AF319" s="12" t="s">
        <v>73</v>
      </c>
      <c r="AG319" s="12">
        <v>0</v>
      </c>
      <c r="AH319" s="12">
        <v>41590</v>
      </c>
      <c r="AI319" s="12">
        <v>49908</v>
      </c>
      <c r="AJ319" s="12">
        <v>15</v>
      </c>
      <c r="AK319" s="12">
        <v>7.95</v>
      </c>
      <c r="AL319" s="12">
        <v>3960</v>
      </c>
      <c r="AM319" s="12">
        <v>3960</v>
      </c>
      <c r="AN319" s="12">
        <v>900</v>
      </c>
      <c r="AO319" s="12">
        <v>1350</v>
      </c>
      <c r="AP319" s="12" t="s">
        <v>73</v>
      </c>
      <c r="AQ319" s="12">
        <v>0</v>
      </c>
      <c r="AR319" s="12">
        <v>31793</v>
      </c>
      <c r="AS319" s="12">
        <v>38151.599999999999</v>
      </c>
      <c r="AT319" s="12" t="s">
        <v>73</v>
      </c>
      <c r="AU319" s="12">
        <v>0</v>
      </c>
      <c r="AV319" s="12">
        <v>900</v>
      </c>
      <c r="AW319" s="12">
        <v>900</v>
      </c>
      <c r="AX319" s="12">
        <v>180</v>
      </c>
      <c r="AY319" s="12">
        <v>270</v>
      </c>
      <c r="AZ319" s="12" t="s">
        <v>73</v>
      </c>
      <c r="BA319" s="12">
        <v>0</v>
      </c>
    </row>
    <row r="320" spans="1:53" x14ac:dyDescent="0.3">
      <c r="A320" s="12" t="s">
        <v>74</v>
      </c>
      <c r="B320" s="16">
        <v>4217709</v>
      </c>
      <c r="C320" s="12" t="s">
        <v>709</v>
      </c>
      <c r="D320" s="12">
        <v>12571</v>
      </c>
      <c r="E320" s="13">
        <v>15085.199999999999</v>
      </c>
      <c r="F320" s="12">
        <v>20</v>
      </c>
      <c r="G320" s="12">
        <v>10.600000000000001</v>
      </c>
      <c r="H320" s="12">
        <v>4080</v>
      </c>
      <c r="I320" s="12">
        <v>4080</v>
      </c>
      <c r="J320" s="12" t="s">
        <v>73</v>
      </c>
      <c r="K320" s="12">
        <v>0</v>
      </c>
      <c r="L320" s="12" t="s">
        <v>73</v>
      </c>
      <c r="M320" s="12">
        <v>0</v>
      </c>
      <c r="N320" s="12">
        <v>12202</v>
      </c>
      <c r="O320" s="12">
        <v>14642.4</v>
      </c>
      <c r="P320" s="12">
        <v>25</v>
      </c>
      <c r="Q320" s="12">
        <v>13.25</v>
      </c>
      <c r="R320" s="12">
        <v>4335</v>
      </c>
      <c r="S320" s="12">
        <v>4335</v>
      </c>
      <c r="T320" s="12">
        <v>75</v>
      </c>
      <c r="U320" s="12">
        <v>112.5</v>
      </c>
      <c r="V320" s="12" t="s">
        <v>73</v>
      </c>
      <c r="W320" s="12">
        <v>0</v>
      </c>
      <c r="X320" s="12">
        <v>12201</v>
      </c>
      <c r="Y320" s="12">
        <v>14641.199999999999</v>
      </c>
      <c r="Z320" s="12">
        <v>125</v>
      </c>
      <c r="AA320" s="12">
        <v>66.25</v>
      </c>
      <c r="AB320" s="12">
        <v>11760</v>
      </c>
      <c r="AC320" s="12">
        <v>11760</v>
      </c>
      <c r="AD320" s="12">
        <v>450</v>
      </c>
      <c r="AE320" s="12">
        <v>675</v>
      </c>
      <c r="AF320" s="12" t="s">
        <v>73</v>
      </c>
      <c r="AG320" s="12">
        <v>0</v>
      </c>
      <c r="AH320" s="12">
        <v>13465</v>
      </c>
      <c r="AI320" s="12">
        <v>16158</v>
      </c>
      <c r="AJ320" s="12">
        <v>21</v>
      </c>
      <c r="AK320" s="12">
        <v>11.13</v>
      </c>
      <c r="AL320" s="12">
        <v>12735</v>
      </c>
      <c r="AM320" s="12">
        <v>12735</v>
      </c>
      <c r="AN320" s="12">
        <v>1113</v>
      </c>
      <c r="AO320" s="12">
        <v>1669.5</v>
      </c>
      <c r="AP320" s="12" t="s">
        <v>73</v>
      </c>
      <c r="AQ320" s="12">
        <v>0</v>
      </c>
      <c r="AR320" s="12">
        <v>10720</v>
      </c>
      <c r="AS320" s="12">
        <v>12864</v>
      </c>
      <c r="AT320" s="12" t="s">
        <v>73</v>
      </c>
      <c r="AU320" s="12">
        <v>0</v>
      </c>
      <c r="AV320" s="12">
        <v>4290</v>
      </c>
      <c r="AW320" s="12">
        <v>4290</v>
      </c>
      <c r="AX320" s="12">
        <v>342</v>
      </c>
      <c r="AY320" s="12">
        <v>513</v>
      </c>
      <c r="AZ320" s="12" t="s">
        <v>73</v>
      </c>
      <c r="BA320" s="12">
        <v>0</v>
      </c>
    </row>
    <row r="321" spans="1:53" x14ac:dyDescent="0.3">
      <c r="A321" s="12" t="s">
        <v>74</v>
      </c>
      <c r="B321" s="16">
        <v>4218103</v>
      </c>
      <c r="C321" s="12" t="s">
        <v>711</v>
      </c>
      <c r="D321" s="12">
        <v>21051</v>
      </c>
      <c r="E321" s="13">
        <v>25261.200000000001</v>
      </c>
      <c r="F321" s="12">
        <v>58</v>
      </c>
      <c r="G321" s="12">
        <v>30.740000000000002</v>
      </c>
      <c r="H321" s="12">
        <v>4797</v>
      </c>
      <c r="I321" s="12">
        <v>4797</v>
      </c>
      <c r="J321" s="12" t="s">
        <v>73</v>
      </c>
      <c r="K321" s="12">
        <v>0</v>
      </c>
      <c r="L321" s="12" t="s">
        <v>73</v>
      </c>
      <c r="M321" s="12">
        <v>0</v>
      </c>
      <c r="N321" s="12">
        <v>22220</v>
      </c>
      <c r="O321" s="12">
        <v>26664</v>
      </c>
      <c r="P321" s="12">
        <v>100</v>
      </c>
      <c r="Q321" s="12">
        <v>53</v>
      </c>
      <c r="R321" s="12">
        <v>2153</v>
      </c>
      <c r="S321" s="12">
        <v>2153</v>
      </c>
      <c r="T321" s="12" t="s">
        <v>73</v>
      </c>
      <c r="U321" s="12">
        <v>0</v>
      </c>
      <c r="V321" s="12" t="s">
        <v>73</v>
      </c>
      <c r="W321" s="12">
        <v>0</v>
      </c>
      <c r="X321" s="12">
        <v>20100</v>
      </c>
      <c r="Y321" s="12">
        <v>24120</v>
      </c>
      <c r="Z321" s="12">
        <v>50</v>
      </c>
      <c r="AA321" s="12">
        <v>26.5</v>
      </c>
      <c r="AB321" s="12">
        <v>5166</v>
      </c>
      <c r="AC321" s="12">
        <v>5166</v>
      </c>
      <c r="AD321" s="12" t="s">
        <v>73</v>
      </c>
      <c r="AE321" s="12">
        <v>0</v>
      </c>
      <c r="AF321" s="12" t="s">
        <v>73</v>
      </c>
      <c r="AG321" s="12">
        <v>0</v>
      </c>
      <c r="AH321" s="12">
        <v>20817</v>
      </c>
      <c r="AI321" s="12">
        <v>24980.399999999998</v>
      </c>
      <c r="AJ321" s="12">
        <v>50</v>
      </c>
      <c r="AK321" s="12">
        <v>26.5</v>
      </c>
      <c r="AL321" s="12">
        <v>5073</v>
      </c>
      <c r="AM321" s="12">
        <v>5073</v>
      </c>
      <c r="AN321" s="12">
        <v>36</v>
      </c>
      <c r="AO321" s="12">
        <v>54</v>
      </c>
      <c r="AP321" s="12" t="s">
        <v>73</v>
      </c>
      <c r="AQ321" s="12">
        <v>0</v>
      </c>
      <c r="AR321" s="12">
        <v>17542</v>
      </c>
      <c r="AS321" s="12">
        <v>21050.399999999998</v>
      </c>
      <c r="AT321" s="12" t="s">
        <v>73</v>
      </c>
      <c r="AU321" s="12">
        <v>0</v>
      </c>
      <c r="AV321" s="12">
        <v>1890</v>
      </c>
      <c r="AW321" s="12">
        <v>1890</v>
      </c>
      <c r="AX321" s="12">
        <v>27</v>
      </c>
      <c r="AY321" s="12">
        <v>40.5</v>
      </c>
      <c r="AZ321" s="12" t="s">
        <v>73</v>
      </c>
      <c r="BA321" s="12">
        <v>0</v>
      </c>
    </row>
    <row r="322" spans="1:53" x14ac:dyDescent="0.3">
      <c r="A322" s="12" t="s">
        <v>74</v>
      </c>
      <c r="B322" s="16">
        <v>4218806</v>
      </c>
      <c r="C322" s="12" t="s">
        <v>713</v>
      </c>
      <c r="D322" s="12">
        <v>108281</v>
      </c>
      <c r="E322" s="13">
        <v>129937.2</v>
      </c>
      <c r="F322" s="12">
        <v>88</v>
      </c>
      <c r="G322" s="12">
        <v>46.64</v>
      </c>
      <c r="H322" s="12">
        <v>10800</v>
      </c>
      <c r="I322" s="12">
        <v>10800</v>
      </c>
      <c r="J322" s="12">
        <v>105</v>
      </c>
      <c r="K322" s="12">
        <v>157.5</v>
      </c>
      <c r="L322" s="12" t="s">
        <v>73</v>
      </c>
      <c r="M322" s="12">
        <v>0</v>
      </c>
      <c r="N322" s="12">
        <v>110066</v>
      </c>
      <c r="O322" s="12">
        <v>132079.19999999998</v>
      </c>
      <c r="P322" s="12">
        <v>58</v>
      </c>
      <c r="Q322" s="12">
        <v>30.740000000000002</v>
      </c>
      <c r="R322" s="12">
        <v>8280</v>
      </c>
      <c r="S322" s="12">
        <v>8280</v>
      </c>
      <c r="T322" s="12">
        <v>129</v>
      </c>
      <c r="U322" s="12">
        <v>193.5</v>
      </c>
      <c r="V322" s="12" t="s">
        <v>73</v>
      </c>
      <c r="W322" s="12">
        <v>0</v>
      </c>
      <c r="X322" s="12">
        <v>104280</v>
      </c>
      <c r="Y322" s="12">
        <v>125136</v>
      </c>
      <c r="Z322" s="12">
        <v>40</v>
      </c>
      <c r="AA322" s="12">
        <v>21.200000000000003</v>
      </c>
      <c r="AB322" s="12">
        <v>7956</v>
      </c>
      <c r="AC322" s="12">
        <v>7956</v>
      </c>
      <c r="AD322" s="12">
        <v>1302</v>
      </c>
      <c r="AE322" s="12">
        <v>1953</v>
      </c>
      <c r="AF322" s="12" t="s">
        <v>73</v>
      </c>
      <c r="AG322" s="12">
        <v>0</v>
      </c>
      <c r="AH322" s="12">
        <v>112575</v>
      </c>
      <c r="AI322" s="12">
        <v>135090</v>
      </c>
      <c r="AJ322" s="12">
        <v>40</v>
      </c>
      <c r="AK322" s="12">
        <v>21.200000000000003</v>
      </c>
      <c r="AL322" s="12">
        <v>7956</v>
      </c>
      <c r="AM322" s="12">
        <v>7956</v>
      </c>
      <c r="AN322" s="12">
        <v>1884</v>
      </c>
      <c r="AO322" s="12">
        <v>2826</v>
      </c>
      <c r="AP322" s="12" t="s">
        <v>73</v>
      </c>
      <c r="AQ322" s="12">
        <v>0</v>
      </c>
      <c r="AR322" s="12">
        <v>90060</v>
      </c>
      <c r="AS322" s="12">
        <v>108072</v>
      </c>
      <c r="AT322" s="12">
        <v>2</v>
      </c>
      <c r="AU322" s="12">
        <v>1.06</v>
      </c>
      <c r="AV322" s="12">
        <v>3276</v>
      </c>
      <c r="AW322" s="12">
        <v>3276</v>
      </c>
      <c r="AX322" s="12">
        <v>810</v>
      </c>
      <c r="AY322" s="12">
        <v>1215</v>
      </c>
      <c r="AZ322" s="12" t="s">
        <v>73</v>
      </c>
      <c r="BA322" s="12">
        <v>0</v>
      </c>
    </row>
  </sheetData>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5D5187-3DC0-43B6-B849-7ACC9468FAB7}">
  <dimension ref="B2:C51"/>
  <sheetViews>
    <sheetView workbookViewId="0">
      <selection activeCell="B2" sqref="B2:B51"/>
    </sheetView>
  </sheetViews>
  <sheetFormatPr defaultRowHeight="14.4" x14ac:dyDescent="0.3"/>
  <cols>
    <col min="2" max="2" width="27.44140625" customWidth="1"/>
    <col min="3" max="3" width="30.5546875" customWidth="1"/>
  </cols>
  <sheetData>
    <row r="2" spans="2:3" x14ac:dyDescent="0.3">
      <c r="B2" t="s">
        <v>721</v>
      </c>
      <c r="C2" t="s">
        <v>770</v>
      </c>
    </row>
    <row r="3" spans="2:3" x14ac:dyDescent="0.3">
      <c r="B3" t="s">
        <v>720</v>
      </c>
      <c r="C3" t="s">
        <v>717</v>
      </c>
    </row>
    <row r="4" spans="2:3" x14ac:dyDescent="0.3">
      <c r="B4" t="s">
        <v>722</v>
      </c>
      <c r="C4" t="s">
        <v>771</v>
      </c>
    </row>
    <row r="5" spans="2:3" x14ac:dyDescent="0.3">
      <c r="B5" t="s">
        <v>723</v>
      </c>
      <c r="C5" t="s">
        <v>716</v>
      </c>
    </row>
    <row r="6" spans="2:3" x14ac:dyDescent="0.3">
      <c r="B6" t="s">
        <v>724</v>
      </c>
      <c r="C6" t="s">
        <v>772</v>
      </c>
    </row>
    <row r="7" spans="2:3" x14ac:dyDescent="0.3">
      <c r="B7" t="s">
        <v>725</v>
      </c>
      <c r="C7" t="s">
        <v>715</v>
      </c>
    </row>
    <row r="8" spans="2:3" x14ac:dyDescent="0.3">
      <c r="B8" t="s">
        <v>726</v>
      </c>
      <c r="C8" t="s">
        <v>773</v>
      </c>
    </row>
    <row r="9" spans="2:3" x14ac:dyDescent="0.3">
      <c r="B9" t="s">
        <v>727</v>
      </c>
      <c r="C9" t="s">
        <v>719</v>
      </c>
    </row>
    <row r="10" spans="2:3" x14ac:dyDescent="0.3">
      <c r="B10" t="s">
        <v>728</v>
      </c>
      <c r="C10" t="s">
        <v>774</v>
      </c>
    </row>
    <row r="11" spans="2:3" x14ac:dyDescent="0.3">
      <c r="B11" t="s">
        <v>729</v>
      </c>
      <c r="C11" t="s">
        <v>718</v>
      </c>
    </row>
    <row r="12" spans="2:3" x14ac:dyDescent="0.3">
      <c r="B12" t="s">
        <v>730</v>
      </c>
      <c r="C12" t="s">
        <v>770</v>
      </c>
    </row>
    <row r="13" spans="2:3" x14ac:dyDescent="0.3">
      <c r="B13" t="s">
        <v>731</v>
      </c>
      <c r="C13" t="s">
        <v>717</v>
      </c>
    </row>
    <row r="14" spans="2:3" x14ac:dyDescent="0.3">
      <c r="B14" t="s">
        <v>732</v>
      </c>
      <c r="C14" t="s">
        <v>771</v>
      </c>
    </row>
    <row r="15" spans="2:3" x14ac:dyDescent="0.3">
      <c r="B15" t="s">
        <v>733</v>
      </c>
      <c r="C15" t="s">
        <v>716</v>
      </c>
    </row>
    <row r="16" spans="2:3" x14ac:dyDescent="0.3">
      <c r="B16" t="s">
        <v>734</v>
      </c>
      <c r="C16" t="s">
        <v>772</v>
      </c>
    </row>
    <row r="17" spans="2:3" x14ac:dyDescent="0.3">
      <c r="B17" t="s">
        <v>735</v>
      </c>
      <c r="C17" t="s">
        <v>715</v>
      </c>
    </row>
    <row r="18" spans="2:3" x14ac:dyDescent="0.3">
      <c r="B18" t="s">
        <v>736</v>
      </c>
      <c r="C18" t="s">
        <v>773</v>
      </c>
    </row>
    <row r="19" spans="2:3" x14ac:dyDescent="0.3">
      <c r="B19" t="s">
        <v>737</v>
      </c>
      <c r="C19" t="s">
        <v>719</v>
      </c>
    </row>
    <row r="20" spans="2:3" x14ac:dyDescent="0.3">
      <c r="B20" t="s">
        <v>738</v>
      </c>
      <c r="C20" t="s">
        <v>774</v>
      </c>
    </row>
    <row r="21" spans="2:3" x14ac:dyDescent="0.3">
      <c r="B21" t="s">
        <v>739</v>
      </c>
      <c r="C21" t="s">
        <v>718</v>
      </c>
    </row>
    <row r="22" spans="2:3" x14ac:dyDescent="0.3">
      <c r="B22" t="s">
        <v>740</v>
      </c>
      <c r="C22" t="s">
        <v>770</v>
      </c>
    </row>
    <row r="23" spans="2:3" x14ac:dyDescent="0.3">
      <c r="B23" t="s">
        <v>741</v>
      </c>
      <c r="C23" t="s">
        <v>717</v>
      </c>
    </row>
    <row r="24" spans="2:3" x14ac:dyDescent="0.3">
      <c r="B24" t="s">
        <v>742</v>
      </c>
      <c r="C24" t="s">
        <v>771</v>
      </c>
    </row>
    <row r="25" spans="2:3" x14ac:dyDescent="0.3">
      <c r="B25" t="s">
        <v>743</v>
      </c>
      <c r="C25" t="s">
        <v>716</v>
      </c>
    </row>
    <row r="26" spans="2:3" x14ac:dyDescent="0.3">
      <c r="B26" t="s">
        <v>744</v>
      </c>
      <c r="C26" t="s">
        <v>772</v>
      </c>
    </row>
    <row r="27" spans="2:3" x14ac:dyDescent="0.3">
      <c r="B27" t="s">
        <v>745</v>
      </c>
      <c r="C27" t="s">
        <v>715</v>
      </c>
    </row>
    <row r="28" spans="2:3" x14ac:dyDescent="0.3">
      <c r="B28" t="s">
        <v>746</v>
      </c>
      <c r="C28" t="s">
        <v>773</v>
      </c>
    </row>
    <row r="29" spans="2:3" x14ac:dyDescent="0.3">
      <c r="B29" t="s">
        <v>747</v>
      </c>
      <c r="C29" t="s">
        <v>719</v>
      </c>
    </row>
    <row r="30" spans="2:3" x14ac:dyDescent="0.3">
      <c r="B30" t="s">
        <v>748</v>
      </c>
      <c r="C30" t="s">
        <v>774</v>
      </c>
    </row>
    <row r="31" spans="2:3" x14ac:dyDescent="0.3">
      <c r="B31" t="s">
        <v>749</v>
      </c>
      <c r="C31" t="s">
        <v>718</v>
      </c>
    </row>
    <row r="32" spans="2:3" x14ac:dyDescent="0.3">
      <c r="B32" t="s">
        <v>750</v>
      </c>
      <c r="C32" t="s">
        <v>770</v>
      </c>
    </row>
    <row r="33" spans="2:3" x14ac:dyDescent="0.3">
      <c r="B33" t="s">
        <v>751</v>
      </c>
      <c r="C33" t="s">
        <v>717</v>
      </c>
    </row>
    <row r="34" spans="2:3" x14ac:dyDescent="0.3">
      <c r="B34" t="s">
        <v>752</v>
      </c>
      <c r="C34" t="s">
        <v>771</v>
      </c>
    </row>
    <row r="35" spans="2:3" x14ac:dyDescent="0.3">
      <c r="B35" t="s">
        <v>753</v>
      </c>
      <c r="C35" t="s">
        <v>716</v>
      </c>
    </row>
    <row r="36" spans="2:3" x14ac:dyDescent="0.3">
      <c r="B36" t="s">
        <v>754</v>
      </c>
      <c r="C36" t="s">
        <v>772</v>
      </c>
    </row>
    <row r="37" spans="2:3" x14ac:dyDescent="0.3">
      <c r="B37" t="s">
        <v>755</v>
      </c>
      <c r="C37" t="s">
        <v>715</v>
      </c>
    </row>
    <row r="38" spans="2:3" x14ac:dyDescent="0.3">
      <c r="B38" t="s">
        <v>756</v>
      </c>
      <c r="C38" t="s">
        <v>773</v>
      </c>
    </row>
    <row r="39" spans="2:3" x14ac:dyDescent="0.3">
      <c r="B39" t="s">
        <v>757</v>
      </c>
      <c r="C39" t="s">
        <v>719</v>
      </c>
    </row>
    <row r="40" spans="2:3" x14ac:dyDescent="0.3">
      <c r="B40" t="s">
        <v>758</v>
      </c>
      <c r="C40" t="s">
        <v>774</v>
      </c>
    </row>
    <row r="41" spans="2:3" x14ac:dyDescent="0.3">
      <c r="B41" t="s">
        <v>759</v>
      </c>
      <c r="C41" t="s">
        <v>718</v>
      </c>
    </row>
    <row r="42" spans="2:3" x14ac:dyDescent="0.3">
      <c r="B42" t="s">
        <v>760</v>
      </c>
      <c r="C42" t="s">
        <v>770</v>
      </c>
    </row>
    <row r="43" spans="2:3" x14ac:dyDescent="0.3">
      <c r="B43" t="s">
        <v>761</v>
      </c>
      <c r="C43" t="s">
        <v>717</v>
      </c>
    </row>
    <row r="44" spans="2:3" x14ac:dyDescent="0.3">
      <c r="B44" t="s">
        <v>762</v>
      </c>
      <c r="C44" t="s">
        <v>771</v>
      </c>
    </row>
    <row r="45" spans="2:3" x14ac:dyDescent="0.3">
      <c r="B45" t="s">
        <v>763</v>
      </c>
      <c r="C45" t="s">
        <v>716</v>
      </c>
    </row>
    <row r="46" spans="2:3" x14ac:dyDescent="0.3">
      <c r="B46" t="s">
        <v>764</v>
      </c>
      <c r="C46" t="s">
        <v>772</v>
      </c>
    </row>
    <row r="47" spans="2:3" x14ac:dyDescent="0.3">
      <c r="B47" t="s">
        <v>765</v>
      </c>
      <c r="C47" t="s">
        <v>715</v>
      </c>
    </row>
    <row r="48" spans="2:3" x14ac:dyDescent="0.3">
      <c r="B48" t="s">
        <v>766</v>
      </c>
      <c r="C48" t="s">
        <v>773</v>
      </c>
    </row>
    <row r="49" spans="2:3" x14ac:dyDescent="0.3">
      <c r="B49" t="s">
        <v>767</v>
      </c>
      <c r="C49" t="s">
        <v>719</v>
      </c>
    </row>
    <row r="50" spans="2:3" x14ac:dyDescent="0.3">
      <c r="B50" t="s">
        <v>768</v>
      </c>
      <c r="C50" t="s">
        <v>774</v>
      </c>
    </row>
    <row r="51" spans="2:3" x14ac:dyDescent="0.3">
      <c r="B51" t="s">
        <v>769</v>
      </c>
      <c r="C51" t="s">
        <v>718</v>
      </c>
    </row>
  </sheetData>
  <phoneticPr fontId="12" type="noConversion"/>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5</vt:i4>
      </vt:variant>
    </vt:vector>
  </HeadingPairs>
  <TitlesOfParts>
    <vt:vector size="5" baseType="lpstr">
      <vt:lpstr>Premissas</vt:lpstr>
      <vt:lpstr>fatores de conversão</vt:lpstr>
      <vt:lpstr>base de dados</vt:lpstr>
      <vt:lpstr>BD_Shape_SC</vt: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Pablo Pacheco</dc:creator>
  <cp:lastModifiedBy>Pablo Pacheco</cp:lastModifiedBy>
  <dcterms:created xsi:type="dcterms:W3CDTF">2026-08-05T03:44:04Z</dcterms:created>
  <dcterms:modified xsi:type="dcterms:W3CDTF">2026-08-06T01:03:03Z</dcterms:modified>
</cp:coreProperties>
</file>